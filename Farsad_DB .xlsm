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3D18853B-2C5D-426D-BAD5-F85BC61BABB9}" xr6:coauthVersionLast="47" xr6:coauthVersionMax="47" xr10:uidLastSave="{00000000-0000-0000-0000-000000000000}"/>
  <bookViews>
    <workbookView xWindow="24" yWindow="24" windowWidth="23016" windowHeight="12216" tabRatio="845" activeTab="4" xr2:uid="{4B269B77-CA2D-474D-B7D5-EE180ECADB16}"/>
  </bookViews>
  <sheets>
    <sheet name="Home" sheetId="29" r:id="rId1"/>
    <sheet name="Enrollment" sheetId="14" r:id="rId2"/>
    <sheet name="Bill" sheetId="24" r:id="rId3"/>
    <sheet name="Hidden_Data" sheetId="25" state="hidden" r:id="rId4"/>
    <sheet name="Attendance" sheetId="6" r:id="rId5"/>
    <sheet name="Teachers" sheetId="13" r:id="rId6"/>
    <sheet name="Classes" sheetId="15" r:id="rId7"/>
    <sheet name="T_Ramin_Rezaiee" sheetId="10" r:id="rId8"/>
    <sheet name="T_Ali_Reza_Rezaiee" sheetId="11" r:id="rId9"/>
    <sheet name="T_Ahmadi" sheetId="12" r:id="rId10"/>
    <sheet name="T_Yawari" sheetId="17" r:id="rId11"/>
    <sheet name="T_Shayagan" sheetId="18" r:id="rId12"/>
    <sheet name="T_Ashori" sheetId="19" r:id="rId13"/>
    <sheet name="T_Nayab" sheetId="20" r:id="rId14"/>
    <sheet name="T_Mobarez" sheetId="21" r:id="rId15"/>
    <sheet name="T_Blank1" sheetId="22" r:id="rId16"/>
    <sheet name="T_Blank2" sheetId="23" r:id="rId17"/>
    <sheet name="Teacher_Salary" sheetId="16" r:id="rId18"/>
    <sheet name="All_Sellings" sheetId="26" r:id="rId19"/>
    <sheet name="Summary_Sellings" sheetId="28" r:id="rId20"/>
    <sheet name="All_Expenses" sheetId="4" r:id="rId21"/>
    <sheet name="Summary_Expenses" sheetId="27" r:id="rId22"/>
    <sheet name="Monthly_Report" sheetId="3" r:id="rId23"/>
    <sheet name="Center_Info" sheetId="2" r:id="rId24"/>
    <sheet name="README" sheetId="1" r:id="rId25"/>
    <sheet name="About_Developer" sheetId="9" r:id="rId26"/>
  </sheets>
  <definedNames>
    <definedName name="_xlnm.Print_Area" localSheetId="2">Bill!$A$1:$D$17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8" i="16" l="1"/>
  <c r="C139" i="16"/>
  <c r="C140" i="16"/>
  <c r="C141" i="16"/>
  <c r="C142" i="16"/>
  <c r="C143" i="16"/>
  <c r="C144" i="16"/>
  <c r="C145" i="16"/>
  <c r="C146" i="16"/>
  <c r="C147" i="16"/>
  <c r="C148" i="16"/>
  <c r="C149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D138" i="16"/>
  <c r="E138" i="16" s="1"/>
  <c r="D139" i="16"/>
  <c r="E139" i="16" s="1"/>
  <c r="D140" i="16"/>
  <c r="D141" i="16"/>
  <c r="E141" i="16" s="1"/>
  <c r="D142" i="16"/>
  <c r="E142" i="16" s="1"/>
  <c r="D143" i="16"/>
  <c r="E143" i="16" s="1"/>
  <c r="D144" i="16"/>
  <c r="E144" i="16" s="1"/>
  <c r="D145" i="16"/>
  <c r="E145" i="16" s="1"/>
  <c r="D146" i="16"/>
  <c r="E146" i="16" s="1"/>
  <c r="D147" i="16"/>
  <c r="E147" i="16" s="1"/>
  <c r="D148" i="16"/>
  <c r="E148" i="16" s="1"/>
  <c r="D149" i="16"/>
  <c r="E149" i="16" s="1"/>
  <c r="D123" i="16"/>
  <c r="E123" i="16" s="1"/>
  <c r="D124" i="16"/>
  <c r="E124" i="16" s="1"/>
  <c r="D125" i="16"/>
  <c r="E125" i="16" s="1"/>
  <c r="D126" i="16"/>
  <c r="E126" i="16" s="1"/>
  <c r="D127" i="16"/>
  <c r="E127" i="16" s="1"/>
  <c r="D128" i="16"/>
  <c r="E128" i="16" s="1"/>
  <c r="D129" i="16"/>
  <c r="E129" i="16" s="1"/>
  <c r="D130" i="16"/>
  <c r="E130" i="16" s="1"/>
  <c r="D131" i="16"/>
  <c r="E131" i="16" s="1"/>
  <c r="D132" i="16"/>
  <c r="E132" i="16" s="1"/>
  <c r="D133" i="16"/>
  <c r="E133" i="16" s="1"/>
  <c r="D134" i="16"/>
  <c r="E134" i="16" s="1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48" i="16"/>
  <c r="E48" i="16" s="1"/>
  <c r="D49" i="16"/>
  <c r="E49" i="16" s="1"/>
  <c r="D50" i="16"/>
  <c r="E50" i="16" s="1"/>
  <c r="D51" i="16"/>
  <c r="E51" i="16" s="1"/>
  <c r="D52" i="16"/>
  <c r="E52" i="16" s="1"/>
  <c r="D53" i="16"/>
  <c r="E53" i="16" s="1"/>
  <c r="D54" i="16"/>
  <c r="E54" i="16" s="1"/>
  <c r="D55" i="16"/>
  <c r="E55" i="16" s="1"/>
  <c r="D56" i="16"/>
  <c r="E56" i="16" s="1"/>
  <c r="D57" i="16"/>
  <c r="E57" i="16" s="1"/>
  <c r="D58" i="16"/>
  <c r="E58" i="16" s="1"/>
  <c r="D59" i="16"/>
  <c r="E59" i="16" s="1"/>
  <c r="D33" i="16"/>
  <c r="E33" i="16" s="1"/>
  <c r="D34" i="16"/>
  <c r="D35" i="16"/>
  <c r="E35" i="16" s="1"/>
  <c r="D36" i="16"/>
  <c r="D37" i="16"/>
  <c r="E37" i="16" s="1"/>
  <c r="D38" i="16"/>
  <c r="E38" i="16" s="1"/>
  <c r="D39" i="16"/>
  <c r="E39" i="16" s="1"/>
  <c r="D40" i="16"/>
  <c r="E40" i="16" s="1"/>
  <c r="D41" i="16"/>
  <c r="E41" i="16" s="1"/>
  <c r="D42" i="16"/>
  <c r="D43" i="16"/>
  <c r="D44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14" i="16"/>
  <c r="D3" i="16"/>
  <c r="D4" i="16"/>
  <c r="D5" i="16"/>
  <c r="D6" i="16"/>
  <c r="D7" i="16"/>
  <c r="D8" i="16"/>
  <c r="D9" i="16"/>
  <c r="D10" i="16"/>
  <c r="D11" i="16"/>
  <c r="D12" i="16"/>
  <c r="D13" i="16"/>
  <c r="H3" i="29"/>
  <c r="D2" i="4"/>
  <c r="D3" i="4"/>
  <c r="D4" i="4"/>
  <c r="D5" i="4"/>
  <c r="D6" i="4"/>
  <c r="F5" i="3" s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H5" i="4" a="1"/>
  <c r="H5" i="4" s="1"/>
  <c r="H5" i="26" a="1"/>
  <c r="H5" i="26" s="1"/>
  <c r="T6" i="14" a="1"/>
  <c r="T6" i="14" s="1"/>
  <c r="D9" i="26"/>
  <c r="D16" i="26"/>
  <c r="D17" i="26"/>
  <c r="D24" i="26"/>
  <c r="D25" i="26"/>
  <c r="D32" i="26"/>
  <c r="D33" i="26"/>
  <c r="D40" i="26"/>
  <c r="D41" i="26"/>
  <c r="D49" i="26"/>
  <c r="D57" i="26"/>
  <c r="D65" i="26"/>
  <c r="D73" i="26"/>
  <c r="D81" i="26"/>
  <c r="D89" i="26"/>
  <c r="D97" i="26"/>
  <c r="D105" i="26"/>
  <c r="D113" i="26"/>
  <c r="D121" i="26"/>
  <c r="D129" i="26"/>
  <c r="D137" i="26"/>
  <c r="D145" i="26"/>
  <c r="D153" i="26"/>
  <c r="D161" i="26"/>
  <c r="D169" i="26"/>
  <c r="D177" i="26"/>
  <c r="D185" i="26"/>
  <c r="D193" i="26"/>
  <c r="D201" i="26"/>
  <c r="D225" i="26"/>
  <c r="D233" i="26"/>
  <c r="D241" i="26"/>
  <c r="D249" i="26"/>
  <c r="D256" i="26"/>
  <c r="D257" i="26"/>
  <c r="D265" i="26"/>
  <c r="D273" i="26"/>
  <c r="D281" i="26"/>
  <c r="D289" i="26"/>
  <c r="D297" i="26"/>
  <c r="D305" i="26"/>
  <c r="D313" i="26"/>
  <c r="D321" i="26"/>
  <c r="D329" i="26"/>
  <c r="D337" i="26"/>
  <c r="D345" i="26"/>
  <c r="D352" i="26"/>
  <c r="D353" i="26"/>
  <c r="D361" i="26"/>
  <c r="D369" i="26"/>
  <c r="D377" i="26"/>
  <c r="D385" i="26"/>
  <c r="D393" i="26"/>
  <c r="D401" i="26"/>
  <c r="D408" i="26"/>
  <c r="D409" i="26"/>
  <c r="D417" i="26"/>
  <c r="D425" i="26"/>
  <c r="D433" i="26"/>
  <c r="D440" i="26"/>
  <c r="D441" i="26"/>
  <c r="D457" i="26"/>
  <c r="D465" i="26"/>
  <c r="D472" i="26"/>
  <c r="D473" i="26"/>
  <c r="D481" i="26"/>
  <c r="D489" i="26"/>
  <c r="D497" i="26"/>
  <c r="D504" i="26"/>
  <c r="D505" i="26"/>
  <c r="D513" i="26"/>
  <c r="D521" i="26"/>
  <c r="D529" i="26"/>
  <c r="D536" i="26"/>
  <c r="D537" i="26"/>
  <c r="D545" i="26"/>
  <c r="D553" i="26"/>
  <c r="D561" i="26"/>
  <c r="D568" i="26"/>
  <c r="D569" i="26"/>
  <c r="D577" i="26"/>
  <c r="D593" i="26"/>
  <c r="D600" i="26"/>
  <c r="D601" i="26"/>
  <c r="D609" i="26"/>
  <c r="D625" i="26"/>
  <c r="D632" i="26"/>
  <c r="D633" i="26"/>
  <c r="D641" i="26"/>
  <c r="D657" i="26"/>
  <c r="D664" i="26"/>
  <c r="D665" i="26"/>
  <c r="D673" i="26"/>
  <c r="D689" i="26"/>
  <c r="D696" i="26"/>
  <c r="D697" i="26"/>
  <c r="D705" i="26"/>
  <c r="D713" i="26"/>
  <c r="D721" i="26"/>
  <c r="D728" i="26"/>
  <c r="D729" i="26"/>
  <c r="D737" i="26"/>
  <c r="D745" i="26"/>
  <c r="D753" i="26"/>
  <c r="D760" i="26"/>
  <c r="D761" i="26"/>
  <c r="D769" i="26"/>
  <c r="D777" i="26"/>
  <c r="D785" i="26"/>
  <c r="D792" i="26"/>
  <c r="D793" i="26"/>
  <c r="D801" i="26"/>
  <c r="D809" i="26"/>
  <c r="D817" i="26"/>
  <c r="D825" i="26"/>
  <c r="D833" i="26"/>
  <c r="D841" i="26"/>
  <c r="D849" i="26"/>
  <c r="D857" i="26"/>
  <c r="D865" i="26"/>
  <c r="D873" i="26"/>
  <c r="D881" i="26"/>
  <c r="D889" i="26"/>
  <c r="D897" i="26"/>
  <c r="D905" i="26"/>
  <c r="D913" i="26"/>
  <c r="D921" i="26"/>
  <c r="D929" i="26"/>
  <c r="D937" i="26"/>
  <c r="D945" i="26"/>
  <c r="D953" i="26"/>
  <c r="D961" i="26"/>
  <c r="D969" i="26"/>
  <c r="D977" i="26"/>
  <c r="D985" i="26"/>
  <c r="D993" i="26"/>
  <c r="D8" i="26"/>
  <c r="D14" i="26"/>
  <c r="D61" i="26"/>
  <c r="D109" i="26"/>
  <c r="D196" i="26"/>
  <c r="D202" i="26"/>
  <c r="D218" i="26"/>
  <c r="D310" i="26"/>
  <c r="D333" i="26"/>
  <c r="D370" i="26"/>
  <c r="D376" i="26"/>
  <c r="D382" i="26"/>
  <c r="D389" i="26"/>
  <c r="D414" i="26"/>
  <c r="D421" i="26"/>
  <c r="D446" i="26"/>
  <c r="D453" i="26"/>
  <c r="D454" i="26"/>
  <c r="D458" i="26"/>
  <c r="D462" i="26"/>
  <c r="D466" i="26"/>
  <c r="D478" i="26"/>
  <c r="D482" i="26"/>
  <c r="D485" i="26"/>
  <c r="D486" i="26"/>
  <c r="D490" i="26"/>
  <c r="D498" i="26"/>
  <c r="D506" i="26"/>
  <c r="D510" i="26"/>
  <c r="D514" i="26"/>
  <c r="D517" i="26"/>
  <c r="D518" i="26"/>
  <c r="D522" i="26"/>
  <c r="D530" i="26"/>
  <c r="D542" i="26"/>
  <c r="D546" i="26"/>
  <c r="D549" i="26"/>
  <c r="D550" i="26"/>
  <c r="D554" i="26"/>
  <c r="D562" i="26"/>
  <c r="D574" i="26"/>
  <c r="D578" i="26"/>
  <c r="D581" i="26"/>
  <c r="D582" i="26"/>
  <c r="D586" i="26"/>
  <c r="D594" i="26"/>
  <c r="D602" i="26"/>
  <c r="D606" i="26"/>
  <c r="D610" i="26"/>
  <c r="D613" i="26"/>
  <c r="D614" i="26"/>
  <c r="D618" i="26"/>
  <c r="D626" i="26"/>
  <c r="D634" i="26"/>
  <c r="D638" i="26"/>
  <c r="D642" i="26"/>
  <c r="D645" i="26"/>
  <c r="D646" i="26"/>
  <c r="D650" i="26"/>
  <c r="D658" i="26"/>
  <c r="D666" i="26"/>
  <c r="D670" i="26"/>
  <c r="D674" i="26"/>
  <c r="D677" i="26"/>
  <c r="D678" i="26"/>
  <c r="D682" i="26"/>
  <c r="D690" i="26"/>
  <c r="D702" i="26"/>
  <c r="D706" i="26"/>
  <c r="D709" i="26"/>
  <c r="D710" i="26"/>
  <c r="D714" i="26"/>
  <c r="D715" i="26"/>
  <c r="D717" i="26"/>
  <c r="D718" i="26"/>
  <c r="D719" i="26"/>
  <c r="D726" i="26"/>
  <c r="D727" i="26"/>
  <c r="D733" i="26"/>
  <c r="D735" i="26"/>
  <c r="D738" i="26"/>
  <c r="D741" i="26"/>
  <c r="D742" i="26"/>
  <c r="D746" i="26"/>
  <c r="D747" i="26"/>
  <c r="D749" i="26"/>
  <c r="D750" i="26"/>
  <c r="D751" i="26"/>
  <c r="D758" i="26"/>
  <c r="D759" i="26"/>
  <c r="D765" i="26"/>
  <c r="D767" i="26"/>
  <c r="D770" i="26"/>
  <c r="D773" i="26"/>
  <c r="D774" i="26"/>
  <c r="D775" i="26"/>
  <c r="D778" i="26"/>
  <c r="D779" i="26"/>
  <c r="D781" i="26"/>
  <c r="D782" i="26"/>
  <c r="D783" i="26"/>
  <c r="D790" i="26"/>
  <c r="D791" i="26"/>
  <c r="D797" i="26"/>
  <c r="D798" i="26"/>
  <c r="D799" i="26"/>
  <c r="D802" i="26"/>
  <c r="D805" i="26"/>
  <c r="D806" i="26"/>
  <c r="D807" i="26"/>
  <c r="D810" i="26"/>
  <c r="D811" i="26"/>
  <c r="D813" i="26"/>
  <c r="D814" i="26"/>
  <c r="D815" i="26"/>
  <c r="D818" i="26"/>
  <c r="D819" i="26"/>
  <c r="D821" i="26"/>
  <c r="D822" i="26"/>
  <c r="D823" i="26"/>
  <c r="D826" i="26"/>
  <c r="D827" i="26"/>
  <c r="D829" i="26"/>
  <c r="D830" i="26"/>
  <c r="D831" i="26"/>
  <c r="D834" i="26"/>
  <c r="D835" i="26"/>
  <c r="D836" i="26"/>
  <c r="D837" i="26"/>
  <c r="D838" i="26"/>
  <c r="D839" i="26"/>
  <c r="D840" i="26"/>
  <c r="D842" i="26"/>
  <c r="D843" i="26"/>
  <c r="D844" i="26"/>
  <c r="D845" i="26"/>
  <c r="D846" i="26"/>
  <c r="D847" i="26"/>
  <c r="D848" i="26"/>
  <c r="D850" i="26"/>
  <c r="D851" i="26"/>
  <c r="D852" i="26"/>
  <c r="D853" i="26"/>
  <c r="D854" i="26"/>
  <c r="D855" i="26"/>
  <c r="D856" i="26"/>
  <c r="D858" i="26"/>
  <c r="D859" i="26"/>
  <c r="D860" i="26"/>
  <c r="D861" i="26"/>
  <c r="D862" i="26"/>
  <c r="D863" i="26"/>
  <c r="D864" i="26"/>
  <c r="D866" i="26"/>
  <c r="D867" i="26"/>
  <c r="D868" i="26"/>
  <c r="D869" i="26"/>
  <c r="D870" i="26"/>
  <c r="D871" i="26"/>
  <c r="D872" i="26"/>
  <c r="D874" i="26"/>
  <c r="D875" i="26"/>
  <c r="D876" i="26"/>
  <c r="D877" i="26"/>
  <c r="D878" i="26"/>
  <c r="D879" i="26"/>
  <c r="D880" i="26"/>
  <c r="D882" i="26"/>
  <c r="D883" i="26"/>
  <c r="D884" i="26"/>
  <c r="D885" i="26"/>
  <c r="D886" i="26"/>
  <c r="D887" i="26"/>
  <c r="D888" i="26"/>
  <c r="D890" i="26"/>
  <c r="D891" i="26"/>
  <c r="D892" i="26"/>
  <c r="D893" i="26"/>
  <c r="D894" i="26"/>
  <c r="D895" i="26"/>
  <c r="D896" i="26"/>
  <c r="D898" i="26"/>
  <c r="D899" i="26"/>
  <c r="D900" i="26"/>
  <c r="D901" i="26"/>
  <c r="D902" i="26"/>
  <c r="D903" i="26"/>
  <c r="D904" i="26"/>
  <c r="D906" i="26"/>
  <c r="D907" i="26"/>
  <c r="D908" i="26"/>
  <c r="D909" i="26"/>
  <c r="D910" i="26"/>
  <c r="D911" i="26"/>
  <c r="D912" i="26"/>
  <c r="D914" i="26"/>
  <c r="D915" i="26"/>
  <c r="D916" i="26"/>
  <c r="D917" i="26"/>
  <c r="D918" i="26"/>
  <c r="D919" i="26"/>
  <c r="D920" i="26"/>
  <c r="D922" i="26"/>
  <c r="D923" i="26"/>
  <c r="D924" i="26"/>
  <c r="D925" i="26"/>
  <c r="D926" i="26"/>
  <c r="D927" i="26"/>
  <c r="D928" i="26"/>
  <c r="D930" i="26"/>
  <c r="D931" i="26"/>
  <c r="D932" i="26"/>
  <c r="D933" i="26"/>
  <c r="D934" i="26"/>
  <c r="D935" i="26"/>
  <c r="D936" i="26"/>
  <c r="D938" i="26"/>
  <c r="D939" i="26"/>
  <c r="D940" i="26"/>
  <c r="D941" i="26"/>
  <c r="D942" i="26"/>
  <c r="D943" i="26"/>
  <c r="D944" i="26"/>
  <c r="D946" i="26"/>
  <c r="D947" i="26"/>
  <c r="D948" i="26"/>
  <c r="D949" i="26"/>
  <c r="D950" i="26"/>
  <c r="D951" i="26"/>
  <c r="D952" i="26"/>
  <c r="D954" i="26"/>
  <c r="D955" i="26"/>
  <c r="D956" i="26"/>
  <c r="D957" i="26"/>
  <c r="D958" i="26"/>
  <c r="D959" i="26"/>
  <c r="D960" i="26"/>
  <c r="D962" i="26"/>
  <c r="D963" i="26"/>
  <c r="D964" i="26"/>
  <c r="D965" i="26"/>
  <c r="D966" i="26"/>
  <c r="D967" i="26"/>
  <c r="D968" i="26"/>
  <c r="D970" i="26"/>
  <c r="D971" i="26"/>
  <c r="D972" i="26"/>
  <c r="D973" i="26"/>
  <c r="D974" i="26"/>
  <c r="D975" i="26"/>
  <c r="D976" i="26"/>
  <c r="D978" i="26"/>
  <c r="D979" i="26"/>
  <c r="D980" i="26"/>
  <c r="D981" i="26"/>
  <c r="D982" i="26"/>
  <c r="D983" i="26"/>
  <c r="D984" i="26"/>
  <c r="D986" i="26"/>
  <c r="D987" i="26"/>
  <c r="D988" i="26"/>
  <c r="D989" i="26"/>
  <c r="D990" i="26"/>
  <c r="D991" i="26"/>
  <c r="D992" i="26"/>
  <c r="D994" i="26"/>
  <c r="D995" i="26"/>
  <c r="D996" i="26"/>
  <c r="D997" i="26"/>
  <c r="D998" i="26"/>
  <c r="D999" i="26"/>
  <c r="D1000" i="26"/>
  <c r="D3" i="26"/>
  <c r="D4" i="26"/>
  <c r="D5" i="26"/>
  <c r="D6" i="26"/>
  <c r="D7" i="26"/>
  <c r="D10" i="26"/>
  <c r="D11" i="26"/>
  <c r="D12" i="26"/>
  <c r="D13" i="26"/>
  <c r="D15" i="26"/>
  <c r="D18" i="26"/>
  <c r="D19" i="26"/>
  <c r="D20" i="26"/>
  <c r="D21" i="26"/>
  <c r="D22" i="26"/>
  <c r="D23" i="26"/>
  <c r="D26" i="26"/>
  <c r="D27" i="26"/>
  <c r="D28" i="26"/>
  <c r="D29" i="26"/>
  <c r="D30" i="26"/>
  <c r="D31" i="26"/>
  <c r="D34" i="26"/>
  <c r="D35" i="26"/>
  <c r="D36" i="26"/>
  <c r="D37" i="26"/>
  <c r="D38" i="26"/>
  <c r="D39" i="26"/>
  <c r="D42" i="26"/>
  <c r="D43" i="26"/>
  <c r="D44" i="26"/>
  <c r="D45" i="26"/>
  <c r="D46" i="26"/>
  <c r="D47" i="26"/>
  <c r="D48" i="26"/>
  <c r="D50" i="26"/>
  <c r="D51" i="26"/>
  <c r="D52" i="26"/>
  <c r="D53" i="26"/>
  <c r="D54" i="26"/>
  <c r="D55" i="26"/>
  <c r="D56" i="26"/>
  <c r="D58" i="26"/>
  <c r="D59" i="26"/>
  <c r="D60" i="26"/>
  <c r="D62" i="26"/>
  <c r="D63" i="26"/>
  <c r="D64" i="26"/>
  <c r="D66" i="26"/>
  <c r="D67" i="26"/>
  <c r="D68" i="26"/>
  <c r="D69" i="26"/>
  <c r="D70" i="26"/>
  <c r="D71" i="26"/>
  <c r="D72" i="26"/>
  <c r="D74" i="26"/>
  <c r="D75" i="26"/>
  <c r="D76" i="26"/>
  <c r="D77" i="26"/>
  <c r="D78" i="26"/>
  <c r="D79" i="26"/>
  <c r="D80" i="26"/>
  <c r="D82" i="26"/>
  <c r="D83" i="26"/>
  <c r="D84" i="26"/>
  <c r="D85" i="26"/>
  <c r="D86" i="26"/>
  <c r="D87" i="26"/>
  <c r="D88" i="26"/>
  <c r="D90" i="26"/>
  <c r="D91" i="26"/>
  <c r="D92" i="26"/>
  <c r="D93" i="26"/>
  <c r="D94" i="26"/>
  <c r="D95" i="26"/>
  <c r="D96" i="26"/>
  <c r="D98" i="26"/>
  <c r="D99" i="26"/>
  <c r="D100" i="26"/>
  <c r="D101" i="26"/>
  <c r="D102" i="26"/>
  <c r="D103" i="26"/>
  <c r="D104" i="26"/>
  <c r="D106" i="26"/>
  <c r="D107" i="26"/>
  <c r="D108" i="26"/>
  <c r="D110" i="26"/>
  <c r="D111" i="26"/>
  <c r="D112" i="26"/>
  <c r="D114" i="26"/>
  <c r="D115" i="26"/>
  <c r="D116" i="26"/>
  <c r="D117" i="26"/>
  <c r="D118" i="26"/>
  <c r="D119" i="26"/>
  <c r="D120" i="26"/>
  <c r="D122" i="26"/>
  <c r="D123" i="26"/>
  <c r="D124" i="26"/>
  <c r="D125" i="26"/>
  <c r="D126" i="26"/>
  <c r="D127" i="26"/>
  <c r="D128" i="26"/>
  <c r="D130" i="26"/>
  <c r="D131" i="26"/>
  <c r="D132" i="26"/>
  <c r="D133" i="26"/>
  <c r="D134" i="26"/>
  <c r="D135" i="26"/>
  <c r="D136" i="26"/>
  <c r="D138" i="26"/>
  <c r="D139" i="26"/>
  <c r="D140" i="26"/>
  <c r="D141" i="26"/>
  <c r="D142" i="26"/>
  <c r="D143" i="26"/>
  <c r="D144" i="26"/>
  <c r="D146" i="26"/>
  <c r="D147" i="26"/>
  <c r="D148" i="26"/>
  <c r="D149" i="26"/>
  <c r="D150" i="26"/>
  <c r="D151" i="26"/>
  <c r="D152" i="26"/>
  <c r="D154" i="26"/>
  <c r="D155" i="26"/>
  <c r="D156" i="26"/>
  <c r="D157" i="26"/>
  <c r="D158" i="26"/>
  <c r="D159" i="26"/>
  <c r="D160" i="26"/>
  <c r="D162" i="26"/>
  <c r="D163" i="26"/>
  <c r="D164" i="26"/>
  <c r="D165" i="26"/>
  <c r="D166" i="26"/>
  <c r="D167" i="26"/>
  <c r="D168" i="26"/>
  <c r="D170" i="26"/>
  <c r="D171" i="26"/>
  <c r="D172" i="26"/>
  <c r="D173" i="26"/>
  <c r="D174" i="26"/>
  <c r="D175" i="26"/>
  <c r="D176" i="26"/>
  <c r="D178" i="26"/>
  <c r="D179" i="26"/>
  <c r="D180" i="26"/>
  <c r="D181" i="26"/>
  <c r="D182" i="26"/>
  <c r="D183" i="26"/>
  <c r="D184" i="26"/>
  <c r="D186" i="26"/>
  <c r="D187" i="26"/>
  <c r="D188" i="26"/>
  <c r="D189" i="26"/>
  <c r="D190" i="26"/>
  <c r="D191" i="26"/>
  <c r="D192" i="26"/>
  <c r="D194" i="26"/>
  <c r="D195" i="26"/>
  <c r="D197" i="26"/>
  <c r="D198" i="26"/>
  <c r="D199" i="26"/>
  <c r="D200" i="26"/>
  <c r="D203" i="26"/>
  <c r="D204" i="26"/>
  <c r="D205" i="26"/>
  <c r="D206" i="26"/>
  <c r="D207" i="26"/>
  <c r="D208" i="26"/>
  <c r="D209" i="26"/>
  <c r="D210" i="26"/>
  <c r="D211" i="26"/>
  <c r="D212" i="26"/>
  <c r="D213" i="26"/>
  <c r="D214" i="26"/>
  <c r="D215" i="26"/>
  <c r="D216" i="26"/>
  <c r="D217" i="26"/>
  <c r="D219" i="26"/>
  <c r="D220" i="26"/>
  <c r="D221" i="26"/>
  <c r="D222" i="26"/>
  <c r="D223" i="26"/>
  <c r="D224" i="26"/>
  <c r="D226" i="26"/>
  <c r="D227" i="26"/>
  <c r="D228" i="26"/>
  <c r="D229" i="26"/>
  <c r="D230" i="26"/>
  <c r="D231" i="26"/>
  <c r="D232" i="26"/>
  <c r="D234" i="26"/>
  <c r="D235" i="26"/>
  <c r="D236" i="26"/>
  <c r="D237" i="26"/>
  <c r="D238" i="26"/>
  <c r="D239" i="26"/>
  <c r="D240" i="26"/>
  <c r="D242" i="26"/>
  <c r="D243" i="26"/>
  <c r="D244" i="26"/>
  <c r="D245" i="26"/>
  <c r="D246" i="26"/>
  <c r="D247" i="26"/>
  <c r="D248" i="26"/>
  <c r="D250" i="26"/>
  <c r="D251" i="26"/>
  <c r="D252" i="26"/>
  <c r="D253" i="26"/>
  <c r="D254" i="26"/>
  <c r="D255" i="26"/>
  <c r="D258" i="26"/>
  <c r="D259" i="26"/>
  <c r="D260" i="26"/>
  <c r="D261" i="26"/>
  <c r="D262" i="26"/>
  <c r="D263" i="26"/>
  <c r="D264" i="26"/>
  <c r="D266" i="26"/>
  <c r="D267" i="26"/>
  <c r="D268" i="26"/>
  <c r="D269" i="26"/>
  <c r="D270" i="26"/>
  <c r="D271" i="26"/>
  <c r="D272" i="26"/>
  <c r="D274" i="26"/>
  <c r="D275" i="26"/>
  <c r="D276" i="26"/>
  <c r="D277" i="26"/>
  <c r="D278" i="26"/>
  <c r="D279" i="26"/>
  <c r="D280" i="26"/>
  <c r="D282" i="26"/>
  <c r="D283" i="26"/>
  <c r="D284" i="26"/>
  <c r="D285" i="26"/>
  <c r="D286" i="26"/>
  <c r="D287" i="26"/>
  <c r="D288" i="26"/>
  <c r="D290" i="26"/>
  <c r="D291" i="26"/>
  <c r="D292" i="26"/>
  <c r="D293" i="26"/>
  <c r="D294" i="26"/>
  <c r="D295" i="26"/>
  <c r="D296" i="26"/>
  <c r="D298" i="26"/>
  <c r="D299" i="26"/>
  <c r="D300" i="26"/>
  <c r="D301" i="26"/>
  <c r="D302" i="26"/>
  <c r="D303" i="26"/>
  <c r="D304" i="26"/>
  <c r="D306" i="26"/>
  <c r="D307" i="26"/>
  <c r="D308" i="26"/>
  <c r="D309" i="26"/>
  <c r="D311" i="26"/>
  <c r="D312" i="26"/>
  <c r="D314" i="26"/>
  <c r="D315" i="26"/>
  <c r="D316" i="26"/>
  <c r="D317" i="26"/>
  <c r="D318" i="26"/>
  <c r="D319" i="26"/>
  <c r="D320" i="26"/>
  <c r="D322" i="26"/>
  <c r="D323" i="26"/>
  <c r="D324" i="26"/>
  <c r="D325" i="26"/>
  <c r="D326" i="26"/>
  <c r="D327" i="26"/>
  <c r="D328" i="26"/>
  <c r="D330" i="26"/>
  <c r="D331" i="26"/>
  <c r="D332" i="26"/>
  <c r="D334" i="26"/>
  <c r="D335" i="26"/>
  <c r="D336" i="26"/>
  <c r="D338" i="26"/>
  <c r="D339" i="26"/>
  <c r="D340" i="26"/>
  <c r="D341" i="26"/>
  <c r="D342" i="26"/>
  <c r="D343" i="26"/>
  <c r="D344" i="26"/>
  <c r="D346" i="26"/>
  <c r="D347" i="26"/>
  <c r="D348" i="26"/>
  <c r="D349" i="26"/>
  <c r="D350" i="26"/>
  <c r="D351" i="26"/>
  <c r="D354" i="26"/>
  <c r="D355" i="26"/>
  <c r="D356" i="26"/>
  <c r="D357" i="26"/>
  <c r="D358" i="26"/>
  <c r="D359" i="26"/>
  <c r="D360" i="26"/>
  <c r="D362" i="26"/>
  <c r="D363" i="26"/>
  <c r="D364" i="26"/>
  <c r="D365" i="26"/>
  <c r="D366" i="26"/>
  <c r="D367" i="26"/>
  <c r="D368" i="26"/>
  <c r="D371" i="26"/>
  <c r="D372" i="26"/>
  <c r="D373" i="26"/>
  <c r="D374" i="26"/>
  <c r="D375" i="26"/>
  <c r="D378" i="26"/>
  <c r="D379" i="26"/>
  <c r="D380" i="26"/>
  <c r="D381" i="26"/>
  <c r="D383" i="26"/>
  <c r="D384" i="26"/>
  <c r="D386" i="26"/>
  <c r="D387" i="26"/>
  <c r="D388" i="26"/>
  <c r="D390" i="26"/>
  <c r="D391" i="26"/>
  <c r="D392" i="26"/>
  <c r="D394" i="26"/>
  <c r="D395" i="26"/>
  <c r="D396" i="26"/>
  <c r="D397" i="26"/>
  <c r="D398" i="26"/>
  <c r="D399" i="26"/>
  <c r="D400" i="26"/>
  <c r="D402" i="26"/>
  <c r="D403" i="26"/>
  <c r="D404" i="26"/>
  <c r="D405" i="26"/>
  <c r="D406" i="26"/>
  <c r="D407" i="26"/>
  <c r="D410" i="26"/>
  <c r="D411" i="26"/>
  <c r="D412" i="26"/>
  <c r="D413" i="26"/>
  <c r="D415" i="26"/>
  <c r="D416" i="26"/>
  <c r="D418" i="26"/>
  <c r="D419" i="26"/>
  <c r="D420" i="26"/>
  <c r="D422" i="26"/>
  <c r="D423" i="26"/>
  <c r="D424" i="26"/>
  <c r="D426" i="26"/>
  <c r="D427" i="26"/>
  <c r="D428" i="26"/>
  <c r="D429" i="26"/>
  <c r="D430" i="26"/>
  <c r="D431" i="26"/>
  <c r="D432" i="26"/>
  <c r="D434" i="26"/>
  <c r="D435" i="26"/>
  <c r="D436" i="26"/>
  <c r="D437" i="26"/>
  <c r="D438" i="26"/>
  <c r="D439" i="26"/>
  <c r="D442" i="26"/>
  <c r="D443" i="26"/>
  <c r="D444" i="26"/>
  <c r="D445" i="26"/>
  <c r="D447" i="26"/>
  <c r="D448" i="26"/>
  <c r="D449" i="26"/>
  <c r="D450" i="26"/>
  <c r="D451" i="26"/>
  <c r="D452" i="26"/>
  <c r="D455" i="26"/>
  <c r="D456" i="26"/>
  <c r="D459" i="26"/>
  <c r="D460" i="26"/>
  <c r="D461" i="26"/>
  <c r="D463" i="26"/>
  <c r="D464" i="26"/>
  <c r="D467" i="26"/>
  <c r="D468" i="26"/>
  <c r="D469" i="26"/>
  <c r="D470" i="26"/>
  <c r="D471" i="26"/>
  <c r="D474" i="26"/>
  <c r="D475" i="26"/>
  <c r="D476" i="26"/>
  <c r="D477" i="26"/>
  <c r="D479" i="26"/>
  <c r="D480" i="26"/>
  <c r="D483" i="26"/>
  <c r="D484" i="26"/>
  <c r="D487" i="26"/>
  <c r="D488" i="26"/>
  <c r="D491" i="26"/>
  <c r="D492" i="26"/>
  <c r="D493" i="26"/>
  <c r="D494" i="26"/>
  <c r="D495" i="26"/>
  <c r="D496" i="26"/>
  <c r="D499" i="26"/>
  <c r="D500" i="26"/>
  <c r="D501" i="26"/>
  <c r="D502" i="26"/>
  <c r="D503" i="26"/>
  <c r="D507" i="26"/>
  <c r="D508" i="26"/>
  <c r="D509" i="26"/>
  <c r="D511" i="26"/>
  <c r="D512" i="26"/>
  <c r="D515" i="26"/>
  <c r="D516" i="26"/>
  <c r="D519" i="26"/>
  <c r="D520" i="26"/>
  <c r="D523" i="26"/>
  <c r="D524" i="26"/>
  <c r="D525" i="26"/>
  <c r="D526" i="26"/>
  <c r="D527" i="26"/>
  <c r="D528" i="26"/>
  <c r="D531" i="26"/>
  <c r="D532" i="26"/>
  <c r="D533" i="26"/>
  <c r="D534" i="26"/>
  <c r="D535" i="26"/>
  <c r="D538" i="26"/>
  <c r="D539" i="26"/>
  <c r="D540" i="26"/>
  <c r="D541" i="26"/>
  <c r="D543" i="26"/>
  <c r="D544" i="26"/>
  <c r="D547" i="26"/>
  <c r="D548" i="26"/>
  <c r="D551" i="26"/>
  <c r="D552" i="26"/>
  <c r="D555" i="26"/>
  <c r="D556" i="26"/>
  <c r="D557" i="26"/>
  <c r="D558" i="26"/>
  <c r="D559" i="26"/>
  <c r="D560" i="26"/>
  <c r="D563" i="26"/>
  <c r="D564" i="26"/>
  <c r="D565" i="26"/>
  <c r="D566" i="26"/>
  <c r="D567" i="26"/>
  <c r="D570" i="26"/>
  <c r="D571" i="26"/>
  <c r="D572" i="26"/>
  <c r="D573" i="26"/>
  <c r="D575" i="26"/>
  <c r="D576" i="26"/>
  <c r="D579" i="26"/>
  <c r="D580" i="26"/>
  <c r="D583" i="26"/>
  <c r="D584" i="26"/>
  <c r="D585" i="26"/>
  <c r="D587" i="26"/>
  <c r="D588" i="26"/>
  <c r="D589" i="26"/>
  <c r="D590" i="26"/>
  <c r="D591" i="26"/>
  <c r="D592" i="26"/>
  <c r="D595" i="26"/>
  <c r="D596" i="26"/>
  <c r="D597" i="26"/>
  <c r="D598" i="26"/>
  <c r="D599" i="26"/>
  <c r="D603" i="26"/>
  <c r="D604" i="26"/>
  <c r="D605" i="26"/>
  <c r="D607" i="26"/>
  <c r="D608" i="26"/>
  <c r="D611" i="26"/>
  <c r="D612" i="26"/>
  <c r="D615" i="26"/>
  <c r="D616" i="26"/>
  <c r="D617" i="26"/>
  <c r="D619" i="26"/>
  <c r="D620" i="26"/>
  <c r="D621" i="26"/>
  <c r="D622" i="26"/>
  <c r="D623" i="26"/>
  <c r="D624" i="26"/>
  <c r="D627" i="26"/>
  <c r="D628" i="26"/>
  <c r="D629" i="26"/>
  <c r="D630" i="26"/>
  <c r="D631" i="26"/>
  <c r="D635" i="26"/>
  <c r="D636" i="26"/>
  <c r="D637" i="26"/>
  <c r="D639" i="26"/>
  <c r="D640" i="26"/>
  <c r="D643" i="26"/>
  <c r="D644" i="26"/>
  <c r="D647" i="26"/>
  <c r="D648" i="26"/>
  <c r="D649" i="26"/>
  <c r="D651" i="26"/>
  <c r="D652" i="26"/>
  <c r="D653" i="26"/>
  <c r="D654" i="26"/>
  <c r="D655" i="26"/>
  <c r="D656" i="26"/>
  <c r="D659" i="26"/>
  <c r="D660" i="26"/>
  <c r="D661" i="26"/>
  <c r="D662" i="26"/>
  <c r="D663" i="26"/>
  <c r="D667" i="26"/>
  <c r="D668" i="26"/>
  <c r="D669" i="26"/>
  <c r="D671" i="26"/>
  <c r="D672" i="26"/>
  <c r="D675" i="26"/>
  <c r="D676" i="26"/>
  <c r="D679" i="26"/>
  <c r="D680" i="26"/>
  <c r="D681" i="26"/>
  <c r="D683" i="26"/>
  <c r="D684" i="26"/>
  <c r="D685" i="26"/>
  <c r="D686" i="26"/>
  <c r="D687" i="26"/>
  <c r="D688" i="26"/>
  <c r="D691" i="26"/>
  <c r="D692" i="26"/>
  <c r="D693" i="26"/>
  <c r="D694" i="26"/>
  <c r="D695" i="26"/>
  <c r="D698" i="26"/>
  <c r="D699" i="26"/>
  <c r="D700" i="26"/>
  <c r="D701" i="26"/>
  <c r="D703" i="26"/>
  <c r="D704" i="26"/>
  <c r="D707" i="26"/>
  <c r="D708" i="26"/>
  <c r="D711" i="26"/>
  <c r="D712" i="26"/>
  <c r="D716" i="26"/>
  <c r="D720" i="26"/>
  <c r="D722" i="26"/>
  <c r="D723" i="26"/>
  <c r="D724" i="26"/>
  <c r="D725" i="26"/>
  <c r="D730" i="26"/>
  <c r="D731" i="26"/>
  <c r="D732" i="26"/>
  <c r="D734" i="26"/>
  <c r="D736" i="26"/>
  <c r="D739" i="26"/>
  <c r="D740" i="26"/>
  <c r="D743" i="26"/>
  <c r="D744" i="26"/>
  <c r="D748" i="26"/>
  <c r="D752" i="26"/>
  <c r="D754" i="26"/>
  <c r="D755" i="26"/>
  <c r="D756" i="26"/>
  <c r="D757" i="26"/>
  <c r="D762" i="26"/>
  <c r="D763" i="26"/>
  <c r="D764" i="26"/>
  <c r="D766" i="26"/>
  <c r="D768" i="26"/>
  <c r="D771" i="26"/>
  <c r="D772" i="26"/>
  <c r="D776" i="26"/>
  <c r="D780" i="26"/>
  <c r="D784" i="26"/>
  <c r="D786" i="26"/>
  <c r="D787" i="26"/>
  <c r="D788" i="26"/>
  <c r="D789" i="26"/>
  <c r="D794" i="26"/>
  <c r="D795" i="26"/>
  <c r="D796" i="26"/>
  <c r="D800" i="26"/>
  <c r="D803" i="26"/>
  <c r="D804" i="26"/>
  <c r="D808" i="26"/>
  <c r="D812" i="26"/>
  <c r="D816" i="26"/>
  <c r="D820" i="26"/>
  <c r="D824" i="26"/>
  <c r="D828" i="26"/>
  <c r="D832" i="26"/>
  <c r="Q4" i="14"/>
  <c r="C23" i="16" s="1"/>
  <c r="F3" i="29"/>
  <c r="G3" i="29"/>
  <c r="Q3" i="14"/>
  <c r="C18" i="16" s="1"/>
  <c r="Q5" i="14"/>
  <c r="Q6" i="14"/>
  <c r="Q7" i="14"/>
  <c r="C3" i="16" s="1"/>
  <c r="Q8" i="14"/>
  <c r="C67" i="16" s="1"/>
  <c r="Q9" i="14"/>
  <c r="C78" i="16" s="1"/>
  <c r="Q10" i="14"/>
  <c r="C97" i="16" s="1"/>
  <c r="Q11" i="14"/>
  <c r="C108" i="16" s="1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A1" i="16"/>
  <c r="E42" i="16" l="1"/>
  <c r="E34" i="16"/>
  <c r="B5" i="16"/>
  <c r="E140" i="16"/>
  <c r="E36" i="16"/>
  <c r="E43" i="16"/>
  <c r="B119" i="16"/>
  <c r="B111" i="16"/>
  <c r="C115" i="16"/>
  <c r="E115" i="16" s="1"/>
  <c r="B118" i="16"/>
  <c r="B110" i="16"/>
  <c r="C114" i="16"/>
  <c r="E114" i="16" s="1"/>
  <c r="B117" i="16"/>
  <c r="B109" i="16"/>
  <c r="C113" i="16"/>
  <c r="E113" i="16" s="1"/>
  <c r="B116" i="16"/>
  <c r="B108" i="16"/>
  <c r="C112" i="16"/>
  <c r="E112" i="16" s="1"/>
  <c r="B115" i="16"/>
  <c r="C119" i="16"/>
  <c r="E119" i="16" s="1"/>
  <c r="C111" i="16"/>
  <c r="E111" i="16" s="1"/>
  <c r="B114" i="16"/>
  <c r="C118" i="16"/>
  <c r="E118" i="16" s="1"/>
  <c r="C110" i="16"/>
  <c r="E110" i="16" s="1"/>
  <c r="B113" i="16"/>
  <c r="C117" i="16"/>
  <c r="E117" i="16" s="1"/>
  <c r="C109" i="16"/>
  <c r="E109" i="16" s="1"/>
  <c r="E108" i="16"/>
  <c r="B112" i="16"/>
  <c r="C116" i="16"/>
  <c r="E116" i="16" s="1"/>
  <c r="B104" i="16"/>
  <c r="B96" i="16"/>
  <c r="C104" i="16"/>
  <c r="E104" i="16" s="1"/>
  <c r="C96" i="16"/>
  <c r="E96" i="16" s="1"/>
  <c r="B103" i="16"/>
  <c r="B95" i="16"/>
  <c r="C103" i="16"/>
  <c r="E103" i="16" s="1"/>
  <c r="C95" i="16"/>
  <c r="E95" i="16" s="1"/>
  <c r="B102" i="16"/>
  <c r="B94" i="16"/>
  <c r="C102" i="16"/>
  <c r="E102" i="16" s="1"/>
  <c r="C94" i="16"/>
  <c r="E94" i="16" s="1"/>
  <c r="B101" i="16"/>
  <c r="B93" i="16"/>
  <c r="C101" i="16"/>
  <c r="E101" i="16" s="1"/>
  <c r="C93" i="16"/>
  <c r="E93" i="16" s="1"/>
  <c r="B100" i="16"/>
  <c r="C100" i="16"/>
  <c r="E100" i="16" s="1"/>
  <c r="B99" i="16"/>
  <c r="C99" i="16"/>
  <c r="E99" i="16" s="1"/>
  <c r="B98" i="16"/>
  <c r="C98" i="16"/>
  <c r="E98" i="16" s="1"/>
  <c r="E97" i="16"/>
  <c r="B97" i="16"/>
  <c r="B89" i="16"/>
  <c r="B81" i="16"/>
  <c r="C85" i="16"/>
  <c r="E85" i="16" s="1"/>
  <c r="B88" i="16"/>
  <c r="B80" i="16"/>
  <c r="C84" i="16"/>
  <c r="E84" i="16" s="1"/>
  <c r="B87" i="16"/>
  <c r="B79" i="16"/>
  <c r="C83" i="16"/>
  <c r="E83" i="16" s="1"/>
  <c r="B86" i="16"/>
  <c r="B78" i="16"/>
  <c r="C82" i="16"/>
  <c r="E82" i="16" s="1"/>
  <c r="B85" i="16"/>
  <c r="C89" i="16"/>
  <c r="E89" i="16" s="1"/>
  <c r="C81" i="16"/>
  <c r="E81" i="16" s="1"/>
  <c r="B84" i="16"/>
  <c r="C88" i="16"/>
  <c r="E88" i="16" s="1"/>
  <c r="C80" i="16"/>
  <c r="E80" i="16" s="1"/>
  <c r="B83" i="16"/>
  <c r="C87" i="16"/>
  <c r="E87" i="16" s="1"/>
  <c r="C79" i="16"/>
  <c r="E79" i="16" s="1"/>
  <c r="E78" i="16"/>
  <c r="B82" i="16"/>
  <c r="C86" i="16"/>
  <c r="E86" i="16" s="1"/>
  <c r="B74" i="16"/>
  <c r="B66" i="16"/>
  <c r="C74" i="16"/>
  <c r="E74" i="16" s="1"/>
  <c r="C66" i="16"/>
  <c r="E66" i="16" s="1"/>
  <c r="B73" i="16"/>
  <c r="B65" i="16"/>
  <c r="C73" i="16"/>
  <c r="E73" i="16" s="1"/>
  <c r="C65" i="16"/>
  <c r="E65" i="16" s="1"/>
  <c r="B72" i="16"/>
  <c r="B64" i="16"/>
  <c r="C72" i="16"/>
  <c r="E72" i="16" s="1"/>
  <c r="C64" i="16"/>
  <c r="E64" i="16" s="1"/>
  <c r="B71" i="16"/>
  <c r="B63" i="16"/>
  <c r="C71" i="16"/>
  <c r="E71" i="16" s="1"/>
  <c r="C63" i="16"/>
  <c r="E63" i="16" s="1"/>
  <c r="B70" i="16"/>
  <c r="C70" i="16"/>
  <c r="E70" i="16" s="1"/>
  <c r="B69" i="16"/>
  <c r="C69" i="16"/>
  <c r="E69" i="16" s="1"/>
  <c r="B68" i="16"/>
  <c r="C68" i="16"/>
  <c r="E68" i="16" s="1"/>
  <c r="E67" i="16"/>
  <c r="B67" i="16"/>
  <c r="B14" i="16"/>
  <c r="B22" i="16"/>
  <c r="B21" i="16"/>
  <c r="B20" i="16"/>
  <c r="B29" i="16"/>
  <c r="B19" i="16"/>
  <c r="B28" i="16"/>
  <c r="E3" i="16"/>
  <c r="E23" i="16"/>
  <c r="B27" i="16"/>
  <c r="B25" i="16"/>
  <c r="C25" i="16"/>
  <c r="E25" i="16" s="1"/>
  <c r="B24" i="16"/>
  <c r="B26" i="16"/>
  <c r="B18" i="16"/>
  <c r="C24" i="16"/>
  <c r="E24" i="16" s="1"/>
  <c r="C22" i="16"/>
  <c r="E22" i="16" s="1"/>
  <c r="B23" i="16"/>
  <c r="C29" i="16"/>
  <c r="E29" i="16" s="1"/>
  <c r="C21" i="16"/>
  <c r="E21" i="16" s="1"/>
  <c r="E18" i="16"/>
  <c r="C28" i="16"/>
  <c r="E28" i="16" s="1"/>
  <c r="C20" i="16"/>
  <c r="E20" i="16" s="1"/>
  <c r="E44" i="16"/>
  <c r="C27" i="16"/>
  <c r="E27" i="16" s="1"/>
  <c r="C19" i="16"/>
  <c r="E19" i="16" s="1"/>
  <c r="C26" i="16"/>
  <c r="E26" i="16" s="1"/>
  <c r="D2" i="27" a="1"/>
  <c r="D2" i="27" s="1"/>
  <c r="B3" i="27" s="1"/>
  <c r="F13" i="3"/>
  <c r="F2" i="3"/>
  <c r="F9" i="3"/>
  <c r="F8" i="3"/>
  <c r="F7" i="3"/>
  <c r="F6" i="3"/>
  <c r="F12" i="3"/>
  <c r="F4" i="3"/>
  <c r="F11" i="3"/>
  <c r="F3" i="3"/>
  <c r="F10" i="3"/>
  <c r="C10" i="16"/>
  <c r="E10" i="16" s="1"/>
  <c r="B13" i="16"/>
  <c r="B4" i="16"/>
  <c r="C9" i="16"/>
  <c r="E9" i="16" s="1"/>
  <c r="B12" i="16"/>
  <c r="B3" i="16"/>
  <c r="C8" i="16"/>
  <c r="E8" i="16" s="1"/>
  <c r="B11" i="16"/>
  <c r="B10" i="16"/>
  <c r="C7" i="16"/>
  <c r="E7" i="16" s="1"/>
  <c r="B9" i="16"/>
  <c r="C14" i="16"/>
  <c r="E14" i="16" s="1"/>
  <c r="C6" i="16"/>
  <c r="E6" i="16" s="1"/>
  <c r="B8" i="16"/>
  <c r="C13" i="16"/>
  <c r="E13" i="16" s="1"/>
  <c r="C5" i="16"/>
  <c r="E5" i="16" s="1"/>
  <c r="B7" i="16"/>
  <c r="C12" i="16"/>
  <c r="E12" i="16" s="1"/>
  <c r="C4" i="16"/>
  <c r="E4" i="16" s="1"/>
  <c r="B6" i="16"/>
  <c r="C11" i="16"/>
  <c r="E11" i="16" s="1"/>
  <c r="D2" i="26"/>
  <c r="B9" i="23"/>
  <c r="B9" i="22"/>
  <c r="A136" i="16"/>
  <c r="A121" i="16"/>
  <c r="A106" i="16"/>
  <c r="A91" i="16"/>
  <c r="A76" i="16"/>
  <c r="A61" i="16"/>
  <c r="A46" i="16"/>
  <c r="A31" i="16"/>
  <c r="A16" i="16"/>
  <c r="F3" i="15"/>
  <c r="E5" i="14" s="1"/>
  <c r="F4" i="15"/>
  <c r="E3" i="14" s="1"/>
  <c r="F5" i="15"/>
  <c r="E4" i="14" s="1"/>
  <c r="F6" i="15"/>
  <c r="F7" i="15"/>
  <c r="E580" i="14" s="1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377" i="14"/>
  <c r="I378" i="14"/>
  <c r="I379" i="14"/>
  <c r="I380" i="14"/>
  <c r="I381" i="14"/>
  <c r="I382" i="14"/>
  <c r="I383" i="14"/>
  <c r="I384" i="14"/>
  <c r="I385" i="14"/>
  <c r="I386" i="14"/>
  <c r="I387" i="14"/>
  <c r="I388" i="14"/>
  <c r="I389" i="14"/>
  <c r="I390" i="14"/>
  <c r="I391" i="14"/>
  <c r="I392" i="14"/>
  <c r="I393" i="14"/>
  <c r="I394" i="14"/>
  <c r="I395" i="14"/>
  <c r="I396" i="14"/>
  <c r="I397" i="14"/>
  <c r="I398" i="14"/>
  <c r="I399" i="14"/>
  <c r="I400" i="14"/>
  <c r="I401" i="14"/>
  <c r="I402" i="14"/>
  <c r="I403" i="14"/>
  <c r="I404" i="14"/>
  <c r="I405" i="14"/>
  <c r="I406" i="14"/>
  <c r="I407" i="14"/>
  <c r="I408" i="14"/>
  <c r="I409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3" i="14"/>
  <c r="I424" i="14"/>
  <c r="I425" i="14"/>
  <c r="I426" i="14"/>
  <c r="I427" i="14"/>
  <c r="I428" i="14"/>
  <c r="I429" i="14"/>
  <c r="I430" i="14"/>
  <c r="I431" i="14"/>
  <c r="I432" i="14"/>
  <c r="I433" i="14"/>
  <c r="I434" i="14"/>
  <c r="I435" i="14"/>
  <c r="I436" i="14"/>
  <c r="I437" i="14"/>
  <c r="I438" i="14"/>
  <c r="I439" i="14"/>
  <c r="I440" i="14"/>
  <c r="I441" i="14"/>
  <c r="I442" i="14"/>
  <c r="I443" i="14"/>
  <c r="I444" i="14"/>
  <c r="I445" i="14"/>
  <c r="I446" i="14"/>
  <c r="I447" i="14"/>
  <c r="I448" i="14"/>
  <c r="I449" i="14"/>
  <c r="I450" i="14"/>
  <c r="I451" i="14"/>
  <c r="I452" i="14"/>
  <c r="I453" i="14"/>
  <c r="I454" i="14"/>
  <c r="I455" i="14"/>
  <c r="I456" i="14"/>
  <c r="I457" i="14"/>
  <c r="I458" i="14"/>
  <c r="I459" i="14"/>
  <c r="I460" i="14"/>
  <c r="I461" i="14"/>
  <c r="I462" i="14"/>
  <c r="I463" i="14"/>
  <c r="I464" i="14"/>
  <c r="I465" i="14"/>
  <c r="I466" i="14"/>
  <c r="I467" i="14"/>
  <c r="I468" i="14"/>
  <c r="I469" i="14"/>
  <c r="I470" i="14"/>
  <c r="I471" i="14"/>
  <c r="I472" i="14"/>
  <c r="I473" i="14"/>
  <c r="I474" i="14"/>
  <c r="I475" i="14"/>
  <c r="I476" i="14"/>
  <c r="I477" i="14"/>
  <c r="I478" i="14"/>
  <c r="I479" i="14"/>
  <c r="I480" i="14"/>
  <c r="I481" i="14"/>
  <c r="I482" i="14"/>
  <c r="I483" i="14"/>
  <c r="I484" i="14"/>
  <c r="I485" i="14"/>
  <c r="I486" i="14"/>
  <c r="I487" i="14"/>
  <c r="I488" i="14"/>
  <c r="I489" i="14"/>
  <c r="I490" i="14"/>
  <c r="I491" i="14"/>
  <c r="I492" i="14"/>
  <c r="I493" i="14"/>
  <c r="I494" i="14"/>
  <c r="I495" i="14"/>
  <c r="I496" i="14"/>
  <c r="I497" i="14"/>
  <c r="I498" i="14"/>
  <c r="I499" i="14"/>
  <c r="I500" i="14"/>
  <c r="I501" i="14"/>
  <c r="I502" i="14"/>
  <c r="I503" i="14"/>
  <c r="I504" i="14"/>
  <c r="I505" i="14"/>
  <c r="I506" i="14"/>
  <c r="I507" i="14"/>
  <c r="I508" i="14"/>
  <c r="I509" i="14"/>
  <c r="I510" i="14"/>
  <c r="I511" i="14"/>
  <c r="I512" i="14"/>
  <c r="I513" i="14"/>
  <c r="I514" i="14"/>
  <c r="I515" i="14"/>
  <c r="I516" i="14"/>
  <c r="I517" i="14"/>
  <c r="I518" i="14"/>
  <c r="I519" i="14"/>
  <c r="I520" i="14"/>
  <c r="I521" i="14"/>
  <c r="I522" i="14"/>
  <c r="I523" i="14"/>
  <c r="I524" i="14"/>
  <c r="I525" i="14"/>
  <c r="I526" i="14"/>
  <c r="I527" i="14"/>
  <c r="I528" i="14"/>
  <c r="I529" i="14"/>
  <c r="I530" i="14"/>
  <c r="I531" i="14"/>
  <c r="I532" i="14"/>
  <c r="I533" i="14"/>
  <c r="I534" i="14"/>
  <c r="I535" i="14"/>
  <c r="I536" i="14"/>
  <c r="I537" i="14"/>
  <c r="I538" i="14"/>
  <c r="I539" i="14"/>
  <c r="I540" i="14"/>
  <c r="I541" i="14"/>
  <c r="I542" i="14"/>
  <c r="I543" i="14"/>
  <c r="I544" i="14"/>
  <c r="I545" i="14"/>
  <c r="I546" i="14"/>
  <c r="I547" i="14"/>
  <c r="I548" i="14"/>
  <c r="I549" i="14"/>
  <c r="I550" i="14"/>
  <c r="I551" i="14"/>
  <c r="I552" i="14"/>
  <c r="I553" i="14"/>
  <c r="I554" i="14"/>
  <c r="I555" i="14"/>
  <c r="I556" i="14"/>
  <c r="I557" i="14"/>
  <c r="I558" i="14"/>
  <c r="I559" i="14"/>
  <c r="I560" i="14"/>
  <c r="I561" i="14"/>
  <c r="I562" i="14"/>
  <c r="I563" i="14"/>
  <c r="I564" i="14"/>
  <c r="I565" i="14"/>
  <c r="I566" i="14"/>
  <c r="I567" i="14"/>
  <c r="I568" i="14"/>
  <c r="I569" i="14"/>
  <c r="I570" i="14"/>
  <c r="I571" i="14"/>
  <c r="I572" i="14"/>
  <c r="I573" i="14"/>
  <c r="I574" i="14"/>
  <c r="I575" i="14"/>
  <c r="I576" i="14"/>
  <c r="I577" i="14"/>
  <c r="I578" i="14"/>
  <c r="I579" i="14"/>
  <c r="I580" i="14"/>
  <c r="I581" i="14"/>
  <c r="I582" i="14"/>
  <c r="I583" i="14"/>
  <c r="I584" i="14"/>
  <c r="I585" i="14"/>
  <c r="I586" i="14"/>
  <c r="I587" i="14"/>
  <c r="I588" i="14"/>
  <c r="I589" i="14"/>
  <c r="I590" i="14"/>
  <c r="I591" i="14"/>
  <c r="I592" i="14"/>
  <c r="I593" i="14"/>
  <c r="I594" i="14"/>
  <c r="I595" i="14"/>
  <c r="I596" i="14"/>
  <c r="I597" i="14"/>
  <c r="I598" i="14"/>
  <c r="I599" i="14"/>
  <c r="I600" i="14"/>
  <c r="I601" i="14"/>
  <c r="I602" i="14"/>
  <c r="I603" i="14"/>
  <c r="I604" i="14"/>
  <c r="I605" i="14"/>
  <c r="I606" i="14"/>
  <c r="I607" i="14"/>
  <c r="I608" i="14"/>
  <c r="I609" i="14"/>
  <c r="I610" i="14"/>
  <c r="I611" i="14"/>
  <c r="I612" i="14"/>
  <c r="I613" i="14"/>
  <c r="I614" i="14"/>
  <c r="I615" i="14"/>
  <c r="I616" i="14"/>
  <c r="I617" i="14"/>
  <c r="I618" i="14"/>
  <c r="I619" i="14"/>
  <c r="I620" i="14"/>
  <c r="I621" i="14"/>
  <c r="I622" i="14"/>
  <c r="I623" i="14"/>
  <c r="I624" i="14"/>
  <c r="I625" i="14"/>
  <c r="I626" i="14"/>
  <c r="I627" i="14"/>
  <c r="I628" i="14"/>
  <c r="I629" i="14"/>
  <c r="I630" i="14"/>
  <c r="I631" i="14"/>
  <c r="I632" i="14"/>
  <c r="I633" i="14"/>
  <c r="I634" i="14"/>
  <c r="I635" i="14"/>
  <c r="I636" i="14"/>
  <c r="I637" i="14"/>
  <c r="I638" i="14"/>
  <c r="I639" i="14"/>
  <c r="I640" i="14"/>
  <c r="I641" i="14"/>
  <c r="I642" i="14"/>
  <c r="I643" i="14"/>
  <c r="I644" i="14"/>
  <c r="I645" i="14"/>
  <c r="I646" i="14"/>
  <c r="I647" i="14"/>
  <c r="I648" i="14"/>
  <c r="I649" i="14"/>
  <c r="I650" i="14"/>
  <c r="I651" i="14"/>
  <c r="I652" i="14"/>
  <c r="I653" i="14"/>
  <c r="I654" i="14"/>
  <c r="I655" i="14"/>
  <c r="I656" i="14"/>
  <c r="I657" i="14"/>
  <c r="I658" i="14"/>
  <c r="I659" i="14"/>
  <c r="I660" i="14"/>
  <c r="I661" i="14"/>
  <c r="I662" i="14"/>
  <c r="I663" i="14"/>
  <c r="I664" i="14"/>
  <c r="I665" i="14"/>
  <c r="I666" i="14"/>
  <c r="I667" i="14"/>
  <c r="I668" i="14"/>
  <c r="I669" i="14"/>
  <c r="I670" i="14"/>
  <c r="I671" i="14"/>
  <c r="I672" i="14"/>
  <c r="I673" i="14"/>
  <c r="I674" i="14"/>
  <c r="I675" i="14"/>
  <c r="I676" i="14"/>
  <c r="I677" i="14"/>
  <c r="I678" i="14"/>
  <c r="I679" i="14"/>
  <c r="I680" i="14"/>
  <c r="I681" i="14"/>
  <c r="I682" i="14"/>
  <c r="I683" i="14"/>
  <c r="I684" i="14"/>
  <c r="I685" i="14"/>
  <c r="I686" i="14"/>
  <c r="I687" i="14"/>
  <c r="I688" i="14"/>
  <c r="I689" i="14"/>
  <c r="I690" i="14"/>
  <c r="I691" i="14"/>
  <c r="I692" i="14"/>
  <c r="I693" i="14"/>
  <c r="I694" i="14"/>
  <c r="I695" i="14"/>
  <c r="I696" i="14"/>
  <c r="I697" i="14"/>
  <c r="I698" i="14"/>
  <c r="I699" i="14"/>
  <c r="I700" i="14"/>
  <c r="I701" i="14"/>
  <c r="I702" i="14"/>
  <c r="I703" i="14"/>
  <c r="I704" i="14"/>
  <c r="I705" i="14"/>
  <c r="I706" i="14"/>
  <c r="I707" i="14"/>
  <c r="I708" i="14"/>
  <c r="I709" i="14"/>
  <c r="I710" i="14"/>
  <c r="I711" i="14"/>
  <c r="I712" i="14"/>
  <c r="I713" i="14"/>
  <c r="I714" i="14"/>
  <c r="I715" i="14"/>
  <c r="I716" i="14"/>
  <c r="I717" i="14"/>
  <c r="I718" i="14"/>
  <c r="I719" i="14"/>
  <c r="I720" i="14"/>
  <c r="I721" i="14"/>
  <c r="I722" i="14"/>
  <c r="I723" i="14"/>
  <c r="I724" i="14"/>
  <c r="I725" i="14"/>
  <c r="I726" i="14"/>
  <c r="I727" i="14"/>
  <c r="I728" i="14"/>
  <c r="I729" i="14"/>
  <c r="I730" i="14"/>
  <c r="I731" i="14"/>
  <c r="I732" i="14"/>
  <c r="I733" i="14"/>
  <c r="I734" i="14"/>
  <c r="I735" i="14"/>
  <c r="I736" i="14"/>
  <c r="I737" i="14"/>
  <c r="I738" i="14"/>
  <c r="I739" i="14"/>
  <c r="I740" i="14"/>
  <c r="I741" i="14"/>
  <c r="I742" i="14"/>
  <c r="I743" i="14"/>
  <c r="I744" i="14"/>
  <c r="I745" i="14"/>
  <c r="I746" i="14"/>
  <c r="I747" i="14"/>
  <c r="I748" i="14"/>
  <c r="I749" i="14"/>
  <c r="I750" i="14"/>
  <c r="I751" i="14"/>
  <c r="I752" i="14"/>
  <c r="I753" i="14"/>
  <c r="I754" i="14"/>
  <c r="I755" i="14"/>
  <c r="I756" i="14"/>
  <c r="I757" i="14"/>
  <c r="I758" i="14"/>
  <c r="I759" i="14"/>
  <c r="I760" i="14"/>
  <c r="I761" i="14"/>
  <c r="I762" i="14"/>
  <c r="I763" i="14"/>
  <c r="I764" i="14"/>
  <c r="I765" i="14"/>
  <c r="I766" i="14"/>
  <c r="I767" i="14"/>
  <c r="I768" i="14"/>
  <c r="I769" i="14"/>
  <c r="I770" i="14"/>
  <c r="I771" i="14"/>
  <c r="I772" i="14"/>
  <c r="I773" i="14"/>
  <c r="I774" i="14"/>
  <c r="I775" i="14"/>
  <c r="I776" i="14"/>
  <c r="I777" i="14"/>
  <c r="I778" i="14"/>
  <c r="I779" i="14"/>
  <c r="I780" i="14"/>
  <c r="I781" i="14"/>
  <c r="I782" i="14"/>
  <c r="I783" i="14"/>
  <c r="I784" i="14"/>
  <c r="I785" i="14"/>
  <c r="I786" i="14"/>
  <c r="I787" i="14"/>
  <c r="I788" i="14"/>
  <c r="I789" i="14"/>
  <c r="I790" i="14"/>
  <c r="I791" i="14"/>
  <c r="I792" i="14"/>
  <c r="I793" i="14"/>
  <c r="I794" i="14"/>
  <c r="I795" i="14"/>
  <c r="I796" i="14"/>
  <c r="I797" i="14"/>
  <c r="I798" i="14"/>
  <c r="I799" i="14"/>
  <c r="I800" i="14"/>
  <c r="I801" i="14"/>
  <c r="I802" i="14"/>
  <c r="I803" i="14"/>
  <c r="I804" i="14"/>
  <c r="I805" i="14"/>
  <c r="I806" i="14"/>
  <c r="I807" i="14"/>
  <c r="I808" i="14"/>
  <c r="I809" i="14"/>
  <c r="I810" i="14"/>
  <c r="I811" i="14"/>
  <c r="I812" i="14"/>
  <c r="I813" i="14"/>
  <c r="I814" i="14"/>
  <c r="I815" i="14"/>
  <c r="I816" i="14"/>
  <c r="I817" i="14"/>
  <c r="I818" i="14"/>
  <c r="I819" i="14"/>
  <c r="I820" i="14"/>
  <c r="I821" i="14"/>
  <c r="I822" i="14"/>
  <c r="I823" i="14"/>
  <c r="I824" i="14"/>
  <c r="I825" i="14"/>
  <c r="I826" i="14"/>
  <c r="I827" i="14"/>
  <c r="I828" i="14"/>
  <c r="I829" i="14"/>
  <c r="I830" i="14"/>
  <c r="I831" i="14"/>
  <c r="I832" i="14"/>
  <c r="I833" i="14"/>
  <c r="I834" i="14"/>
  <c r="I835" i="14"/>
  <c r="I836" i="14"/>
  <c r="I837" i="14"/>
  <c r="I838" i="14"/>
  <c r="I839" i="14"/>
  <c r="I840" i="14"/>
  <c r="I841" i="14"/>
  <c r="I842" i="14"/>
  <c r="I843" i="14"/>
  <c r="I844" i="14"/>
  <c r="I845" i="14"/>
  <c r="I846" i="14"/>
  <c r="I847" i="14"/>
  <c r="I848" i="14"/>
  <c r="I849" i="14"/>
  <c r="I850" i="14"/>
  <c r="I851" i="14"/>
  <c r="I852" i="14"/>
  <c r="I853" i="14"/>
  <c r="I854" i="14"/>
  <c r="I855" i="14"/>
  <c r="I856" i="14"/>
  <c r="I857" i="14"/>
  <c r="I858" i="14"/>
  <c r="I859" i="14"/>
  <c r="I860" i="14"/>
  <c r="I861" i="14"/>
  <c r="I862" i="14"/>
  <c r="I863" i="14"/>
  <c r="I864" i="14"/>
  <c r="I865" i="14"/>
  <c r="I866" i="14"/>
  <c r="I867" i="14"/>
  <c r="I868" i="14"/>
  <c r="I869" i="14"/>
  <c r="I870" i="14"/>
  <c r="I871" i="14"/>
  <c r="I872" i="14"/>
  <c r="I873" i="14"/>
  <c r="I874" i="14"/>
  <c r="I875" i="14"/>
  <c r="I876" i="14"/>
  <c r="I877" i="14"/>
  <c r="I878" i="14"/>
  <c r="I879" i="14"/>
  <c r="I880" i="14"/>
  <c r="I881" i="14"/>
  <c r="I882" i="14"/>
  <c r="I883" i="14"/>
  <c r="I884" i="14"/>
  <c r="I885" i="14"/>
  <c r="I886" i="14"/>
  <c r="I887" i="14"/>
  <c r="I888" i="14"/>
  <c r="I889" i="14"/>
  <c r="I890" i="14"/>
  <c r="I891" i="14"/>
  <c r="I892" i="14"/>
  <c r="I893" i="14"/>
  <c r="I894" i="14"/>
  <c r="I895" i="14"/>
  <c r="I896" i="14"/>
  <c r="I897" i="14"/>
  <c r="I898" i="14"/>
  <c r="I899" i="14"/>
  <c r="I900" i="14"/>
  <c r="I901" i="14"/>
  <c r="I902" i="14"/>
  <c r="I903" i="14"/>
  <c r="I904" i="14"/>
  <c r="I905" i="14"/>
  <c r="I906" i="14"/>
  <c r="I907" i="14"/>
  <c r="I908" i="14"/>
  <c r="I909" i="14"/>
  <c r="I910" i="14"/>
  <c r="I911" i="14"/>
  <c r="I912" i="14"/>
  <c r="I913" i="14"/>
  <c r="I914" i="14"/>
  <c r="I915" i="14"/>
  <c r="I916" i="14"/>
  <c r="I917" i="14"/>
  <c r="I918" i="14"/>
  <c r="I919" i="14"/>
  <c r="I920" i="14"/>
  <c r="I921" i="14"/>
  <c r="I922" i="14"/>
  <c r="I923" i="14"/>
  <c r="I924" i="14"/>
  <c r="I925" i="14"/>
  <c r="I926" i="14"/>
  <c r="I927" i="14"/>
  <c r="I928" i="14"/>
  <c r="I929" i="14"/>
  <c r="I930" i="14"/>
  <c r="I931" i="14"/>
  <c r="I932" i="14"/>
  <c r="I933" i="14"/>
  <c r="I934" i="14"/>
  <c r="I935" i="14"/>
  <c r="I936" i="14"/>
  <c r="I937" i="14"/>
  <c r="I938" i="14"/>
  <c r="I939" i="14"/>
  <c r="I940" i="14"/>
  <c r="I941" i="14"/>
  <c r="I942" i="14"/>
  <c r="I943" i="14"/>
  <c r="I944" i="14"/>
  <c r="I945" i="14"/>
  <c r="I946" i="14"/>
  <c r="I947" i="14"/>
  <c r="I948" i="14"/>
  <c r="I949" i="14"/>
  <c r="I950" i="14"/>
  <c r="I951" i="14"/>
  <c r="I952" i="14"/>
  <c r="I953" i="14"/>
  <c r="I954" i="14"/>
  <c r="I955" i="14"/>
  <c r="I956" i="14"/>
  <c r="I957" i="14"/>
  <c r="I958" i="14"/>
  <c r="I959" i="14"/>
  <c r="I960" i="14"/>
  <c r="I961" i="14"/>
  <c r="I962" i="14"/>
  <c r="I963" i="14"/>
  <c r="I964" i="14"/>
  <c r="I965" i="14"/>
  <c r="I966" i="14"/>
  <c r="I967" i="14"/>
  <c r="I968" i="14"/>
  <c r="I969" i="14"/>
  <c r="I970" i="14"/>
  <c r="I971" i="14"/>
  <c r="I972" i="14"/>
  <c r="I973" i="14"/>
  <c r="I974" i="14"/>
  <c r="I975" i="14"/>
  <c r="I976" i="14"/>
  <c r="I977" i="14"/>
  <c r="I978" i="14"/>
  <c r="I979" i="14"/>
  <c r="I980" i="14"/>
  <c r="I981" i="14"/>
  <c r="I982" i="14"/>
  <c r="I983" i="14"/>
  <c r="I984" i="14"/>
  <c r="I985" i="14"/>
  <c r="I986" i="14"/>
  <c r="I987" i="14"/>
  <c r="I988" i="14"/>
  <c r="I989" i="14"/>
  <c r="I990" i="14"/>
  <c r="I991" i="14"/>
  <c r="I992" i="14"/>
  <c r="I993" i="14"/>
  <c r="I994" i="14"/>
  <c r="I995" i="14"/>
  <c r="I996" i="14"/>
  <c r="I997" i="14"/>
  <c r="I998" i="14"/>
  <c r="I999" i="14"/>
  <c r="I1000" i="14"/>
  <c r="B2" i="23"/>
  <c r="B3" i="23" s="1"/>
  <c r="D3" i="23" s="1" a="1"/>
  <c r="D3" i="23" s="1"/>
  <c r="B8" i="23" s="1"/>
  <c r="B2" i="22"/>
  <c r="B4" i="22" s="1"/>
  <c r="B2" i="21"/>
  <c r="B4" i="21" s="1"/>
  <c r="B2" i="20"/>
  <c r="B4" i="20" s="1"/>
  <c r="B2" i="19"/>
  <c r="B4" i="19" s="1"/>
  <c r="B2" i="18"/>
  <c r="B3" i="18" s="1"/>
  <c r="B2" i="17"/>
  <c r="B4" i="17" s="1"/>
  <c r="B2" i="10"/>
  <c r="B4" i="10" s="1"/>
  <c r="B2" i="12"/>
  <c r="B4" i="12" s="1"/>
  <c r="B2" i="11"/>
  <c r="B3" i="11" s="1"/>
  <c r="AJ16" i="6"/>
  <c r="AI16" i="6"/>
  <c r="AJ15" i="6"/>
  <c r="AI15" i="6"/>
  <c r="AJ14" i="6"/>
  <c r="AI14" i="6"/>
  <c r="AJ13" i="6"/>
  <c r="AI13" i="6"/>
  <c r="AJ12" i="6"/>
  <c r="AI12" i="6"/>
  <c r="AJ11" i="6"/>
  <c r="AI11" i="6"/>
  <c r="AJ10" i="6"/>
  <c r="AI10" i="6"/>
  <c r="AJ9" i="6"/>
  <c r="AI9" i="6"/>
  <c r="AJ8" i="6"/>
  <c r="AI8" i="6"/>
  <c r="AJ7" i="6"/>
  <c r="AI7" i="6"/>
  <c r="AJ6" i="6"/>
  <c r="AI6" i="6"/>
  <c r="AJ5" i="6"/>
  <c r="AI5" i="6"/>
  <c r="AJ4" i="6"/>
  <c r="AI4" i="6"/>
  <c r="E2" i="3" l="1"/>
  <c r="G2" i="3" s="1"/>
  <c r="E10" i="3"/>
  <c r="G10" i="3" s="1"/>
  <c r="E3" i="3"/>
  <c r="G3" i="3" s="1"/>
  <c r="E11" i="3"/>
  <c r="G11" i="3" s="1"/>
  <c r="E4" i="3"/>
  <c r="G4" i="3" s="1"/>
  <c r="E12" i="3"/>
  <c r="G12" i="3" s="1"/>
  <c r="E5" i="3"/>
  <c r="G5" i="3" s="1"/>
  <c r="E13" i="3"/>
  <c r="G13" i="3" s="1"/>
  <c r="E7" i="3"/>
  <c r="G7" i="3" s="1"/>
  <c r="E6" i="3"/>
  <c r="G6" i="3" s="1"/>
  <c r="E8" i="3"/>
  <c r="G8" i="3" s="1"/>
  <c r="E9" i="3"/>
  <c r="G9" i="3" s="1"/>
  <c r="D3" i="18" a="1"/>
  <c r="D3" i="18" s="1"/>
  <c r="B8" i="18" s="1"/>
  <c r="D2" i="28" a="1"/>
  <c r="D2" i="28" s="1"/>
  <c r="B3" i="28" s="1"/>
  <c r="D3" i="11" a="1"/>
  <c r="D3" i="11" s="1"/>
  <c r="B8" i="11" s="1"/>
  <c r="B10" i="22"/>
  <c r="E84" i="14"/>
  <c r="E835" i="14"/>
  <c r="E748" i="14"/>
  <c r="E769" i="14"/>
  <c r="E20" i="14"/>
  <c r="E411" i="14"/>
  <c r="E101" i="14"/>
  <c r="E348" i="14"/>
  <c r="E945" i="14"/>
  <c r="E179" i="14"/>
  <c r="E922" i="14"/>
  <c r="E131" i="14"/>
  <c r="E858" i="14"/>
  <c r="E124" i="14"/>
  <c r="E643" i="14"/>
  <c r="E18" i="14"/>
  <c r="E938" i="14"/>
  <c r="E851" i="14"/>
  <c r="E766" i="14"/>
  <c r="E622" i="14"/>
  <c r="E390" i="14"/>
  <c r="E172" i="14"/>
  <c r="E82" i="14"/>
  <c r="E94" i="14"/>
  <c r="E915" i="14"/>
  <c r="E833" i="14"/>
  <c r="E740" i="14"/>
  <c r="E563" i="14"/>
  <c r="E342" i="14"/>
  <c r="E110" i="14"/>
  <c r="E66" i="14"/>
  <c r="E986" i="14"/>
  <c r="E899" i="14"/>
  <c r="E817" i="14"/>
  <c r="E719" i="14"/>
  <c r="E518" i="14"/>
  <c r="E300" i="14"/>
  <c r="E59" i="14"/>
  <c r="E979" i="14"/>
  <c r="E897" i="14"/>
  <c r="E810" i="14"/>
  <c r="E710" i="14"/>
  <c r="E515" i="14"/>
  <c r="E283" i="14"/>
  <c r="E43" i="14"/>
  <c r="E963" i="14"/>
  <c r="E881" i="14"/>
  <c r="E794" i="14"/>
  <c r="E684" i="14"/>
  <c r="E470" i="14"/>
  <c r="E238" i="14"/>
  <c r="E36" i="14"/>
  <c r="E961" i="14"/>
  <c r="E874" i="14"/>
  <c r="E787" i="14"/>
  <c r="E678" i="14"/>
  <c r="E452" i="14"/>
  <c r="E220" i="14"/>
  <c r="E83" i="14"/>
  <c r="E60" i="14"/>
  <c r="E42" i="14"/>
  <c r="E19" i="14"/>
  <c r="E95" i="14"/>
  <c r="E985" i="14"/>
  <c r="E962" i="14"/>
  <c r="E939" i="14"/>
  <c r="E921" i="14"/>
  <c r="E898" i="14"/>
  <c r="E875" i="14"/>
  <c r="E857" i="14"/>
  <c r="E834" i="14"/>
  <c r="E811" i="14"/>
  <c r="E793" i="14"/>
  <c r="E767" i="14"/>
  <c r="E741" i="14"/>
  <c r="E718" i="14"/>
  <c r="E683" i="14"/>
  <c r="E627" i="14"/>
  <c r="E579" i="14"/>
  <c r="E516" i="14"/>
  <c r="E454" i="14"/>
  <c r="E406" i="14"/>
  <c r="E347" i="14"/>
  <c r="E284" i="14"/>
  <c r="E236" i="14"/>
  <c r="E174" i="14"/>
  <c r="E115" i="14"/>
  <c r="E76" i="14"/>
  <c r="E58" i="14"/>
  <c r="E35" i="14"/>
  <c r="E12" i="14"/>
  <c r="E93" i="14"/>
  <c r="E978" i="14"/>
  <c r="E955" i="14"/>
  <c r="E937" i="14"/>
  <c r="E914" i="14"/>
  <c r="E891" i="14"/>
  <c r="E873" i="14"/>
  <c r="E850" i="14"/>
  <c r="E827" i="14"/>
  <c r="E809" i="14"/>
  <c r="E786" i="14"/>
  <c r="E759" i="14"/>
  <c r="E739" i="14"/>
  <c r="E709" i="14"/>
  <c r="E668" i="14"/>
  <c r="E620" i="14"/>
  <c r="E558" i="14"/>
  <c r="E499" i="14"/>
  <c r="E451" i="14"/>
  <c r="E388" i="14"/>
  <c r="E326" i="14"/>
  <c r="E278" i="14"/>
  <c r="E219" i="14"/>
  <c r="E156" i="14"/>
  <c r="E108" i="14"/>
  <c r="E75" i="14"/>
  <c r="E52" i="14"/>
  <c r="E34" i="14"/>
  <c r="E11" i="14"/>
  <c r="E995" i="14"/>
  <c r="E977" i="14"/>
  <c r="E954" i="14"/>
  <c r="E931" i="14"/>
  <c r="E913" i="14"/>
  <c r="E890" i="14"/>
  <c r="E867" i="14"/>
  <c r="E849" i="14"/>
  <c r="E826" i="14"/>
  <c r="E803" i="14"/>
  <c r="E785" i="14"/>
  <c r="E758" i="14"/>
  <c r="E732" i="14"/>
  <c r="E708" i="14"/>
  <c r="E667" i="14"/>
  <c r="E604" i="14"/>
  <c r="E556" i="14"/>
  <c r="E494" i="14"/>
  <c r="E435" i="14"/>
  <c r="E387" i="14"/>
  <c r="E324" i="14"/>
  <c r="E262" i="14"/>
  <c r="E214" i="14"/>
  <c r="E155" i="14"/>
  <c r="E92" i="14"/>
  <c r="E74" i="14"/>
  <c r="E51" i="14"/>
  <c r="E28" i="14"/>
  <c r="E10" i="14"/>
  <c r="E994" i="14"/>
  <c r="E971" i="14"/>
  <c r="E953" i="14"/>
  <c r="E930" i="14"/>
  <c r="E907" i="14"/>
  <c r="E889" i="14"/>
  <c r="E866" i="14"/>
  <c r="E843" i="14"/>
  <c r="E825" i="14"/>
  <c r="E802" i="14"/>
  <c r="E778" i="14"/>
  <c r="E757" i="14"/>
  <c r="E731" i="14"/>
  <c r="E700" i="14"/>
  <c r="E662" i="14"/>
  <c r="E603" i="14"/>
  <c r="E540" i="14"/>
  <c r="E492" i="14"/>
  <c r="E430" i="14"/>
  <c r="E371" i="14"/>
  <c r="E323" i="14"/>
  <c r="E260" i="14"/>
  <c r="E198" i="14"/>
  <c r="E150" i="14"/>
  <c r="E91" i="14"/>
  <c r="E68" i="14"/>
  <c r="E50" i="14"/>
  <c r="E27" i="14"/>
  <c r="E103" i="14"/>
  <c r="E993" i="14"/>
  <c r="E970" i="14"/>
  <c r="E947" i="14"/>
  <c r="E929" i="14"/>
  <c r="E906" i="14"/>
  <c r="E883" i="14"/>
  <c r="E865" i="14"/>
  <c r="E842" i="14"/>
  <c r="E819" i="14"/>
  <c r="E801" i="14"/>
  <c r="E777" i="14"/>
  <c r="E750" i="14"/>
  <c r="E729" i="14"/>
  <c r="E699" i="14"/>
  <c r="E646" i="14"/>
  <c r="E598" i="14"/>
  <c r="E539" i="14"/>
  <c r="E476" i="14"/>
  <c r="E428" i="14"/>
  <c r="E366" i="14"/>
  <c r="E307" i="14"/>
  <c r="E259" i="14"/>
  <c r="E196" i="14"/>
  <c r="E134" i="14"/>
  <c r="E90" i="14"/>
  <c r="E67" i="14"/>
  <c r="E44" i="14"/>
  <c r="E26" i="14"/>
  <c r="E102" i="14"/>
  <c r="E987" i="14"/>
  <c r="E969" i="14"/>
  <c r="E946" i="14"/>
  <c r="E923" i="14"/>
  <c r="E905" i="14"/>
  <c r="E882" i="14"/>
  <c r="E859" i="14"/>
  <c r="E841" i="14"/>
  <c r="E818" i="14"/>
  <c r="E795" i="14"/>
  <c r="E775" i="14"/>
  <c r="E749" i="14"/>
  <c r="E721" i="14"/>
  <c r="E694" i="14"/>
  <c r="E644" i="14"/>
  <c r="E582" i="14"/>
  <c r="E534" i="14"/>
  <c r="E475" i="14"/>
  <c r="E412" i="14"/>
  <c r="E364" i="14"/>
  <c r="E302" i="14"/>
  <c r="E243" i="14"/>
  <c r="E195" i="14"/>
  <c r="E132" i="14"/>
  <c r="E89" i="14"/>
  <c r="E81" i="14"/>
  <c r="E73" i="14"/>
  <c r="E65" i="14"/>
  <c r="E57" i="14"/>
  <c r="E49" i="14"/>
  <c r="E41" i="14"/>
  <c r="E33" i="14"/>
  <c r="E25" i="14"/>
  <c r="E17" i="14"/>
  <c r="E9" i="14"/>
  <c r="E100" i="14"/>
  <c r="E1000" i="14"/>
  <c r="E992" i="14"/>
  <c r="E984" i="14"/>
  <c r="E976" i="14"/>
  <c r="E968" i="14"/>
  <c r="E960" i="14"/>
  <c r="E952" i="14"/>
  <c r="E944" i="14"/>
  <c r="E936" i="14"/>
  <c r="E928" i="14"/>
  <c r="E920" i="14"/>
  <c r="E912" i="14"/>
  <c r="E904" i="14"/>
  <c r="E896" i="14"/>
  <c r="E888" i="14"/>
  <c r="E880" i="14"/>
  <c r="E872" i="14"/>
  <c r="E864" i="14"/>
  <c r="E856" i="14"/>
  <c r="E848" i="14"/>
  <c r="E840" i="14"/>
  <c r="E832" i="14"/>
  <c r="E824" i="14"/>
  <c r="E816" i="14"/>
  <c r="E808" i="14"/>
  <c r="E800" i="14"/>
  <c r="E792" i="14"/>
  <c r="E783" i="14"/>
  <c r="E774" i="14"/>
  <c r="E765" i="14"/>
  <c r="E756" i="14"/>
  <c r="E747" i="14"/>
  <c r="E738" i="14"/>
  <c r="E727" i="14"/>
  <c r="E717" i="14"/>
  <c r="E707" i="14"/>
  <c r="E693" i="14"/>
  <c r="E677" i="14"/>
  <c r="E660" i="14"/>
  <c r="E638" i="14"/>
  <c r="E619" i="14"/>
  <c r="E596" i="14"/>
  <c r="E574" i="14"/>
  <c r="E555" i="14"/>
  <c r="E532" i="14"/>
  <c r="E510" i="14"/>
  <c r="E491" i="14"/>
  <c r="E468" i="14"/>
  <c r="E446" i="14"/>
  <c r="E427" i="14"/>
  <c r="E404" i="14"/>
  <c r="E382" i="14"/>
  <c r="E363" i="14"/>
  <c r="E340" i="14"/>
  <c r="E318" i="14"/>
  <c r="E299" i="14"/>
  <c r="E276" i="14"/>
  <c r="E254" i="14"/>
  <c r="E235" i="14"/>
  <c r="E212" i="14"/>
  <c r="E190" i="14"/>
  <c r="E171" i="14"/>
  <c r="E148" i="14"/>
  <c r="E126" i="14"/>
  <c r="E107" i="14"/>
  <c r="E88" i="14"/>
  <c r="E56" i="14"/>
  <c r="E32" i="14"/>
  <c r="E8" i="14"/>
  <c r="E99" i="14"/>
  <c r="E991" i="14"/>
  <c r="E967" i="14"/>
  <c r="E959" i="14"/>
  <c r="E951" i="14"/>
  <c r="E943" i="14"/>
  <c r="E935" i="14"/>
  <c r="E927" i="14"/>
  <c r="E919" i="14"/>
  <c r="E911" i="14"/>
  <c r="E903" i="14"/>
  <c r="E895" i="14"/>
  <c r="E887" i="14"/>
  <c r="E879" i="14"/>
  <c r="E871" i="14"/>
  <c r="E863" i="14"/>
  <c r="E855" i="14"/>
  <c r="E847" i="14"/>
  <c r="E839" i="14"/>
  <c r="E831" i="14"/>
  <c r="E823" i="14"/>
  <c r="E815" i="14"/>
  <c r="E807" i="14"/>
  <c r="E799" i="14"/>
  <c r="E791" i="14"/>
  <c r="E782" i="14"/>
  <c r="E773" i="14"/>
  <c r="E764" i="14"/>
  <c r="E755" i="14"/>
  <c r="E746" i="14"/>
  <c r="E737" i="14"/>
  <c r="E726" i="14"/>
  <c r="E716" i="14"/>
  <c r="E705" i="14"/>
  <c r="E692" i="14"/>
  <c r="E676" i="14"/>
  <c r="E659" i="14"/>
  <c r="E636" i="14"/>
  <c r="E614" i="14"/>
  <c r="E595" i="14"/>
  <c r="E572" i="14"/>
  <c r="E550" i="14"/>
  <c r="E531" i="14"/>
  <c r="E508" i="14"/>
  <c r="E486" i="14"/>
  <c r="E467" i="14"/>
  <c r="E444" i="14"/>
  <c r="E422" i="14"/>
  <c r="E403" i="14"/>
  <c r="E380" i="14"/>
  <c r="E358" i="14"/>
  <c r="E339" i="14"/>
  <c r="E316" i="14"/>
  <c r="E294" i="14"/>
  <c r="E275" i="14"/>
  <c r="E252" i="14"/>
  <c r="E230" i="14"/>
  <c r="E211" i="14"/>
  <c r="E188" i="14"/>
  <c r="E166" i="14"/>
  <c r="E147" i="14"/>
  <c r="E111" i="14"/>
  <c r="E119" i="14"/>
  <c r="E127" i="14"/>
  <c r="E135" i="14"/>
  <c r="E143" i="14"/>
  <c r="E151" i="14"/>
  <c r="E159" i="14"/>
  <c r="E167" i="14"/>
  <c r="E175" i="14"/>
  <c r="E183" i="14"/>
  <c r="E191" i="14"/>
  <c r="E199" i="14"/>
  <c r="E207" i="14"/>
  <c r="E215" i="14"/>
  <c r="E223" i="14"/>
  <c r="E231" i="14"/>
  <c r="E239" i="14"/>
  <c r="E247" i="14"/>
  <c r="E255" i="14"/>
  <c r="E263" i="14"/>
  <c r="E271" i="14"/>
  <c r="E279" i="14"/>
  <c r="E287" i="14"/>
  <c r="E295" i="14"/>
  <c r="E303" i="14"/>
  <c r="E311" i="14"/>
  <c r="E319" i="14"/>
  <c r="E327" i="14"/>
  <c r="E335" i="14"/>
  <c r="E343" i="14"/>
  <c r="E351" i="14"/>
  <c r="E359" i="14"/>
  <c r="E367" i="14"/>
  <c r="E375" i="14"/>
  <c r="E383" i="14"/>
  <c r="E391" i="14"/>
  <c r="E399" i="14"/>
  <c r="E407" i="14"/>
  <c r="E415" i="14"/>
  <c r="E423" i="14"/>
  <c r="E431" i="14"/>
  <c r="E439" i="14"/>
  <c r="E447" i="14"/>
  <c r="E455" i="14"/>
  <c r="E463" i="14"/>
  <c r="E471" i="14"/>
  <c r="E479" i="14"/>
  <c r="E487" i="14"/>
  <c r="E495" i="14"/>
  <c r="E503" i="14"/>
  <c r="E511" i="14"/>
  <c r="E519" i="14"/>
  <c r="E527" i="14"/>
  <c r="E535" i="14"/>
  <c r="E543" i="14"/>
  <c r="E551" i="14"/>
  <c r="E559" i="14"/>
  <c r="E567" i="14"/>
  <c r="E575" i="14"/>
  <c r="E583" i="14"/>
  <c r="E591" i="14"/>
  <c r="E599" i="14"/>
  <c r="E607" i="14"/>
  <c r="E615" i="14"/>
  <c r="E623" i="14"/>
  <c r="E631" i="14"/>
  <c r="E639" i="14"/>
  <c r="E647" i="14"/>
  <c r="E655" i="14"/>
  <c r="E663" i="14"/>
  <c r="E671" i="14"/>
  <c r="E679" i="14"/>
  <c r="E687" i="14"/>
  <c r="E695" i="14"/>
  <c r="E112" i="14"/>
  <c r="E120" i="14"/>
  <c r="E128" i="14"/>
  <c r="E136" i="14"/>
  <c r="E144" i="14"/>
  <c r="E152" i="14"/>
  <c r="E160" i="14"/>
  <c r="E168" i="14"/>
  <c r="E176" i="14"/>
  <c r="E184" i="14"/>
  <c r="E192" i="14"/>
  <c r="E200" i="14"/>
  <c r="E208" i="14"/>
  <c r="E216" i="14"/>
  <c r="E224" i="14"/>
  <c r="E232" i="14"/>
  <c r="E240" i="14"/>
  <c r="E248" i="14"/>
  <c r="E256" i="14"/>
  <c r="E264" i="14"/>
  <c r="E272" i="14"/>
  <c r="E280" i="14"/>
  <c r="E288" i="14"/>
  <c r="E296" i="14"/>
  <c r="E304" i="14"/>
  <c r="E312" i="14"/>
  <c r="E320" i="14"/>
  <c r="E328" i="14"/>
  <c r="E336" i="14"/>
  <c r="E344" i="14"/>
  <c r="E352" i="14"/>
  <c r="E360" i="14"/>
  <c r="E368" i="14"/>
  <c r="E376" i="14"/>
  <c r="E384" i="14"/>
  <c r="E392" i="14"/>
  <c r="E400" i="14"/>
  <c r="E408" i="14"/>
  <c r="E416" i="14"/>
  <c r="E424" i="14"/>
  <c r="E432" i="14"/>
  <c r="E440" i="14"/>
  <c r="E448" i="14"/>
  <c r="E456" i="14"/>
  <c r="E464" i="14"/>
  <c r="E472" i="14"/>
  <c r="E480" i="14"/>
  <c r="E488" i="14"/>
  <c r="E496" i="14"/>
  <c r="E504" i="14"/>
  <c r="E512" i="14"/>
  <c r="E520" i="14"/>
  <c r="E528" i="14"/>
  <c r="E536" i="14"/>
  <c r="E544" i="14"/>
  <c r="E552" i="14"/>
  <c r="E560" i="14"/>
  <c r="E568" i="14"/>
  <c r="E576" i="14"/>
  <c r="E584" i="14"/>
  <c r="E592" i="14"/>
  <c r="E600" i="14"/>
  <c r="E608" i="14"/>
  <c r="E616" i="14"/>
  <c r="E624" i="14"/>
  <c r="E632" i="14"/>
  <c r="E640" i="14"/>
  <c r="E648" i="14"/>
  <c r="E656" i="14"/>
  <c r="E664" i="14"/>
  <c r="E672" i="14"/>
  <c r="E680" i="14"/>
  <c r="E688" i="14"/>
  <c r="E696" i="14"/>
  <c r="E704" i="14"/>
  <c r="E712" i="14"/>
  <c r="E720" i="14"/>
  <c r="E728" i="14"/>
  <c r="E736" i="14"/>
  <c r="E744" i="14"/>
  <c r="E752" i="14"/>
  <c r="E760" i="14"/>
  <c r="E768" i="14"/>
  <c r="E776" i="14"/>
  <c r="E784" i="14"/>
  <c r="E113" i="14"/>
  <c r="E121" i="14"/>
  <c r="E129" i="14"/>
  <c r="E137" i="14"/>
  <c r="E145" i="14"/>
  <c r="E153" i="14"/>
  <c r="E161" i="14"/>
  <c r="E169" i="14"/>
  <c r="E177" i="14"/>
  <c r="E185" i="14"/>
  <c r="E193" i="14"/>
  <c r="E201" i="14"/>
  <c r="E209" i="14"/>
  <c r="E217" i="14"/>
  <c r="E225" i="14"/>
  <c r="E233" i="14"/>
  <c r="E241" i="14"/>
  <c r="E249" i="14"/>
  <c r="E257" i="14"/>
  <c r="E265" i="14"/>
  <c r="E273" i="14"/>
  <c r="E281" i="14"/>
  <c r="E289" i="14"/>
  <c r="E297" i="14"/>
  <c r="E305" i="14"/>
  <c r="E313" i="14"/>
  <c r="E321" i="14"/>
  <c r="E329" i="14"/>
  <c r="E337" i="14"/>
  <c r="E345" i="14"/>
  <c r="E353" i="14"/>
  <c r="E361" i="14"/>
  <c r="E369" i="14"/>
  <c r="E377" i="14"/>
  <c r="E385" i="14"/>
  <c r="E393" i="14"/>
  <c r="E401" i="14"/>
  <c r="E409" i="14"/>
  <c r="E417" i="14"/>
  <c r="E425" i="14"/>
  <c r="E433" i="14"/>
  <c r="E441" i="14"/>
  <c r="E449" i="14"/>
  <c r="E457" i="14"/>
  <c r="E465" i="14"/>
  <c r="E473" i="14"/>
  <c r="E481" i="14"/>
  <c r="E489" i="14"/>
  <c r="E497" i="14"/>
  <c r="E505" i="14"/>
  <c r="E513" i="14"/>
  <c r="E521" i="14"/>
  <c r="E529" i="14"/>
  <c r="E537" i="14"/>
  <c r="E545" i="14"/>
  <c r="E553" i="14"/>
  <c r="E561" i="14"/>
  <c r="E569" i="14"/>
  <c r="E577" i="14"/>
  <c r="E585" i="14"/>
  <c r="E593" i="14"/>
  <c r="E601" i="14"/>
  <c r="E609" i="14"/>
  <c r="E617" i="14"/>
  <c r="E625" i="14"/>
  <c r="E633" i="14"/>
  <c r="E641" i="14"/>
  <c r="E649" i="14"/>
  <c r="E657" i="14"/>
  <c r="E665" i="14"/>
  <c r="E673" i="14"/>
  <c r="E681" i="14"/>
  <c r="E689" i="14"/>
  <c r="E697" i="14"/>
  <c r="E114" i="14"/>
  <c r="E122" i="14"/>
  <c r="E130" i="14"/>
  <c r="E138" i="14"/>
  <c r="E146" i="14"/>
  <c r="E154" i="14"/>
  <c r="E162" i="14"/>
  <c r="E170" i="14"/>
  <c r="E178" i="14"/>
  <c r="E186" i="14"/>
  <c r="E194" i="14"/>
  <c r="E202" i="14"/>
  <c r="E210" i="14"/>
  <c r="E218" i="14"/>
  <c r="E226" i="14"/>
  <c r="E234" i="14"/>
  <c r="E242" i="14"/>
  <c r="E250" i="14"/>
  <c r="E258" i="14"/>
  <c r="E266" i="14"/>
  <c r="E274" i="14"/>
  <c r="E282" i="14"/>
  <c r="E290" i="14"/>
  <c r="E298" i="14"/>
  <c r="E306" i="14"/>
  <c r="E314" i="14"/>
  <c r="E322" i="14"/>
  <c r="E330" i="14"/>
  <c r="E338" i="14"/>
  <c r="E346" i="14"/>
  <c r="E354" i="14"/>
  <c r="E362" i="14"/>
  <c r="E370" i="14"/>
  <c r="E378" i="14"/>
  <c r="E386" i="14"/>
  <c r="E394" i="14"/>
  <c r="E402" i="14"/>
  <c r="E410" i="14"/>
  <c r="E418" i="14"/>
  <c r="E426" i="14"/>
  <c r="E434" i="14"/>
  <c r="E442" i="14"/>
  <c r="E450" i="14"/>
  <c r="E458" i="14"/>
  <c r="E466" i="14"/>
  <c r="E474" i="14"/>
  <c r="E482" i="14"/>
  <c r="E490" i="14"/>
  <c r="E498" i="14"/>
  <c r="E506" i="14"/>
  <c r="E514" i="14"/>
  <c r="E522" i="14"/>
  <c r="E530" i="14"/>
  <c r="E538" i="14"/>
  <c r="E546" i="14"/>
  <c r="E554" i="14"/>
  <c r="E562" i="14"/>
  <c r="E570" i="14"/>
  <c r="E578" i="14"/>
  <c r="E586" i="14"/>
  <c r="E594" i="14"/>
  <c r="E602" i="14"/>
  <c r="E610" i="14"/>
  <c r="E618" i="14"/>
  <c r="E626" i="14"/>
  <c r="E634" i="14"/>
  <c r="E642" i="14"/>
  <c r="E650" i="14"/>
  <c r="E658" i="14"/>
  <c r="E666" i="14"/>
  <c r="E674" i="14"/>
  <c r="E682" i="14"/>
  <c r="E690" i="14"/>
  <c r="E698" i="14"/>
  <c r="E706" i="14"/>
  <c r="E714" i="14"/>
  <c r="E722" i="14"/>
  <c r="E730" i="14"/>
  <c r="E109" i="14"/>
  <c r="E117" i="14"/>
  <c r="E125" i="14"/>
  <c r="E133" i="14"/>
  <c r="E141" i="14"/>
  <c r="E149" i="14"/>
  <c r="E157" i="14"/>
  <c r="E165" i="14"/>
  <c r="E173" i="14"/>
  <c r="E181" i="14"/>
  <c r="E189" i="14"/>
  <c r="E197" i="14"/>
  <c r="E205" i="14"/>
  <c r="E213" i="14"/>
  <c r="E221" i="14"/>
  <c r="E229" i="14"/>
  <c r="E237" i="14"/>
  <c r="E245" i="14"/>
  <c r="E253" i="14"/>
  <c r="E261" i="14"/>
  <c r="E269" i="14"/>
  <c r="E277" i="14"/>
  <c r="E285" i="14"/>
  <c r="E293" i="14"/>
  <c r="E301" i="14"/>
  <c r="E309" i="14"/>
  <c r="E317" i="14"/>
  <c r="E325" i="14"/>
  <c r="E333" i="14"/>
  <c r="E341" i="14"/>
  <c r="E349" i="14"/>
  <c r="E357" i="14"/>
  <c r="E365" i="14"/>
  <c r="E373" i="14"/>
  <c r="E381" i="14"/>
  <c r="E389" i="14"/>
  <c r="E397" i="14"/>
  <c r="E405" i="14"/>
  <c r="E413" i="14"/>
  <c r="E421" i="14"/>
  <c r="E429" i="14"/>
  <c r="E437" i="14"/>
  <c r="E445" i="14"/>
  <c r="E453" i="14"/>
  <c r="E461" i="14"/>
  <c r="E469" i="14"/>
  <c r="E477" i="14"/>
  <c r="E485" i="14"/>
  <c r="E493" i="14"/>
  <c r="E501" i="14"/>
  <c r="E509" i="14"/>
  <c r="E517" i="14"/>
  <c r="E525" i="14"/>
  <c r="E533" i="14"/>
  <c r="E541" i="14"/>
  <c r="E549" i="14"/>
  <c r="E557" i="14"/>
  <c r="E565" i="14"/>
  <c r="E573" i="14"/>
  <c r="E581" i="14"/>
  <c r="E589" i="14"/>
  <c r="E597" i="14"/>
  <c r="E605" i="14"/>
  <c r="E613" i="14"/>
  <c r="E621" i="14"/>
  <c r="E629" i="14"/>
  <c r="E637" i="14"/>
  <c r="E645" i="14"/>
  <c r="E653" i="14"/>
  <c r="E661" i="14"/>
  <c r="E72" i="14"/>
  <c r="E40" i="14"/>
  <c r="E24" i="14"/>
  <c r="E975" i="14"/>
  <c r="E87" i="14"/>
  <c r="E79" i="14"/>
  <c r="E71" i="14"/>
  <c r="E63" i="14"/>
  <c r="E55" i="14"/>
  <c r="E47" i="14"/>
  <c r="E39" i="14"/>
  <c r="E31" i="14"/>
  <c r="E23" i="14"/>
  <c r="E15" i="14"/>
  <c r="E106" i="14"/>
  <c r="E98" i="14"/>
  <c r="E998" i="14"/>
  <c r="E990" i="14"/>
  <c r="E982" i="14"/>
  <c r="E974" i="14"/>
  <c r="E966" i="14"/>
  <c r="E958" i="14"/>
  <c r="E950" i="14"/>
  <c r="E942" i="14"/>
  <c r="E934" i="14"/>
  <c r="E926" i="14"/>
  <c r="E918" i="14"/>
  <c r="E910" i="14"/>
  <c r="E902" i="14"/>
  <c r="E894" i="14"/>
  <c r="E886" i="14"/>
  <c r="E878" i="14"/>
  <c r="E870" i="14"/>
  <c r="E862" i="14"/>
  <c r="E854" i="14"/>
  <c r="E846" i="14"/>
  <c r="E838" i="14"/>
  <c r="E830" i="14"/>
  <c r="E822" i="14"/>
  <c r="E814" i="14"/>
  <c r="E806" i="14"/>
  <c r="E798" i="14"/>
  <c r="E790" i="14"/>
  <c r="E781" i="14"/>
  <c r="E772" i="14"/>
  <c r="E763" i="14"/>
  <c r="E754" i="14"/>
  <c r="E745" i="14"/>
  <c r="E735" i="14"/>
  <c r="E725" i="14"/>
  <c r="E715" i="14"/>
  <c r="E703" i="14"/>
  <c r="E691" i="14"/>
  <c r="E675" i="14"/>
  <c r="E654" i="14"/>
  <c r="E635" i="14"/>
  <c r="E612" i="14"/>
  <c r="E590" i="14"/>
  <c r="E571" i="14"/>
  <c r="E548" i="14"/>
  <c r="E526" i="14"/>
  <c r="E507" i="14"/>
  <c r="E484" i="14"/>
  <c r="E462" i="14"/>
  <c r="E443" i="14"/>
  <c r="E420" i="14"/>
  <c r="E398" i="14"/>
  <c r="E379" i="14"/>
  <c r="E356" i="14"/>
  <c r="E334" i="14"/>
  <c r="E315" i="14"/>
  <c r="E292" i="14"/>
  <c r="E270" i="14"/>
  <c r="E251" i="14"/>
  <c r="E228" i="14"/>
  <c r="E206" i="14"/>
  <c r="E187" i="14"/>
  <c r="E164" i="14"/>
  <c r="E142" i="14"/>
  <c r="E123" i="14"/>
  <c r="E80" i="14"/>
  <c r="E48" i="14"/>
  <c r="E16" i="14"/>
  <c r="E983" i="14"/>
  <c r="E7" i="14"/>
  <c r="E86" i="14"/>
  <c r="E78" i="14"/>
  <c r="E70" i="14"/>
  <c r="E62" i="14"/>
  <c r="E54" i="14"/>
  <c r="E46" i="14"/>
  <c r="E38" i="14"/>
  <c r="E30" i="14"/>
  <c r="E22" i="14"/>
  <c r="E14" i="14"/>
  <c r="E105" i="14"/>
  <c r="E97" i="14"/>
  <c r="E997" i="14"/>
  <c r="E989" i="14"/>
  <c r="E981" i="14"/>
  <c r="E973" i="14"/>
  <c r="E965" i="14"/>
  <c r="E957" i="14"/>
  <c r="E949" i="14"/>
  <c r="E941" i="14"/>
  <c r="E933" i="14"/>
  <c r="E925" i="14"/>
  <c r="E917" i="14"/>
  <c r="E909" i="14"/>
  <c r="E901" i="14"/>
  <c r="E893" i="14"/>
  <c r="E885" i="14"/>
  <c r="E877" i="14"/>
  <c r="E869" i="14"/>
  <c r="E861" i="14"/>
  <c r="E853" i="14"/>
  <c r="E845" i="14"/>
  <c r="E837" i="14"/>
  <c r="E829" i="14"/>
  <c r="E821" i="14"/>
  <c r="E813" i="14"/>
  <c r="E805" i="14"/>
  <c r="E797" i="14"/>
  <c r="E789" i="14"/>
  <c r="E780" i="14"/>
  <c r="E771" i="14"/>
  <c r="E762" i="14"/>
  <c r="E753" i="14"/>
  <c r="E743" i="14"/>
  <c r="E734" i="14"/>
  <c r="E724" i="14"/>
  <c r="E713" i="14"/>
  <c r="E702" i="14"/>
  <c r="E686" i="14"/>
  <c r="E670" i="14"/>
  <c r="E652" i="14"/>
  <c r="E630" i="14"/>
  <c r="E611" i="14"/>
  <c r="E588" i="14"/>
  <c r="E566" i="14"/>
  <c r="E547" i="14"/>
  <c r="E524" i="14"/>
  <c r="E502" i="14"/>
  <c r="E483" i="14"/>
  <c r="E460" i="14"/>
  <c r="E438" i="14"/>
  <c r="E419" i="14"/>
  <c r="E396" i="14"/>
  <c r="E374" i="14"/>
  <c r="E355" i="14"/>
  <c r="E332" i="14"/>
  <c r="E310" i="14"/>
  <c r="E291" i="14"/>
  <c r="E268" i="14"/>
  <c r="E246" i="14"/>
  <c r="E227" i="14"/>
  <c r="E204" i="14"/>
  <c r="E182" i="14"/>
  <c r="E163" i="14"/>
  <c r="E140" i="14"/>
  <c r="E118" i="14"/>
  <c r="E64" i="14"/>
  <c r="E999" i="14"/>
  <c r="E6" i="14"/>
  <c r="E85" i="14"/>
  <c r="E77" i="14"/>
  <c r="E69" i="14"/>
  <c r="E61" i="14"/>
  <c r="E53" i="14"/>
  <c r="E45" i="14"/>
  <c r="E37" i="14"/>
  <c r="E29" i="14"/>
  <c r="E21" i="14"/>
  <c r="E13" i="14"/>
  <c r="E104" i="14"/>
  <c r="E96" i="14"/>
  <c r="E996" i="14"/>
  <c r="E988" i="14"/>
  <c r="E980" i="14"/>
  <c r="E972" i="14"/>
  <c r="E964" i="14"/>
  <c r="E956" i="14"/>
  <c r="E948" i="14"/>
  <c r="E940" i="14"/>
  <c r="E932" i="14"/>
  <c r="E924" i="14"/>
  <c r="E916" i="14"/>
  <c r="E908" i="14"/>
  <c r="E900" i="14"/>
  <c r="E892" i="14"/>
  <c r="E884" i="14"/>
  <c r="E876" i="14"/>
  <c r="E868" i="14"/>
  <c r="E860" i="14"/>
  <c r="E852" i="14"/>
  <c r="E844" i="14"/>
  <c r="E836" i="14"/>
  <c r="E828" i="14"/>
  <c r="E820" i="14"/>
  <c r="E812" i="14"/>
  <c r="E804" i="14"/>
  <c r="E796" i="14"/>
  <c r="E788" i="14"/>
  <c r="E779" i="14"/>
  <c r="E770" i="14"/>
  <c r="E761" i="14"/>
  <c r="E751" i="14"/>
  <c r="E742" i="14"/>
  <c r="E733" i="14"/>
  <c r="E723" i="14"/>
  <c r="E711" i="14"/>
  <c r="E701" i="14"/>
  <c r="E685" i="14"/>
  <c r="E669" i="14"/>
  <c r="E651" i="14"/>
  <c r="E628" i="14"/>
  <c r="E606" i="14"/>
  <c r="E587" i="14"/>
  <c r="E564" i="14"/>
  <c r="E542" i="14"/>
  <c r="E523" i="14"/>
  <c r="E500" i="14"/>
  <c r="E478" i="14"/>
  <c r="E459" i="14"/>
  <c r="E436" i="14"/>
  <c r="E414" i="14"/>
  <c r="E395" i="14"/>
  <c r="E372" i="14"/>
  <c r="E350" i="14"/>
  <c r="E331" i="14"/>
  <c r="E308" i="14"/>
  <c r="E286" i="14"/>
  <c r="E267" i="14"/>
  <c r="E244" i="14"/>
  <c r="E222" i="14"/>
  <c r="E203" i="14"/>
  <c r="E180" i="14"/>
  <c r="E158" i="14"/>
  <c r="E139" i="14"/>
  <c r="E116" i="14"/>
  <c r="B3" i="22"/>
  <c r="D3" i="22" s="1" a="1"/>
  <c r="D3" i="22" s="1"/>
  <c r="B8" i="22" s="1"/>
  <c r="B4" i="18"/>
  <c r="B3" i="20"/>
  <c r="D3" i="20" s="1" a="1"/>
  <c r="B4" i="23"/>
  <c r="B10" i="23" s="1"/>
  <c r="B3" i="21"/>
  <c r="D3" i="21" s="1" a="1"/>
  <c r="B3" i="19"/>
  <c r="D3" i="19" s="1" a="1"/>
  <c r="B3" i="17"/>
  <c r="D3" i="17" s="1" a="1"/>
  <c r="B3" i="10"/>
  <c r="D3" i="10" s="1" a="1"/>
  <c r="B3" i="12"/>
  <c r="D3" i="12" s="1" a="1"/>
  <c r="B4" i="11"/>
  <c r="AK11" i="6"/>
  <c r="AK15" i="6"/>
  <c r="AK16" i="6"/>
  <c r="AK8" i="6"/>
  <c r="AK7" i="6"/>
  <c r="AK9" i="6"/>
  <c r="AK14" i="6"/>
  <c r="AK5" i="6"/>
  <c r="AK10" i="6"/>
  <c r="AK12" i="6"/>
  <c r="AK4" i="6"/>
  <c r="AK6" i="6"/>
  <c r="AK13" i="6"/>
  <c r="J3" i="29" l="1"/>
  <c r="B9" i="18"/>
  <c r="B10" i="18" s="1"/>
  <c r="B4" i="27"/>
  <c r="B4" i="28"/>
  <c r="D3" i="17"/>
  <c r="B8" i="17" s="1"/>
  <c r="B9" i="17"/>
  <c r="B10" i="17" s="1"/>
  <c r="D3" i="21"/>
  <c r="B8" i="21" s="1"/>
  <c r="B9" i="21"/>
  <c r="B10" i="21" s="1"/>
  <c r="D3" i="19"/>
  <c r="B8" i="19" s="1"/>
  <c r="B9" i="19"/>
  <c r="B10" i="19" s="1"/>
  <c r="D3" i="20"/>
  <c r="B8" i="20" s="1"/>
  <c r="B9" i="20"/>
  <c r="B10" i="20" s="1"/>
  <c r="D3" i="12"/>
  <c r="B8" i="12" s="1"/>
  <c r="B9" i="12"/>
  <c r="B10" i="12" s="1"/>
  <c r="B9" i="11"/>
  <c r="B10" i="11" s="1"/>
  <c r="D3" i="10"/>
  <c r="B8" i="10" s="1"/>
  <c r="B9" i="10"/>
  <c r="B10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<sst xmlns="http://schemas.openxmlformats.org/spreadsheetml/2006/main" count="972" uniqueCount="278">
  <si>
    <t>Center Name</t>
  </si>
  <si>
    <t>Farsad Educational Center</t>
  </si>
  <si>
    <t>Address</t>
  </si>
  <si>
    <t>Phone</t>
  </si>
  <si>
    <t>Email</t>
  </si>
  <si>
    <t>Academic Year</t>
  </si>
  <si>
    <t>Manager</t>
  </si>
  <si>
    <t>Notes</t>
  </si>
  <si>
    <t>جاده شهید مزاری، گولایی مهتاب قلعه، کوچه مسجد مهدویه</t>
  </si>
  <si>
    <t>Purpose</t>
  </si>
  <si>
    <t>Manage students, teachers, classes, attendance, payments, teacher income, expenses and monthly statistics.</t>
  </si>
  <si>
    <t>Recommended workflow</t>
  </si>
  <si>
    <t>Name</t>
  </si>
  <si>
    <t>Ali Reza Rezaiee</t>
  </si>
  <si>
    <t>WhatsApp</t>
  </si>
  <si>
    <t>Email Address</t>
  </si>
  <si>
    <t>alirezarezaiee2022@gmail.com</t>
  </si>
  <si>
    <t>(+93) 790 060 429</t>
  </si>
  <si>
    <t>Website</t>
  </si>
  <si>
    <t>Portfolio</t>
  </si>
  <si>
    <t>my_portfolio_link</t>
  </si>
  <si>
    <t>Announcement Group</t>
  </si>
  <si>
    <t>Teacher Name</t>
  </si>
  <si>
    <t>Ramin Rezaiee</t>
  </si>
  <si>
    <t>Home</t>
  </si>
  <si>
    <t>Navigate To</t>
  </si>
  <si>
    <t>Teacher ID</t>
  </si>
  <si>
    <t>Subject</t>
  </si>
  <si>
    <t>T-001</t>
  </si>
  <si>
    <t>Income Rate</t>
  </si>
  <si>
    <t>T-002</t>
  </si>
  <si>
    <t>T-003</t>
  </si>
  <si>
    <t>T-004</t>
  </si>
  <si>
    <t>T-005</t>
  </si>
  <si>
    <t>T-006</t>
  </si>
  <si>
    <t>T-007</t>
  </si>
  <si>
    <t>Student Name</t>
  </si>
  <si>
    <t>Father Name</t>
  </si>
  <si>
    <t>Fee</t>
  </si>
  <si>
    <t>May</t>
  </si>
  <si>
    <t>Gender</t>
  </si>
  <si>
    <t>Enrollment Date</t>
  </si>
  <si>
    <t>Month</t>
  </si>
  <si>
    <t>Students Enrolled</t>
  </si>
  <si>
    <t>Teacher Income</t>
  </si>
  <si>
    <t>Expenses</t>
  </si>
  <si>
    <t>Net Center Income</t>
  </si>
  <si>
    <t>Date</t>
  </si>
  <si>
    <t>Paid To</t>
  </si>
  <si>
    <t>Item Name</t>
  </si>
  <si>
    <t>Price</t>
  </si>
  <si>
    <t>No</t>
  </si>
  <si>
    <t>Total Students</t>
  </si>
  <si>
    <t>Total Teachers</t>
  </si>
  <si>
    <t>Total Classes</t>
  </si>
  <si>
    <t>Teacher Accounts</t>
  </si>
  <si>
    <t>Management Sheets</t>
  </si>
  <si>
    <t>Teachers</t>
  </si>
  <si>
    <t>Classes</t>
  </si>
  <si>
    <t>Attendance</t>
  </si>
  <si>
    <t>Monthly Report</t>
  </si>
  <si>
    <t>Attendance For January 2026</t>
  </si>
  <si>
    <t>ID</t>
  </si>
  <si>
    <t>F. Name</t>
  </si>
  <si>
    <t>Total</t>
  </si>
  <si>
    <t>Attendance %</t>
  </si>
  <si>
    <t>st-001</t>
  </si>
  <si>
    <t>Ali</t>
  </si>
  <si>
    <t>Hamid</t>
  </si>
  <si>
    <t>male</t>
  </si>
  <si>
    <t>0123456789</t>
  </si>
  <si>
    <t>ICDL</t>
  </si>
  <si>
    <t>Teacher Statistics</t>
  </si>
  <si>
    <t>Enrollment Month</t>
  </si>
  <si>
    <t>ولایت</t>
  </si>
  <si>
    <t>ولسوالی</t>
  </si>
  <si>
    <t>قریه</t>
  </si>
  <si>
    <t>سکونت اصلی</t>
  </si>
  <si>
    <t>سکونت فعلی</t>
  </si>
  <si>
    <t xml:space="preserve">ولایت </t>
  </si>
  <si>
    <t xml:space="preserve">ولسوالی </t>
  </si>
  <si>
    <t xml:space="preserve">قریه </t>
  </si>
  <si>
    <t>st-002</t>
  </si>
  <si>
    <t>st-003</t>
  </si>
  <si>
    <t>st-004</t>
  </si>
  <si>
    <t>st-005</t>
  </si>
  <si>
    <t>st-006</t>
  </si>
  <si>
    <t>st-007</t>
  </si>
  <si>
    <t>st-008</t>
  </si>
  <si>
    <t>st-009</t>
  </si>
  <si>
    <t>st-010</t>
  </si>
  <si>
    <t>st-011</t>
  </si>
  <si>
    <t>st-012</t>
  </si>
  <si>
    <t>st-013</t>
  </si>
  <si>
    <t>d</t>
  </si>
  <si>
    <t>female</t>
  </si>
  <si>
    <t>a</t>
  </si>
  <si>
    <t>b</t>
  </si>
  <si>
    <t>Rashid Ahmadi</t>
  </si>
  <si>
    <t>March</t>
  </si>
  <si>
    <t>January</t>
  </si>
  <si>
    <t>python</t>
  </si>
  <si>
    <t>java</t>
  </si>
  <si>
    <t>English1</t>
  </si>
  <si>
    <t>Enrollment</t>
  </si>
  <si>
    <t>Teacher Info</t>
  </si>
  <si>
    <t>Total Payments</t>
  </si>
  <si>
    <t>Teacher Statistics (per month)</t>
  </si>
  <si>
    <t>February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</si>
  <si>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</si>
  <si>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</si>
  <si>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</si>
  <si>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</si>
  <si>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</si>
  <si>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</si>
  <si>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</si>
  <si>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</si>
  <si>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electricity</t>
  </si>
  <si>
    <t>Rahmatullah Yawari</t>
  </si>
  <si>
    <t>Ali Ashori</t>
  </si>
  <si>
    <t>Ali Sina Nayab</t>
  </si>
  <si>
    <t>Sayed Reza Mobarez</t>
  </si>
  <si>
    <t>Moeen Shayagan</t>
  </si>
  <si>
    <t>T-008</t>
  </si>
  <si>
    <t>Monthly report</t>
  </si>
  <si>
    <t>Student Registration Receipt</t>
  </si>
  <si>
    <t>Full Name</t>
  </si>
  <si>
    <t>Father's Name</t>
  </si>
  <si>
    <t>Timing</t>
  </si>
  <si>
    <t>Full Fee</t>
  </si>
  <si>
    <t>Paid Fee</t>
  </si>
  <si>
    <t>Unpaid Fee</t>
  </si>
  <si>
    <t>Signature</t>
  </si>
  <si>
    <t>0378899988</t>
  </si>
  <si>
    <t>c</t>
  </si>
  <si>
    <t>*Student Name</t>
  </si>
  <si>
    <t>*Father Name</t>
  </si>
  <si>
    <t>*Subject</t>
  </si>
  <si>
    <t>*Phone</t>
  </si>
  <si>
    <t>*Gender</t>
  </si>
  <si>
    <t>*Teacher Name</t>
  </si>
  <si>
    <t>قریه*</t>
  </si>
  <si>
    <t>*ولسوالی</t>
  </si>
  <si>
    <t xml:space="preserve">*ولایت </t>
  </si>
  <si>
    <t xml:space="preserve">*ولسوالی </t>
  </si>
  <si>
    <t xml:space="preserve">*قریه </t>
  </si>
  <si>
    <t>*ولایت</t>
  </si>
  <si>
    <t>*Teacher ID</t>
  </si>
  <si>
    <t>*WhatsApp</t>
  </si>
  <si>
    <t>*Email</t>
  </si>
  <si>
    <t>*Hire Date</t>
  </si>
  <si>
    <t>*Income Rate</t>
  </si>
  <si>
    <t>*Room No</t>
  </si>
  <si>
    <t>*Timing</t>
  </si>
  <si>
    <t>2-4 pm</t>
  </si>
  <si>
    <t>*Fee</t>
  </si>
  <si>
    <t>All Classes</t>
  </si>
  <si>
    <t>*Month</t>
  </si>
  <si>
    <t>*Paid?</t>
  </si>
  <si>
    <t>*Payment Date</t>
  </si>
  <si>
    <t>0790060429</t>
  </si>
  <si>
    <t>Distinct Class Names</t>
  </si>
  <si>
    <t>All</t>
  </si>
  <si>
    <t>Hire Month</t>
  </si>
  <si>
    <t>date format</t>
  </si>
  <si>
    <t>do not edit red sheets (but you can always add notes in "Notes" column)</t>
  </si>
  <si>
    <t xml:space="preserve">Registration Date </t>
  </si>
  <si>
    <t>3 - 4 PM</t>
  </si>
  <si>
    <t>e</t>
  </si>
  <si>
    <t>شماره</t>
  </si>
  <si>
    <t>ارزگان</t>
  </si>
  <si>
    <t>بادغیس</t>
  </si>
  <si>
    <t>بامیان</t>
  </si>
  <si>
    <t>بدخشان</t>
  </si>
  <si>
    <t>بغلان</t>
  </si>
  <si>
    <t>بلخ</t>
  </si>
  <si>
    <t>پروان</t>
  </si>
  <si>
    <t>پکتیا</t>
  </si>
  <si>
    <t>پکتیکا</t>
  </si>
  <si>
    <t>پنجشیر</t>
  </si>
  <si>
    <t>تخار</t>
  </si>
  <si>
    <t>جوزجان</t>
  </si>
  <si>
    <t>خوست</t>
  </si>
  <si>
    <t>دایکندی</t>
  </si>
  <si>
    <t>زابل</t>
  </si>
  <si>
    <t>سرپل</t>
  </si>
  <si>
    <t>سمنگان</t>
  </si>
  <si>
    <t>غزنی</t>
  </si>
  <si>
    <t>فاریاب</t>
  </si>
  <si>
    <t>فراه</t>
  </si>
  <si>
    <t>غور</t>
  </si>
  <si>
    <t>کابل</t>
  </si>
  <si>
    <t>کاپیسا</t>
  </si>
  <si>
    <t>کندز</t>
  </si>
  <si>
    <t>کندهار</t>
  </si>
  <si>
    <t>کنر</t>
  </si>
  <si>
    <t>لغمان</t>
  </si>
  <si>
    <t>لوگر</t>
  </si>
  <si>
    <t>میدان وردک</t>
  </si>
  <si>
    <t>ننگرهار</t>
  </si>
  <si>
    <t>نورستان</t>
  </si>
  <si>
    <t>نیمروز</t>
  </si>
  <si>
    <t>هرات</t>
  </si>
  <si>
    <t>هلمند</t>
  </si>
  <si>
    <t>2 - 3 AM</t>
  </si>
  <si>
    <t>2 - 4 PM</t>
  </si>
  <si>
    <t>1 - 2 AM</t>
  </si>
  <si>
    <t>Search</t>
  </si>
  <si>
    <t>Enter  a Name :</t>
  </si>
  <si>
    <t>f</t>
  </si>
  <si>
    <t>g</t>
  </si>
  <si>
    <t>h</t>
  </si>
  <si>
    <t>i</t>
  </si>
  <si>
    <t>4 - 4 PM</t>
  </si>
  <si>
    <t>5 - 4 PM</t>
  </si>
  <si>
    <t>6 - 4 PM</t>
  </si>
  <si>
    <t>7 - 4 PM</t>
  </si>
  <si>
    <t>8 - 4 PM</t>
  </si>
  <si>
    <t>0378899989</t>
  </si>
  <si>
    <t>0378899990</t>
  </si>
  <si>
    <t>0378899991</t>
  </si>
  <si>
    <t>0378899992</t>
  </si>
  <si>
    <t>0378899993</t>
  </si>
  <si>
    <t>0378899994</t>
  </si>
  <si>
    <t>0378899995</t>
  </si>
  <si>
    <t>should be entered by user</t>
  </si>
  <si>
    <t xml:space="preserve">column headers not containing * </t>
  </si>
  <si>
    <t xml:space="preserve">column headers containing * </t>
  </si>
  <si>
    <t>must not be entered by user (these columns are filled by DataBase itself)</t>
  </si>
  <si>
    <t>search boxes</t>
  </si>
  <si>
    <t>are partial search. So you don’t have to write the entire word completely. You can just write part of a word as well</t>
  </si>
  <si>
    <t>Sold To</t>
  </si>
  <si>
    <t>Enter an Item name :</t>
  </si>
  <si>
    <t>All Sellings</t>
  </si>
  <si>
    <t>All Expenses</t>
  </si>
  <si>
    <t>Total Items</t>
  </si>
  <si>
    <t>*Item Name</t>
  </si>
  <si>
    <t>*Price</t>
  </si>
  <si>
    <t>*Sold To</t>
  </si>
  <si>
    <t>*Notes</t>
  </si>
  <si>
    <t>book</t>
  </si>
  <si>
    <t>ali</t>
  </si>
  <si>
    <t>english 1</t>
  </si>
  <si>
    <t>english 2</t>
  </si>
  <si>
    <t>Sellings Statistics (per month)</t>
  </si>
  <si>
    <t>*Paid To</t>
  </si>
  <si>
    <t>water</t>
  </si>
  <si>
    <t>Expenses Statistics (per month)</t>
  </si>
  <si>
    <t>note about "Date" columns</t>
  </si>
  <si>
    <t>Students Payment</t>
  </si>
  <si>
    <t>Sellings</t>
  </si>
  <si>
    <t>ahmad</t>
  </si>
  <si>
    <t>farid</t>
  </si>
  <si>
    <t>hassan</t>
  </si>
  <si>
    <t>grammar</t>
  </si>
  <si>
    <t>rent</t>
  </si>
  <si>
    <t>ads</t>
  </si>
  <si>
    <t>Phone 1</t>
  </si>
  <si>
    <t>Phone 2</t>
  </si>
  <si>
    <t>WhatsApp 1</t>
  </si>
  <si>
    <t>WhatsApp 2</t>
  </si>
  <si>
    <t>Github</t>
  </si>
  <si>
    <t>Points to cosider</t>
  </si>
  <si>
    <t>Student Payments</t>
  </si>
  <si>
    <t>dates are automatically filled (when a student name or item name is entered) but you can change it later as well   ---   except "Payment Date" in "Teacher Salary" sheet (this column must manually be filled for emphasize reasons)</t>
  </si>
  <si>
    <t>Teacher Salary</t>
  </si>
  <si>
    <t>Bill</t>
  </si>
  <si>
    <t>About Developer</t>
  </si>
  <si>
    <t>Total Price</t>
  </si>
  <si>
    <t>Total Net Income</t>
  </si>
  <si>
    <t>java book</t>
  </si>
  <si>
    <t>python book</t>
  </si>
  <si>
    <t>net center income</t>
  </si>
  <si>
    <t>if  &gt; 0 ---- highlighted green             if   &lt; 0   ----- highlighted red</t>
  </si>
  <si>
    <r>
      <rPr>
        <sz val="9"/>
        <color rgb="FFFF0000"/>
        <rFont val="Mikhak Bold"/>
      </rPr>
      <t xml:space="preserve">  آدرس</t>
    </r>
    <r>
      <rPr>
        <sz val="9"/>
        <color theme="1"/>
        <rFont val="Mikhak Bold"/>
      </rPr>
      <t>: جاده شهید مزاری، گولایی مهتاب قلعه، کوچه مسجد مهدویه</t>
    </r>
  </si>
  <si>
    <r>
      <rPr>
        <sz val="9"/>
        <color rgb="FFFF0000"/>
        <rFont val="Mikhak Bold"/>
      </rPr>
      <t>تلفن</t>
    </r>
    <r>
      <rPr>
        <sz val="9"/>
        <color theme="1"/>
        <rFont val="Mikhak Bold"/>
      </rPr>
      <t>:</t>
    </r>
    <r>
      <rPr>
        <sz val="11"/>
        <color theme="1"/>
        <rFont val="Calibri"/>
        <family val="2"/>
      </rPr>
      <t xml:space="preserve"> 0700000000</t>
    </r>
  </si>
  <si>
    <r>
      <rPr>
        <sz val="9"/>
        <color rgb="FFFF0000"/>
        <rFont val="Mikhak Bold"/>
      </rPr>
      <t xml:space="preserve">  نوت</t>
    </r>
    <r>
      <rPr>
        <sz val="9"/>
        <color theme="1"/>
        <rFont val="Mikhak Bold"/>
      </rPr>
      <t>: فیس پرداخت شده مسترد نمیگردد</t>
    </r>
  </si>
  <si>
    <t>habib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</si>
</sst>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AFN&quot;* #,##0.00_);_(&quot;AFN&quot;* \(#,##0.00\);_(&quot;AFN&quot;* &quot;-&quot;??_);_(@_)"/>
    <numFmt numFmtId="164" formatCode="[$-409]h:mm\ AM/PM;@"/>
    <numFmt numFmtId="165" formatCode="_(&quot;AFN&quot;* #,##0_);_(&quot;AFN&quot;* \(#,##0\);_(&quot;AFN&quot;* &quot;-&quot;??_);_(@_)"/>
    <numFmt numFmtId="166" formatCode="[$-409]d\-mmm\-yyyy;@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FFFF"/>
      <name val="Aptos Narrow"/>
      <family val="2"/>
    </font>
    <font>
      <b/>
      <sz val="11"/>
      <name val="Aptos Narrow"/>
      <family val="2"/>
    </font>
    <font>
      <b/>
      <sz val="11"/>
      <color rgb="FFFFFFFF"/>
      <name val="Aptos Narrow"/>
      <family val="2"/>
    </font>
    <font>
      <b/>
      <sz val="15"/>
      <color theme="0"/>
      <name val="Aptos Narrow"/>
      <family val="2"/>
      <scheme val="minor"/>
    </font>
    <font>
      <b/>
      <sz val="11"/>
      <name val="Aptos Narrow"/>
      <family val="2"/>
    </font>
    <font>
      <u/>
      <sz val="11.5"/>
      <color theme="10"/>
      <name val="Aptos Narrow"/>
      <family val="2"/>
      <scheme val="minor"/>
    </font>
    <font>
      <sz val="11.5"/>
      <color theme="1"/>
      <name val="Aptos Narrow"/>
      <family val="2"/>
      <scheme val="minor"/>
    </font>
    <font>
      <sz val="11"/>
      <name val="Aptos Narrow"/>
      <family val="2"/>
    </font>
    <font>
      <b/>
      <sz val="12"/>
      <color theme="0"/>
      <name val="Aptos Narrow"/>
      <family val="2"/>
      <scheme val="minor"/>
    </font>
    <font>
      <b/>
      <sz val="11"/>
      <name val="Calibri"/>
      <family val="2"/>
    </font>
    <font>
      <b/>
      <sz val="24"/>
      <color theme="1"/>
      <name val="Calibri"/>
      <family val="2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Mikhak Bold"/>
    </font>
    <font>
      <sz val="12"/>
      <color theme="2" tint="-0.499984740745262"/>
      <name val="Aptos Narrow"/>
      <family val="2"/>
      <scheme val="minor"/>
    </font>
    <font>
      <b/>
      <sz val="11"/>
      <color theme="1"/>
      <name val="Calibri"/>
      <family val="2"/>
    </font>
    <font>
      <b/>
      <sz val="15"/>
      <name val="Calibri"/>
      <family val="2"/>
    </font>
    <font>
      <sz val="15"/>
      <color theme="1"/>
      <name val="Calibri"/>
      <family val="2"/>
    </font>
    <font>
      <sz val="11"/>
      <color rgb="FFFF0000"/>
      <name val="Aptos Narrow"/>
      <family val="2"/>
      <scheme val="minor"/>
    </font>
    <font>
      <b/>
      <sz val="12"/>
      <color rgb="FFFFFFFF"/>
      <name val="Calibri"/>
      <family val="2"/>
    </font>
    <font>
      <sz val="12"/>
      <color theme="1"/>
      <name val="Calibri"/>
      <family val="2"/>
    </font>
    <font>
      <b/>
      <sz val="11.5"/>
      <color theme="1"/>
      <name val="Calibri"/>
      <family val="2"/>
    </font>
    <font>
      <sz val="11.5"/>
      <color theme="1"/>
      <name val="Calibri"/>
      <family val="2"/>
    </font>
    <font>
      <b/>
      <sz val="12.5"/>
      <color rgb="FFFFFFFF"/>
      <name val="Calibri"/>
      <family val="2"/>
    </font>
    <font>
      <sz val="12.5"/>
      <color theme="1"/>
      <name val="Calibri"/>
      <family val="2"/>
    </font>
    <font>
      <sz val="9"/>
      <color rgb="FFFF0000"/>
      <name val="Mikhak Bold"/>
    </font>
  </fonts>
  <fills count="14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2F75B5"/>
      </patternFill>
    </fill>
    <fill>
      <patternFill patternType="solid">
        <fgColor rgb="FFD9EAF7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theme="4" tint="0.59999389629810485"/>
        <bgColor theme="4" tint="0.79998168889431442"/>
      </patternFill>
    </fill>
  </fills>
  <borders count="43">
    <border>
      <left/>
      <right/>
      <top/>
      <bottom/>
      <diagonal/>
    </border>
    <border>
      <left/>
      <right/>
      <top/>
      <bottom style="thin">
        <color rgb="FFD9E1F2"/>
      </bottom>
      <diagonal/>
    </border>
    <border>
      <left/>
      <right/>
      <top style="thin">
        <color theme="4" tint="0.39997558519241921"/>
      </top>
      <bottom style="thin">
        <color rgb="FFD9E1F2"/>
      </bottom>
      <diagonal/>
    </border>
    <border>
      <left/>
      <right style="thin">
        <color indexed="64"/>
      </right>
      <top/>
      <bottom/>
      <diagonal/>
    </border>
    <border>
      <left style="medium">
        <color theme="4" tint="0.59996337778862885"/>
      </left>
      <right style="medium">
        <color theme="4" tint="0.59996337778862885"/>
      </right>
      <top style="medium">
        <color theme="4" tint="0.59996337778862885"/>
      </top>
      <bottom style="medium">
        <color theme="4" tint="0.59996337778862885"/>
      </bottom>
      <diagonal/>
    </border>
    <border>
      <left/>
      <right style="medium">
        <color theme="4" tint="0.79998168889431442"/>
      </right>
      <top style="medium">
        <color theme="4" tint="0.79998168889431442"/>
      </top>
      <bottom style="medium">
        <color theme="4" tint="0.79998168889431442"/>
      </bottom>
      <diagonal/>
    </border>
    <border>
      <left style="medium">
        <color theme="4" tint="0.79998168889431442"/>
      </left>
      <right style="medium">
        <color theme="4" tint="0.79998168889431442"/>
      </right>
      <top style="medium">
        <color theme="4" tint="0.79998168889431442"/>
      </top>
      <bottom style="medium">
        <color theme="4" tint="0.79998168889431442"/>
      </bottom>
      <diagonal/>
    </border>
    <border>
      <left style="medium">
        <color theme="4" tint="0.79998168889431442"/>
      </left>
      <right/>
      <top style="medium">
        <color theme="4" tint="0.79998168889431442"/>
      </top>
      <bottom style="medium">
        <color theme="4" tint="0.79998168889431442"/>
      </bottom>
      <diagonal/>
    </border>
    <border>
      <left style="medium">
        <color theme="3" tint="0.749961851863155"/>
      </left>
      <right style="medium">
        <color theme="3" tint="0.749961851863155"/>
      </right>
      <top style="medium">
        <color theme="3" tint="0.749961851863155"/>
      </top>
      <bottom style="medium">
        <color theme="3" tint="0.749961851863155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theme="0"/>
      </right>
      <top/>
      <bottom style="thin">
        <color rgb="FFD9E1F2"/>
      </bottom>
      <diagonal/>
    </border>
    <border>
      <left style="thin">
        <color theme="0"/>
      </left>
      <right/>
      <top/>
      <bottom style="thin">
        <color rgb="FFD9E1F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rgb="FFD9E1F2"/>
      </top>
      <bottom/>
      <diagonal/>
    </border>
    <border>
      <left style="thin">
        <color theme="0"/>
      </left>
      <right/>
      <top style="thin">
        <color theme="4" tint="0.39997558519241921"/>
      </top>
      <bottom style="thin">
        <color rgb="FFD9E1F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D9E1F2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4" tint="0.39997558519241921"/>
      </top>
      <bottom style="thin">
        <color theme="0"/>
      </bottom>
      <diagonal/>
    </border>
    <border>
      <left style="thin">
        <color theme="0"/>
      </left>
      <right/>
      <top style="thin">
        <color theme="4" tint="0.3999755851924192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D9E1F2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7"/>
      </left>
      <right/>
      <top style="thin">
        <color theme="0"/>
      </top>
      <bottom style="thin">
        <color theme="0"/>
      </bottom>
      <diagonal/>
    </border>
    <border>
      <left style="thin">
        <color theme="7"/>
      </left>
      <right/>
      <top/>
      <bottom style="thin">
        <color theme="0"/>
      </bottom>
      <diagonal/>
    </border>
    <border>
      <left/>
      <right/>
      <top/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34998626667073579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rgb="FFD9E1F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 tint="-0.34998626667073579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333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" fillId="0" borderId="0" xfId="1" applyAlignment="1">
      <alignment vertical="center" wrapText="1"/>
    </xf>
    <xf numFmtId="4" fontId="0" fillId="0" borderId="0" xfId="0" applyNumberFormat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7" borderId="0" xfId="0" applyFill="1"/>
    <xf numFmtId="0" fontId="8" fillId="7" borderId="0" xfId="0" applyFont="1" applyFill="1" applyAlignment="1">
      <alignment horizontal="center" vertical="center"/>
    </xf>
    <xf numFmtId="0" fontId="8" fillId="7" borderId="0" xfId="0" applyFont="1" applyFill="1"/>
    <xf numFmtId="0" fontId="1" fillId="3" borderId="0" xfId="0" applyFont="1" applyFill="1" applyAlignment="1">
      <alignment horizontal="center" vertical="center"/>
    </xf>
    <xf numFmtId="16" fontId="0" fillId="8" borderId="0" xfId="0" applyNumberFormat="1" applyFill="1" applyAlignment="1">
      <alignment vertical="center" textRotation="90"/>
    </xf>
    <xf numFmtId="0" fontId="1" fillId="3" borderId="0" xfId="0" applyFont="1" applyFill="1" applyAlignment="1">
      <alignment horizontal="center" textRotation="90"/>
    </xf>
    <xf numFmtId="0" fontId="0" fillId="8" borderId="4" xfId="0" applyFill="1" applyBorder="1"/>
    <xf numFmtId="0" fontId="0" fillId="0" borderId="8" xfId="0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9" borderId="13" xfId="0" applyFill="1" applyBorder="1" applyAlignment="1">
      <alignment vertical="center"/>
    </xf>
    <xf numFmtId="0" fontId="13" fillId="4" borderId="14" xfId="0" applyFont="1" applyFill="1" applyBorder="1" applyAlignment="1">
      <alignment vertical="center"/>
    </xf>
    <xf numFmtId="0" fontId="0" fillId="4" borderId="12" xfId="0" applyFill="1" applyBorder="1" applyAlignment="1">
      <alignment horizontal="left" vertical="center"/>
    </xf>
    <xf numFmtId="0" fontId="0" fillId="9" borderId="12" xfId="0" applyFill="1" applyBorder="1" applyAlignment="1">
      <alignment horizontal="center" vertical="center"/>
    </xf>
    <xf numFmtId="9" fontId="0" fillId="4" borderId="12" xfId="0" applyNumberFormat="1" applyFill="1" applyBorder="1" applyAlignment="1">
      <alignment horizontal="center" vertical="center"/>
    </xf>
    <xf numFmtId="3" fontId="0" fillId="9" borderId="12" xfId="0" applyNumberForma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1" applyFill="1" applyBorder="1" applyAlignment="1">
      <alignment horizontal="left" vertical="center"/>
    </xf>
    <xf numFmtId="0" fontId="2" fillId="2" borderId="13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4" fillId="4" borderId="12" xfId="1" applyFont="1" applyFill="1" applyBorder="1" applyAlignment="1">
      <alignment vertical="center"/>
    </xf>
    <xf numFmtId="0" fontId="0" fillId="4" borderId="12" xfId="0" applyFill="1" applyBorder="1" applyAlignment="1">
      <alignment vertical="center" wrapText="1"/>
    </xf>
    <xf numFmtId="0" fontId="1" fillId="0" borderId="0" xfId="0" applyFont="1"/>
    <xf numFmtId="0" fontId="6" fillId="0" borderId="0" xfId="0" applyFont="1" applyAlignment="1">
      <alignment horizontal="center"/>
    </xf>
    <xf numFmtId="0" fontId="2" fillId="2" borderId="19" xfId="0" applyFont="1" applyFill="1" applyBorder="1" applyAlignment="1">
      <alignment vertical="center" wrapText="1"/>
    </xf>
    <xf numFmtId="0" fontId="2" fillId="2" borderId="20" xfId="0" applyFont="1" applyFill="1" applyBorder="1" applyAlignment="1">
      <alignment vertical="center" wrapText="1"/>
    </xf>
    <xf numFmtId="0" fontId="2" fillId="2" borderId="21" xfId="0" applyFont="1" applyFill="1" applyBorder="1" applyAlignment="1">
      <alignment vertical="center" wrapText="1"/>
    </xf>
    <xf numFmtId="0" fontId="2" fillId="2" borderId="18" xfId="0" applyFont="1" applyFill="1" applyBorder="1" applyAlignment="1">
      <alignment vertical="center" wrapText="1"/>
    </xf>
    <xf numFmtId="0" fontId="2" fillId="2" borderId="23" xfId="0" applyFont="1" applyFill="1" applyBorder="1" applyAlignment="1">
      <alignment vertical="center" wrapText="1"/>
    </xf>
    <xf numFmtId="0" fontId="2" fillId="2" borderId="22" xfId="0" applyFont="1" applyFill="1" applyBorder="1" applyAlignment="1">
      <alignment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10" fillId="9" borderId="14" xfId="0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4" borderId="24" xfId="0" applyFill="1" applyBorder="1"/>
    <xf numFmtId="0" fontId="0" fillId="9" borderId="12" xfId="0" applyFill="1" applyBorder="1"/>
    <xf numFmtId="0" fontId="0" fillId="4" borderId="12" xfId="0" applyFill="1" applyBorder="1"/>
    <xf numFmtId="0" fontId="15" fillId="0" borderId="15" xfId="0" applyFont="1" applyBorder="1" applyAlignment="1">
      <alignment vertical="center" wrapText="1"/>
    </xf>
    <xf numFmtId="49" fontId="15" fillId="0" borderId="15" xfId="0" applyNumberFormat="1" applyFont="1" applyBorder="1" applyAlignment="1">
      <alignment horizontal="center" vertical="center" wrapText="1"/>
    </xf>
    <xf numFmtId="0" fontId="15" fillId="0" borderId="12" xfId="0" applyFont="1" applyBorder="1" applyAlignment="1">
      <alignment vertical="center"/>
    </xf>
    <xf numFmtId="49" fontId="15" fillId="0" borderId="12" xfId="0" applyNumberFormat="1" applyFont="1" applyBorder="1" applyAlignment="1">
      <alignment horizontal="center" vertical="center" wrapText="1"/>
    </xf>
    <xf numFmtId="0" fontId="15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12" xfId="0" applyBorder="1" applyAlignment="1">
      <alignment vertical="center" wrapText="1"/>
    </xf>
    <xf numFmtId="0" fontId="0" fillId="9" borderId="14" xfId="0" applyFill="1" applyBorder="1"/>
    <xf numFmtId="164" fontId="0" fillId="9" borderId="12" xfId="0" applyNumberFormat="1" applyFill="1" applyBorder="1"/>
    <xf numFmtId="0" fontId="0" fillId="9" borderId="12" xfId="0" applyFill="1" applyBorder="1" applyAlignment="1">
      <alignment horizontal="center" vertical="center" wrapText="1"/>
    </xf>
    <xf numFmtId="49" fontId="0" fillId="9" borderId="12" xfId="0" applyNumberFormat="1" applyFill="1" applyBorder="1" applyAlignment="1">
      <alignment horizontal="center" vertical="center" wrapText="1"/>
    </xf>
    <xf numFmtId="0" fontId="0" fillId="9" borderId="12" xfId="0" applyFill="1" applyBorder="1" applyAlignment="1">
      <alignment vertical="center" wrapText="1"/>
    </xf>
    <xf numFmtId="0" fontId="0" fillId="9" borderId="15" xfId="0" applyFill="1" applyBorder="1" applyAlignment="1">
      <alignment vertical="center" wrapText="1"/>
    </xf>
    <xf numFmtId="14" fontId="0" fillId="9" borderId="12" xfId="0" applyNumberFormat="1" applyFill="1" applyBorder="1" applyAlignment="1">
      <alignment horizontal="center" vertical="center" wrapText="1"/>
    </xf>
    <xf numFmtId="0" fontId="0" fillId="4" borderId="14" xfId="0" applyFill="1" applyBorder="1"/>
    <xf numFmtId="164" fontId="0" fillId="4" borderId="12" xfId="0" applyNumberFormat="1" applyFill="1" applyBorder="1"/>
    <xf numFmtId="49" fontId="0" fillId="4" borderId="12" xfId="0" applyNumberFormat="1" applyFill="1" applyBorder="1" applyAlignment="1">
      <alignment horizontal="center" vertical="center" wrapText="1"/>
    </xf>
    <xf numFmtId="14" fontId="0" fillId="4" borderId="12" xfId="0" applyNumberFormat="1" applyFill="1" applyBorder="1" applyAlignment="1">
      <alignment horizontal="center" vertical="center" wrapText="1"/>
    </xf>
    <xf numFmtId="0" fontId="0" fillId="0" borderId="12" xfId="0" applyBorder="1"/>
    <xf numFmtId="0" fontId="2" fillId="2" borderId="12" xfId="0" applyFont="1" applyFill="1" applyBorder="1" applyAlignment="1">
      <alignment vertical="center" wrapText="1"/>
    </xf>
    <xf numFmtId="0" fontId="0" fillId="9" borderId="25" xfId="0" applyFill="1" applyBorder="1" applyAlignment="1">
      <alignment vertical="center" wrapText="1"/>
    </xf>
    <xf numFmtId="49" fontId="0" fillId="9" borderId="15" xfId="0" applyNumberFormat="1" applyFill="1" applyBorder="1" applyAlignment="1">
      <alignment horizontal="center" vertical="center" wrapText="1"/>
    </xf>
    <xf numFmtId="14" fontId="0" fillId="9" borderId="15" xfId="0" applyNumberFormat="1" applyFill="1" applyBorder="1" applyAlignment="1">
      <alignment horizontal="center" vertical="center" wrapText="1"/>
    </xf>
    <xf numFmtId="0" fontId="0" fillId="4" borderId="15" xfId="0" applyFill="1" applyBorder="1" applyAlignment="1">
      <alignment vertical="center" wrapText="1"/>
    </xf>
    <xf numFmtId="0" fontId="0" fillId="0" borderId="14" xfId="0" applyBorder="1"/>
    <xf numFmtId="0" fontId="0" fillId="9" borderId="15" xfId="0" applyFill="1" applyBorder="1"/>
    <xf numFmtId="0" fontId="0" fillId="0" borderId="13" xfId="0" applyBorder="1"/>
    <xf numFmtId="0" fontId="0" fillId="9" borderId="15" xfId="0" applyFill="1" applyBorder="1" applyAlignment="1">
      <alignment horizontal="center" vertical="center" wrapText="1"/>
    </xf>
    <xf numFmtId="0" fontId="0" fillId="4" borderId="26" xfId="0" applyFill="1" applyBorder="1"/>
    <xf numFmtId="0" fontId="10" fillId="4" borderId="14" xfId="0" applyFont="1" applyFill="1" applyBorder="1" applyAlignment="1">
      <alignment vertical="center"/>
    </xf>
    <xf numFmtId="0" fontId="10" fillId="4" borderId="27" xfId="0" applyFont="1" applyFill="1" applyBorder="1" applyAlignment="1">
      <alignment vertical="center"/>
    </xf>
    <xf numFmtId="0" fontId="16" fillId="4" borderId="24" xfId="0" applyFont="1" applyFill="1" applyBorder="1" applyAlignment="1">
      <alignment horizontal="center" vertical="center"/>
    </xf>
    <xf numFmtId="9" fontId="0" fillId="9" borderId="13" xfId="2" applyFont="1" applyFill="1" applyBorder="1" applyAlignment="1">
      <alignment horizontal="center" vertical="center"/>
    </xf>
    <xf numFmtId="9" fontId="6" fillId="9" borderId="13" xfId="2" applyFont="1" applyFill="1" applyBorder="1" applyAlignment="1">
      <alignment horizontal="left" vertical="center"/>
    </xf>
    <xf numFmtId="0" fontId="6" fillId="9" borderId="13" xfId="0" applyFont="1" applyFill="1" applyBorder="1" applyAlignment="1">
      <alignment vertical="center"/>
    </xf>
    <xf numFmtId="0" fontId="3" fillId="0" borderId="0" xfId="0" applyFont="1" applyAlignment="1">
      <alignment vertical="center" wrapText="1"/>
    </xf>
    <xf numFmtId="0" fontId="0" fillId="9" borderId="12" xfId="0" applyFill="1" applyBorder="1" applyAlignment="1">
      <alignment vertical="center"/>
    </xf>
    <xf numFmtId="0" fontId="0" fillId="4" borderId="12" xfId="0" applyFill="1" applyBorder="1" applyAlignment="1">
      <alignment vertical="center"/>
    </xf>
    <xf numFmtId="0" fontId="6" fillId="9" borderId="28" xfId="0" applyFont="1" applyFill="1" applyBorder="1" applyAlignment="1">
      <alignment vertical="center"/>
    </xf>
    <xf numFmtId="0" fontId="6" fillId="4" borderId="14" xfId="0" applyFont="1" applyFill="1" applyBorder="1" applyAlignment="1">
      <alignment vertical="center"/>
    </xf>
    <xf numFmtId="0" fontId="6" fillId="9" borderId="14" xfId="0" applyFont="1" applyFill="1" applyBorder="1" applyAlignment="1">
      <alignment vertical="center"/>
    </xf>
    <xf numFmtId="0" fontId="18" fillId="9" borderId="28" xfId="0" applyFont="1" applyFill="1" applyBorder="1" applyAlignment="1">
      <alignment vertical="center"/>
    </xf>
    <xf numFmtId="0" fontId="18" fillId="4" borderId="14" xfId="0" applyFont="1" applyFill="1" applyBorder="1" applyAlignment="1">
      <alignment vertical="center"/>
    </xf>
    <xf numFmtId="0" fontId="18" fillId="9" borderId="14" xfId="0" applyFont="1" applyFill="1" applyBorder="1" applyAlignment="1">
      <alignment vertical="center"/>
    </xf>
    <xf numFmtId="0" fontId="6" fillId="0" borderId="0" xfId="0" applyFont="1" applyAlignment="1">
      <alignment vertical="center" wrapText="1"/>
    </xf>
    <xf numFmtId="18" fontId="0" fillId="0" borderId="0" xfId="0" applyNumberForma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65" fontId="15" fillId="0" borderId="15" xfId="0" applyNumberFormat="1" applyFont="1" applyBorder="1" applyAlignment="1">
      <alignment horizontal="center" vertical="center" wrapText="1"/>
    </xf>
    <xf numFmtId="0" fontId="0" fillId="10" borderId="0" xfId="0" applyFill="1"/>
    <xf numFmtId="0" fontId="0" fillId="0" borderId="19" xfId="0" applyBorder="1" applyAlignment="1">
      <alignment vertical="center" wrapText="1"/>
    </xf>
    <xf numFmtId="0" fontId="1" fillId="3" borderId="0" xfId="0" applyFont="1" applyFill="1"/>
    <xf numFmtId="0" fontId="1" fillId="3" borderId="19" xfId="0" applyFont="1" applyFill="1" applyBorder="1"/>
    <xf numFmtId="0" fontId="10" fillId="9" borderId="0" xfId="0" applyFont="1" applyFill="1" applyAlignment="1">
      <alignment vertical="center"/>
    </xf>
    <xf numFmtId="3" fontId="6" fillId="9" borderId="12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vertical="center" wrapText="1"/>
    </xf>
    <xf numFmtId="165" fontId="0" fillId="0" borderId="0" xfId="0" applyNumberFormat="1" applyAlignment="1">
      <alignment vertical="center"/>
    </xf>
    <xf numFmtId="165" fontId="0" fillId="9" borderId="12" xfId="3" applyNumberFormat="1" applyFont="1" applyFill="1" applyBorder="1" applyAlignment="1">
      <alignment horizontal="center"/>
    </xf>
    <xf numFmtId="165" fontId="0" fillId="4" borderId="12" xfId="3" applyNumberFormat="1" applyFont="1" applyFill="1" applyBorder="1" applyAlignment="1">
      <alignment horizontal="center" vertical="center" wrapText="1"/>
    </xf>
    <xf numFmtId="165" fontId="0" fillId="9" borderId="12" xfId="3" applyNumberFormat="1" applyFont="1" applyFill="1" applyBorder="1" applyAlignment="1">
      <alignment horizontal="center" vertical="center" wrapText="1"/>
    </xf>
    <xf numFmtId="165" fontId="0" fillId="4" borderId="12" xfId="3" applyNumberFormat="1" applyFont="1" applyFill="1" applyBorder="1" applyAlignment="1">
      <alignment horizontal="center" vertical="center"/>
    </xf>
    <xf numFmtId="165" fontId="0" fillId="9" borderId="12" xfId="3" applyNumberFormat="1" applyFont="1" applyFill="1" applyBorder="1" applyAlignment="1">
      <alignment horizontal="center" vertical="center"/>
    </xf>
    <xf numFmtId="165" fontId="0" fillId="9" borderId="12" xfId="3" applyNumberFormat="1" applyFont="1" applyFill="1" applyBorder="1"/>
    <xf numFmtId="165" fontId="0" fillId="4" borderId="12" xfId="3" applyNumberFormat="1" applyFont="1" applyFill="1" applyBorder="1"/>
    <xf numFmtId="165" fontId="0" fillId="4" borderId="24" xfId="3" applyNumberFormat="1" applyFont="1" applyFill="1" applyBorder="1"/>
    <xf numFmtId="165" fontId="0" fillId="9" borderId="15" xfId="3" applyNumberFormat="1" applyFont="1" applyFill="1" applyBorder="1" applyAlignment="1">
      <alignment horizontal="center" vertical="center" wrapText="1"/>
    </xf>
    <xf numFmtId="0" fontId="8" fillId="0" borderId="0" xfId="0" applyFont="1"/>
    <xf numFmtId="165" fontId="0" fillId="0" borderId="14" xfId="0" applyNumberFormat="1" applyBorder="1" applyAlignment="1">
      <alignment vertical="center"/>
    </xf>
    <xf numFmtId="9" fontId="7" fillId="11" borderId="0" xfId="2" applyFont="1" applyFill="1" applyAlignment="1">
      <alignment horizontal="center" vertical="center" wrapText="1"/>
    </xf>
    <xf numFmtId="9" fontId="7" fillId="0" borderId="0" xfId="2" applyFont="1" applyAlignment="1">
      <alignment horizontal="center" vertical="center" wrapText="1"/>
    </xf>
    <xf numFmtId="0" fontId="21" fillId="7" borderId="0" xfId="0" applyFont="1" applyFill="1" applyAlignment="1">
      <alignment vertical="center"/>
    </xf>
    <xf numFmtId="0" fontId="15" fillId="0" borderId="17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27" fillId="0" borderId="0" xfId="0" applyFont="1"/>
    <xf numFmtId="0" fontId="0" fillId="9" borderId="15" xfId="0" applyFill="1" applyBorder="1" applyAlignment="1">
      <alignment horizontal="left" vertical="center" wrapText="1"/>
    </xf>
    <xf numFmtId="164" fontId="0" fillId="4" borderId="12" xfId="0" applyNumberFormat="1" applyFill="1" applyBorder="1" applyAlignment="1">
      <alignment horizontal="left"/>
    </xf>
    <xf numFmtId="164" fontId="0" fillId="9" borderId="12" xfId="0" applyNumberFormat="1" applyFill="1" applyBorder="1" applyAlignment="1">
      <alignment horizontal="left"/>
    </xf>
    <xf numFmtId="0" fontId="0" fillId="4" borderId="12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4" borderId="24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Alignment="1">
      <alignment horizontal="left"/>
    </xf>
    <xf numFmtId="0" fontId="0" fillId="4" borderId="12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4" borderId="15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right"/>
    </xf>
    <xf numFmtId="0" fontId="0" fillId="9" borderId="12" xfId="0" applyFill="1" applyBorder="1" applyAlignment="1">
      <alignment horizontal="right"/>
    </xf>
    <xf numFmtId="0" fontId="0" fillId="4" borderId="24" xfId="0" applyFill="1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0" xfId="0" applyAlignment="1">
      <alignment horizontal="right"/>
    </xf>
    <xf numFmtId="14" fontId="0" fillId="4" borderId="12" xfId="0" applyNumberFormat="1" applyFill="1" applyBorder="1" applyAlignment="1">
      <alignment vertical="center" wrapText="1"/>
    </xf>
    <xf numFmtId="14" fontId="0" fillId="9" borderId="12" xfId="0" applyNumberFormat="1" applyFill="1" applyBorder="1" applyAlignment="1">
      <alignment vertical="center" wrapText="1"/>
    </xf>
    <xf numFmtId="165" fontId="16" fillId="9" borderId="24" xfId="0" applyNumberFormat="1" applyFont="1" applyFill="1" applyBorder="1" applyAlignment="1">
      <alignment horizontal="center" vertical="center"/>
    </xf>
    <xf numFmtId="165" fontId="16" fillId="4" borderId="14" xfId="0" applyNumberFormat="1" applyFont="1" applyFill="1" applyBorder="1" applyAlignment="1">
      <alignment horizontal="center" vertical="center"/>
    </xf>
    <xf numFmtId="165" fontId="16" fillId="9" borderId="24" xfId="3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center" wrapText="1"/>
    </xf>
    <xf numFmtId="165" fontId="0" fillId="0" borderId="0" xfId="3" applyNumberFormat="1" applyFont="1" applyAlignment="1">
      <alignment vertical="center" wrapText="1"/>
    </xf>
    <xf numFmtId="15" fontId="0" fillId="0" borderId="0" xfId="0" applyNumberFormat="1" applyAlignment="1">
      <alignment horizontal="left"/>
    </xf>
    <xf numFmtId="0" fontId="0" fillId="0" borderId="12" xfId="0" applyBorder="1" applyAlignment="1">
      <alignment horizontal="center" vertical="center" wrapText="1"/>
    </xf>
    <xf numFmtId="166" fontId="15" fillId="0" borderId="15" xfId="0" applyNumberFormat="1" applyFont="1" applyBorder="1" applyAlignment="1">
      <alignment horizontal="center" vertical="center" wrapText="1"/>
    </xf>
    <xf numFmtId="0" fontId="17" fillId="3" borderId="0" xfId="0" applyFont="1" applyFill="1" applyAlignment="1">
      <alignment vertical="center"/>
    </xf>
    <xf numFmtId="0" fontId="0" fillId="8" borderId="0" xfId="0" applyFill="1" applyAlignment="1">
      <alignment horizontal="center" vertical="center"/>
    </xf>
    <xf numFmtId="0" fontId="0" fillId="10" borderId="0" xfId="0" applyFill="1" applyAlignment="1">
      <alignment horizontal="right" vertical="center"/>
    </xf>
    <xf numFmtId="0" fontId="0" fillId="8" borderId="0" xfId="0" applyFill="1"/>
    <xf numFmtId="0" fontId="0" fillId="10" borderId="0" xfId="0" applyFill="1" applyAlignment="1">
      <alignment horizontal="center"/>
    </xf>
    <xf numFmtId="0" fontId="0" fillId="9" borderId="14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4" borderId="34" xfId="0" applyFill="1" applyBorder="1" applyAlignment="1">
      <alignment vertical="center"/>
    </xf>
    <xf numFmtId="165" fontId="0" fillId="9" borderId="12" xfId="0" applyNumberFormat="1" applyFill="1" applyBorder="1" applyAlignment="1">
      <alignment vertical="center"/>
    </xf>
    <xf numFmtId="165" fontId="0" fillId="4" borderId="12" xfId="0" applyNumberFormat="1" applyFill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166" fontId="0" fillId="9" borderId="12" xfId="0" applyNumberFormat="1" applyFill="1" applyBorder="1" applyAlignment="1">
      <alignment horizontal="center" vertical="center"/>
    </xf>
    <xf numFmtId="166" fontId="0" fillId="4" borderId="12" xfId="0" applyNumberForma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9" borderId="12" xfId="0" applyNumberFormat="1" applyFill="1" applyBorder="1" applyAlignment="1">
      <alignment horizontal="center" vertical="center" wrapText="1"/>
    </xf>
    <xf numFmtId="166" fontId="0" fillId="4" borderId="12" xfId="0" applyNumberFormat="1" applyFill="1" applyBorder="1" applyAlignment="1">
      <alignment vertical="center" wrapText="1"/>
    </xf>
    <xf numFmtId="166" fontId="0" fillId="9" borderId="12" xfId="0" applyNumberFormat="1" applyFill="1" applyBorder="1" applyAlignment="1">
      <alignment vertical="center" wrapText="1"/>
    </xf>
    <xf numFmtId="166" fontId="0" fillId="9" borderId="12" xfId="0" applyNumberFormat="1" applyFill="1" applyBorder="1"/>
    <xf numFmtId="166" fontId="0" fillId="4" borderId="12" xfId="0" applyNumberFormat="1" applyFill="1" applyBorder="1"/>
    <xf numFmtId="166" fontId="0" fillId="4" borderId="24" xfId="0" applyNumberFormat="1" applyFill="1" applyBorder="1"/>
    <xf numFmtId="0" fontId="0" fillId="9" borderId="12" xfId="0" applyFill="1" applyBorder="1" applyAlignment="1">
      <alignment horizontal="left" vertical="center" wrapText="1"/>
    </xf>
    <xf numFmtId="0" fontId="0" fillId="9" borderId="12" xfId="0" applyFill="1" applyBorder="1" applyAlignment="1">
      <alignment horizontal="right" vertical="center" wrapText="1"/>
    </xf>
    <xf numFmtId="166" fontId="0" fillId="4" borderId="12" xfId="0" applyNumberFormat="1" applyFill="1" applyBorder="1" applyAlignment="1">
      <alignment horizontal="center" vertical="center" wrapText="1"/>
    </xf>
    <xf numFmtId="166" fontId="0" fillId="9" borderId="12" xfId="0" applyNumberFormat="1" applyFill="1" applyBorder="1" applyAlignment="1">
      <alignment horizontal="center"/>
    </xf>
    <xf numFmtId="166" fontId="0" fillId="9" borderId="15" xfId="0" applyNumberFormat="1" applyFill="1" applyBorder="1" applyAlignment="1">
      <alignment horizontal="center" vertical="center" wrapText="1"/>
    </xf>
    <xf numFmtId="166" fontId="0" fillId="4" borderId="12" xfId="0" applyNumberFormat="1" applyFill="1" applyBorder="1" applyAlignment="1">
      <alignment horizontal="center"/>
    </xf>
    <xf numFmtId="166" fontId="0" fillId="4" borderId="24" xfId="0" applyNumberFormat="1" applyFill="1" applyBorder="1" applyAlignment="1">
      <alignment horizontal="center"/>
    </xf>
    <xf numFmtId="3" fontId="6" fillId="9" borderId="15" xfId="0" applyNumberFormat="1" applyFont="1" applyFill="1" applyBorder="1" applyAlignment="1">
      <alignment horizontal="left" vertical="center"/>
    </xf>
    <xf numFmtId="0" fontId="6" fillId="4" borderId="14" xfId="0" applyFont="1" applyFill="1" applyBorder="1" applyAlignment="1">
      <alignment horizontal="left"/>
    </xf>
    <xf numFmtId="0" fontId="0" fillId="4" borderId="37" xfId="0" applyFill="1" applyBorder="1"/>
    <xf numFmtId="0" fontId="0" fillId="9" borderId="37" xfId="0" applyFill="1" applyBorder="1"/>
    <xf numFmtId="0" fontId="0" fillId="9" borderId="24" xfId="0" applyFill="1" applyBorder="1"/>
    <xf numFmtId="0" fontId="25" fillId="6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vertical="center" wrapText="1"/>
    </xf>
    <xf numFmtId="0" fontId="2" fillId="2" borderId="36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0" fillId="9" borderId="17" xfId="0" applyFill="1" applyBorder="1" applyAlignment="1">
      <alignment vertical="center" wrapText="1"/>
    </xf>
    <xf numFmtId="165" fontId="0" fillId="9" borderId="37" xfId="3" applyNumberFormat="1" applyFont="1" applyFill="1" applyBorder="1" applyAlignment="1">
      <alignment vertical="center" wrapText="1"/>
    </xf>
    <xf numFmtId="0" fontId="0" fillId="9" borderId="37" xfId="0" applyFill="1" applyBorder="1" applyAlignment="1">
      <alignment vertical="center" wrapText="1"/>
    </xf>
    <xf numFmtId="0" fontId="0" fillId="9" borderId="24" xfId="0" applyFill="1" applyBorder="1" applyAlignment="1">
      <alignment vertical="center" wrapText="1"/>
    </xf>
    <xf numFmtId="0" fontId="0" fillId="4" borderId="17" xfId="0" applyFill="1" applyBorder="1" applyAlignment="1">
      <alignment vertical="center" wrapText="1"/>
    </xf>
    <xf numFmtId="165" fontId="0" fillId="4" borderId="37" xfId="3" applyNumberFormat="1" applyFont="1" applyFill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165" fontId="0" fillId="0" borderId="37" xfId="3" applyNumberFormat="1" applyFont="1" applyFill="1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37" xfId="0" applyBorder="1"/>
    <xf numFmtId="0" fontId="0" fillId="0" borderId="24" xfId="0" applyBorder="1"/>
    <xf numFmtId="0" fontId="0" fillId="0" borderId="27" xfId="0" applyBorder="1" applyAlignment="1">
      <alignment vertical="center" wrapText="1"/>
    </xf>
    <xf numFmtId="165" fontId="0" fillId="0" borderId="38" xfId="3" applyNumberFormat="1" applyFont="1" applyFill="1" applyBorder="1" applyAlignment="1">
      <alignment vertical="center" wrapText="1"/>
    </xf>
    <xf numFmtId="0" fontId="0" fillId="0" borderId="38" xfId="0" applyBorder="1"/>
    <xf numFmtId="166" fontId="0" fillId="0" borderId="37" xfId="0" applyNumberFormat="1" applyBorder="1" applyAlignment="1">
      <alignment horizontal="center" vertical="center" wrapText="1"/>
    </xf>
    <xf numFmtId="166" fontId="0" fillId="0" borderId="38" xfId="0" applyNumberFormat="1" applyBorder="1" applyAlignment="1">
      <alignment horizontal="center" vertical="center" wrapText="1"/>
    </xf>
    <xf numFmtId="166" fontId="0" fillId="9" borderId="37" xfId="0" applyNumberFormat="1" applyFill="1" applyBorder="1" applyAlignment="1">
      <alignment horizontal="center" vertical="center" wrapText="1"/>
    </xf>
    <xf numFmtId="166" fontId="0" fillId="4" borderId="37" xfId="0" applyNumberFormat="1" applyFill="1" applyBorder="1" applyAlignment="1">
      <alignment horizontal="center" vertical="center" wrapText="1"/>
    </xf>
    <xf numFmtId="165" fontId="0" fillId="9" borderId="15" xfId="3" applyNumberFormat="1" applyFont="1" applyFill="1" applyBorder="1" applyAlignment="1">
      <alignment vertical="center" wrapText="1"/>
    </xf>
    <xf numFmtId="165" fontId="0" fillId="4" borderId="12" xfId="3" applyNumberFormat="1" applyFont="1" applyFill="1" applyBorder="1" applyAlignment="1">
      <alignment vertical="center" wrapText="1"/>
    </xf>
    <xf numFmtId="165" fontId="0" fillId="9" borderId="12" xfId="3" applyNumberFormat="1" applyFont="1" applyFill="1" applyBorder="1" applyAlignment="1">
      <alignment vertical="center" wrapText="1"/>
    </xf>
    <xf numFmtId="0" fontId="0" fillId="0" borderId="39" xfId="0" applyBorder="1" applyAlignment="1">
      <alignment vertical="center" wrapText="1"/>
    </xf>
    <xf numFmtId="0" fontId="2" fillId="12" borderId="36" xfId="0" applyFont="1" applyFill="1" applyBorder="1" applyAlignment="1">
      <alignment vertical="center" wrapText="1"/>
    </xf>
    <xf numFmtId="165" fontId="0" fillId="0" borderId="41" xfId="3" applyNumberFormat="1" applyFont="1" applyFill="1" applyBorder="1" applyAlignment="1">
      <alignment vertical="center" wrapText="1"/>
    </xf>
    <xf numFmtId="166" fontId="0" fillId="0" borderId="41" xfId="0" applyNumberFormat="1" applyBorder="1" applyAlignment="1">
      <alignment horizontal="center" vertical="center" wrapText="1"/>
    </xf>
    <xf numFmtId="0" fontId="0" fillId="0" borderId="41" xfId="0" applyBorder="1" applyAlignment="1">
      <alignment vertical="center" wrapText="1"/>
    </xf>
    <xf numFmtId="0" fontId="0" fillId="9" borderId="9" xfId="0" applyFill="1" applyBorder="1" applyAlignment="1">
      <alignment vertical="center"/>
    </xf>
    <xf numFmtId="165" fontId="0" fillId="9" borderId="12" xfId="0" applyNumberFormat="1" applyFill="1" applyBorder="1"/>
    <xf numFmtId="165" fontId="0" fillId="4" borderId="12" xfId="0" applyNumberFormat="1" applyFill="1" applyBorder="1"/>
    <xf numFmtId="0" fontId="2" fillId="2" borderId="4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165" fontId="0" fillId="9" borderId="13" xfId="0" applyNumberFormat="1" applyFill="1" applyBorder="1" applyAlignment="1">
      <alignment vertical="center"/>
    </xf>
    <xf numFmtId="166" fontId="0" fillId="9" borderId="13" xfId="0" applyNumberFormat="1" applyFill="1" applyBorder="1" applyAlignment="1">
      <alignment horizontal="center" vertical="center"/>
    </xf>
    <xf numFmtId="0" fontId="0" fillId="4" borderId="13" xfId="0" applyFill="1" applyBorder="1" applyAlignment="1">
      <alignment vertical="center"/>
    </xf>
    <xf numFmtId="166" fontId="0" fillId="0" borderId="0" xfId="0" applyNumberFormat="1" applyAlignment="1">
      <alignment horizontal="center" vertical="center" wrapText="1"/>
    </xf>
    <xf numFmtId="0" fontId="0" fillId="9" borderId="17" xfId="0" applyFill="1" applyBorder="1" applyAlignment="1">
      <alignment vertical="center"/>
    </xf>
    <xf numFmtId="4" fontId="0" fillId="0" borderId="19" xfId="0" applyNumberFormat="1" applyBorder="1" applyAlignment="1">
      <alignment vertical="center" wrapText="1"/>
    </xf>
    <xf numFmtId="0" fontId="2" fillId="3" borderId="35" xfId="0" applyFont="1" applyFill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0" xfId="0" applyFill="1" applyAlignment="1">
      <alignment vertical="center" wrapText="1"/>
    </xf>
    <xf numFmtId="0" fontId="24" fillId="9" borderId="9" xfId="0" applyFont="1" applyFill="1" applyBorder="1" applyAlignment="1">
      <alignment vertical="center" wrapText="1"/>
    </xf>
    <xf numFmtId="0" fontId="24" fillId="4" borderId="9" xfId="0" applyFont="1" applyFill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2" fillId="12" borderId="0" xfId="0" applyFont="1" applyFill="1" applyAlignment="1">
      <alignment vertical="center" wrapText="1"/>
    </xf>
    <xf numFmtId="0" fontId="2" fillId="12" borderId="13" xfId="0" applyFont="1" applyFill="1" applyBorder="1" applyAlignment="1">
      <alignment vertical="center" wrapText="1"/>
    </xf>
    <xf numFmtId="165" fontId="0" fillId="4" borderId="13" xfId="0" applyNumberFormat="1" applyFill="1" applyBorder="1" applyAlignment="1">
      <alignment vertical="center"/>
    </xf>
    <xf numFmtId="0" fontId="2" fillId="12" borderId="19" xfId="0" applyFont="1" applyFill="1" applyBorder="1" applyAlignment="1">
      <alignment vertical="center" wrapText="1"/>
    </xf>
    <xf numFmtId="0" fontId="2" fillId="12" borderId="40" xfId="0" applyFont="1" applyFill="1" applyBorder="1" applyAlignment="1">
      <alignment vertical="center" wrapText="1"/>
    </xf>
    <xf numFmtId="0" fontId="2" fillId="12" borderId="41" xfId="0" applyFont="1" applyFill="1" applyBorder="1" applyAlignment="1">
      <alignment vertical="center" wrapText="1"/>
    </xf>
    <xf numFmtId="165" fontId="0" fillId="13" borderId="13" xfId="0" applyNumberFormat="1" applyFill="1" applyBorder="1" applyAlignment="1">
      <alignment vertical="center"/>
    </xf>
    <xf numFmtId="44" fontId="0" fillId="13" borderId="13" xfId="0" applyNumberFormat="1" applyFill="1" applyBorder="1" applyAlignment="1">
      <alignment vertical="center"/>
    </xf>
    <xf numFmtId="166" fontId="0" fillId="13" borderId="13" xfId="0" applyNumberFormat="1" applyFill="1" applyBorder="1" applyAlignment="1">
      <alignment horizontal="center" vertical="center"/>
    </xf>
    <xf numFmtId="165" fontId="0" fillId="13" borderId="12" xfId="0" applyNumberFormat="1" applyFill="1" applyBorder="1" applyAlignment="1">
      <alignment vertical="center"/>
    </xf>
    <xf numFmtId="166" fontId="0" fillId="13" borderId="12" xfId="0" applyNumberFormat="1" applyFill="1" applyBorder="1" applyAlignment="1">
      <alignment horizontal="center" vertical="center"/>
    </xf>
    <xf numFmtId="9" fontId="0" fillId="13" borderId="13" xfId="2" applyFont="1" applyFill="1" applyBorder="1" applyAlignment="1">
      <alignment horizontal="center" vertical="center"/>
    </xf>
    <xf numFmtId="9" fontId="0" fillId="4" borderId="13" xfId="2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9" fontId="2" fillId="12" borderId="19" xfId="2" applyFont="1" applyFill="1" applyBorder="1" applyAlignment="1">
      <alignment horizontal="left" vertical="center" wrapText="1"/>
    </xf>
    <xf numFmtId="165" fontId="0" fillId="13" borderId="41" xfId="0" applyNumberFormat="1" applyFill="1" applyBorder="1" applyAlignment="1">
      <alignment vertical="center"/>
    </xf>
    <xf numFmtId="0" fontId="2" fillId="12" borderId="0" xfId="0" applyFont="1" applyFill="1" applyAlignment="1">
      <alignment horizontal="left" vertical="center" wrapText="1"/>
    </xf>
    <xf numFmtId="165" fontId="0" fillId="0" borderId="0" xfId="0" applyNumberFormat="1" applyAlignment="1">
      <alignment horizontal="left" vertical="center" wrapText="1"/>
    </xf>
    <xf numFmtId="165" fontId="25" fillId="6" borderId="0" xfId="0" applyNumberFormat="1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30" fillId="7" borderId="0" xfId="1" applyFont="1" applyFill="1" applyBorder="1" applyAlignment="1">
      <alignment vertical="center"/>
    </xf>
    <xf numFmtId="0" fontId="31" fillId="7" borderId="0" xfId="0" applyFont="1" applyFill="1" applyAlignment="1">
      <alignment vertical="center"/>
    </xf>
    <xf numFmtId="0" fontId="30" fillId="7" borderId="0" xfId="0" applyFont="1" applyFill="1" applyAlignment="1">
      <alignment vertical="center"/>
    </xf>
    <xf numFmtId="0" fontId="31" fillId="7" borderId="0" xfId="0" applyFont="1" applyFill="1"/>
    <xf numFmtId="0" fontId="30" fillId="0" borderId="40" xfId="1" applyFont="1" applyFill="1" applyBorder="1" applyAlignment="1">
      <alignment vertical="center" wrapText="1"/>
    </xf>
    <xf numFmtId="0" fontId="30" fillId="0" borderId="24" xfId="1" applyFont="1" applyFill="1" applyBorder="1" applyAlignment="1">
      <alignment vertical="center" wrapText="1"/>
    </xf>
    <xf numFmtId="0" fontId="30" fillId="0" borderId="0" xfId="1" applyFont="1" applyFill="1" applyAlignment="1">
      <alignment vertical="center"/>
    </xf>
    <xf numFmtId="0" fontId="15" fillId="7" borderId="0" xfId="0" applyFont="1" applyFill="1"/>
    <xf numFmtId="0" fontId="21" fillId="0" borderId="32" xfId="0" applyFont="1" applyBorder="1" applyAlignment="1">
      <alignment vertical="center"/>
    </xf>
    <xf numFmtId="166" fontId="21" fillId="0" borderId="32" xfId="0" applyNumberFormat="1" applyFont="1" applyBorder="1" applyAlignment="1">
      <alignment horizontal="left" vertical="center"/>
    </xf>
    <xf numFmtId="0" fontId="21" fillId="0" borderId="33" xfId="0" applyFont="1" applyBorder="1" applyAlignment="1">
      <alignment vertical="center"/>
    </xf>
    <xf numFmtId="165" fontId="21" fillId="0" borderId="33" xfId="0" applyNumberFormat="1" applyFont="1" applyBorder="1" applyAlignment="1">
      <alignment horizontal="right" vertical="center"/>
    </xf>
    <xf numFmtId="165" fontId="21" fillId="0" borderId="33" xfId="0" applyNumberFormat="1" applyFont="1" applyBorder="1" applyAlignment="1">
      <alignment vertical="center"/>
    </xf>
    <xf numFmtId="3" fontId="0" fillId="9" borderId="38" xfId="0" applyNumberFormat="1" applyFill="1" applyBorder="1" applyAlignment="1">
      <alignment horizontal="center" vertical="center"/>
    </xf>
    <xf numFmtId="3" fontId="0" fillId="4" borderId="0" xfId="0" applyNumberFormat="1" applyFill="1" applyAlignment="1">
      <alignment horizontal="center" vertical="center"/>
    </xf>
    <xf numFmtId="3" fontId="0" fillId="9" borderId="13" xfId="0" applyNumberFormat="1" applyFill="1" applyBorder="1" applyAlignment="1">
      <alignment horizontal="center" vertical="center"/>
    </xf>
    <xf numFmtId="0" fontId="16" fillId="4" borderId="12" xfId="0" applyFont="1" applyFill="1" applyBorder="1" applyAlignment="1">
      <alignment horizontal="center" vertical="center"/>
    </xf>
    <xf numFmtId="165" fontId="16" fillId="9" borderId="0" xfId="3" applyNumberFormat="1" applyFont="1" applyFill="1" applyBorder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33" fillId="0" borderId="0" xfId="0" applyFont="1" applyAlignment="1">
      <alignment vertical="center"/>
    </xf>
    <xf numFmtId="0" fontId="28" fillId="5" borderId="0" xfId="0" applyFont="1" applyFill="1" applyAlignment="1">
      <alignment horizontal="center" vertical="center"/>
    </xf>
    <xf numFmtId="0" fontId="29" fillId="0" borderId="0" xfId="0" applyFont="1" applyAlignment="1">
      <alignment vertical="center"/>
    </xf>
    <xf numFmtId="0" fontId="25" fillId="6" borderId="29" xfId="0" applyFont="1" applyFill="1" applyBorder="1" applyAlignment="1">
      <alignment horizontal="center" vertical="center"/>
    </xf>
    <xf numFmtId="0" fontId="26" fillId="0" borderId="3" xfId="0" applyFont="1" applyBorder="1" applyAlignment="1">
      <alignment vertical="center"/>
    </xf>
    <xf numFmtId="0" fontId="0" fillId="3" borderId="0" xfId="0" applyFill="1" applyAlignment="1">
      <alignment horizontal="center"/>
    </xf>
    <xf numFmtId="0" fontId="32" fillId="2" borderId="0" xfId="0" applyFont="1" applyFill="1" applyAlignment="1">
      <alignment horizontal="left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top"/>
    </xf>
    <xf numFmtId="0" fontId="1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1" fillId="0" borderId="0" xfId="0" applyFont="1" applyAlignment="1">
      <alignment horizontal="left" vertical="top"/>
    </xf>
    <xf numFmtId="0" fontId="3" fillId="3" borderId="0" xfId="0" applyFont="1" applyFill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49" fontId="21" fillId="0" borderId="0" xfId="0" applyNumberFormat="1" applyFont="1" applyAlignment="1">
      <alignment horizontal="right"/>
    </xf>
    <xf numFmtId="0" fontId="12" fillId="3" borderId="0" xfId="0" applyFont="1" applyFill="1" applyAlignment="1">
      <alignment horizontal="center" vertical="center"/>
    </xf>
    <xf numFmtId="0" fontId="17" fillId="3" borderId="19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6" fillId="4" borderId="26" xfId="1" applyFont="1" applyFill="1" applyBorder="1" applyAlignment="1">
      <alignment horizontal="left" vertical="center"/>
    </xf>
    <xf numFmtId="0" fontId="6" fillId="9" borderId="26" xfId="1" applyFont="1" applyFill="1" applyBorder="1" applyAlignment="1">
      <alignment horizontal="left" vertical="center"/>
    </xf>
    <xf numFmtId="0" fontId="6" fillId="4" borderId="14" xfId="1" applyFont="1" applyFill="1" applyBorder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3" borderId="31" xfId="0" applyFont="1" applyFill="1" applyBorder="1" applyAlignment="1">
      <alignment horizontal="left" vertical="center"/>
    </xf>
    <xf numFmtId="0" fontId="1" fillId="3" borderId="19" xfId="0" applyFont="1" applyFill="1" applyBorder="1" applyAlignment="1">
      <alignment horizontal="left" vertical="center"/>
    </xf>
    <xf numFmtId="0" fontId="6" fillId="9" borderId="31" xfId="1" applyFont="1" applyFill="1" applyBorder="1" applyAlignment="1">
      <alignment horizontal="left" vertical="center"/>
    </xf>
    <xf numFmtId="0" fontId="6" fillId="9" borderId="19" xfId="1" applyFont="1" applyFill="1" applyBorder="1" applyAlignment="1">
      <alignment horizontal="left" vertical="center"/>
    </xf>
    <xf numFmtId="0" fontId="6" fillId="9" borderId="30" xfId="1" applyFont="1" applyFill="1" applyBorder="1" applyAlignment="1">
      <alignment horizontal="left" vertical="center"/>
    </xf>
    <xf numFmtId="0" fontId="6" fillId="4" borderId="14" xfId="1" applyFont="1" applyFill="1" applyBorder="1" applyAlignment="1">
      <alignment horizontal="left"/>
    </xf>
    <xf numFmtId="0" fontId="6" fillId="4" borderId="26" xfId="1" applyFont="1" applyFill="1" applyBorder="1" applyAlignment="1">
      <alignment horizontal="left"/>
    </xf>
    <xf numFmtId="0" fontId="6" fillId="9" borderId="26" xfId="1" applyFont="1" applyFill="1" applyBorder="1" applyAlignment="1">
      <alignment horizontal="left"/>
    </xf>
    <xf numFmtId="0" fontId="2" fillId="3" borderId="42" xfId="0" applyFont="1" applyFill="1" applyBorder="1" applyAlignment="1">
      <alignment horizontal="center" vertical="center" wrapText="1"/>
    </xf>
    <xf numFmtId="0" fontId="21" fillId="9" borderId="13" xfId="0" applyFont="1" applyFill="1" applyBorder="1" applyAlignment="1">
      <alignment vertical="center" wrapText="1"/>
    </xf>
    <xf numFmtId="0" fontId="21" fillId="9" borderId="0" xfId="0" applyFont="1" applyFill="1" applyAlignment="1">
      <alignment vertical="center" wrapText="1"/>
    </xf>
    <xf numFmtId="0" fontId="0" fillId="4" borderId="13" xfId="0" applyFill="1" applyBorder="1" applyAlignment="1">
      <alignment horizontal="right" vertical="center" wrapText="1"/>
    </xf>
    <xf numFmtId="0" fontId="0" fillId="4" borderId="0" xfId="0" applyFill="1" applyAlignment="1">
      <alignment horizontal="right" vertical="center" wrapText="1"/>
    </xf>
    <xf numFmtId="0" fontId="6" fillId="9" borderId="15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0" fillId="9" borderId="13" xfId="0" applyFill="1" applyBorder="1" applyAlignment="1">
      <alignment vertical="center" wrapText="1"/>
    </xf>
    <xf numFmtId="0" fontId="0" fillId="9" borderId="0" xfId="0" applyFill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</cellXfs>
  <cellStyles count="4">
    <cellStyle name="Currency" xfId="3" builtinId="4"/>
    <cellStyle name="Hyperlink" xfId="1" builtinId="8"/>
    <cellStyle name="Normal" xfId="0" builtinId="0"/>
    <cellStyle name="Percent" xfId="2" builtinId="5"/>
  </cellStyles>
  <dxfs count="265">
    <dxf>
      <numFmt numFmtId="4" formatCode="#,##0.00"/>
      <alignment horizontal="general" vertical="center" textRotation="0" wrapText="1" indent="0" justifyLastLine="0" shrinkToFit="0" readingOrder="0"/>
    </dxf>
    <dxf>
      <numFmt numFmtId="165" formatCode="_(&quot;AFN&quot;* #,##0_);_(&quot;AFN&quot;* \(#,##0\);_(&quot;AFN&quot;* &quot;-&quot;??_);_(@_)"/>
      <alignment horizontal="left" vertical="center" textRotation="0" wrapText="1" indent="0" justifyLastLine="0" shrinkToFit="0" readingOrder="0"/>
    </dxf>
    <dxf>
      <numFmt numFmtId="165" formatCode="_(&quot;AFN&quot;* #,##0_);_(&quot;AFN&quot;* \(#,##0\);_(&quot;AFN&quot;* &quot;-&quot;??_);_(@_)"/>
      <alignment horizontal="left" vertical="center" textRotation="0" wrapText="1" indent="0" justifyLastLine="0" shrinkToFit="0" readingOrder="0"/>
    </dxf>
    <dxf>
      <numFmt numFmtId="165" formatCode="_(&quot;AFN&quot;* #,##0_);_(&quot;AFN&quot;* \(#,##0\);_(&quot;AFN&quot;* &quot;-&quot;??_);_(@_)"/>
      <alignment horizontal="left" vertical="center" textRotation="0" wrapText="1" indent="0" justifyLastLine="0" shrinkToFit="0" readingOrder="0"/>
    </dxf>
    <dxf>
      <numFmt numFmtId="165" formatCode="_(&quot;AFN&quot;* #,##0_);_(&quot;AFN&quot;* \(#,##0\);_(&quot;AFN&quot;* &quot;-&quot;??_);_(@_)"/>
      <alignment horizontal="left" vertical="center" textRotation="0" wrapText="1" indent="0" justifyLastLine="0" shrinkToFit="0" readingOrder="0"/>
    </dxf>
    <dxf>
      <numFmt numFmtId="165" formatCode="_(&quot;AFN&quot;* #,##0_);_(&quot;AFN&quot;* \(#,##0\);_(&quot;AFN&quot;* &quot;-&quot;??_);_(@_)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166" formatCode="[$-409]d\-mmm\-yyyy;@"/>
      <alignment horizontal="center" vertical="center" textRotation="0" wrapText="1" indent="0" justifyLastLine="0" shrinkToFit="0" readingOrder="0"/>
    </dxf>
    <dxf>
      <numFmt numFmtId="165" formatCode="_(&quot;AFN&quot;* #,##0_);_(&quot;AFN&quot;* \(#,##0\);_(&quot;AFN&quot;* &quot;-&quot;??_);_(@_)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(&quot;AFN&quot;* #,##0_);_(&quot;AFN&quot;* \(#,##0\);_(&quot;AFN&quot;* &quot;-&quot;??_);_(@_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rgb="FFD9E1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34" formatCode="_(&quot;AFN&quot;* #,##0.00_);_(&quot;AFN&quot;* \(#,##0.0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6" formatCode="[$-409]d\-mmm\-yy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numFmt numFmtId="165" formatCode="_(&quot;AFN&quot;* #,##0_);_(&quot;AFN&quot;* \(#,##0\);_(&quot;AFN&quot;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(&quot;AFN&quot;* #,##0_);_(&quot;AFN&quot;* \(#,##0\);_(&quot;AFN&quot;* &quot;-&quot;??_);_(@_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9.9978637043366805E-2"/>
        </patternFill>
      </fill>
    </dxf>
    <dxf>
      <numFmt numFmtId="165" formatCode="_(&quot;AFN&quot;* #,##0_);_(&quot;AFN&quot;* \(#,##0\);_(&quot;AFN&quot;* &quot;-&quot;??_);_(@_)"/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</font>
      <alignment horizontal="center" vertical="center" textRotation="0" wrapText="1" indent="0" justifyLastLine="0" shrinkToFit="0" readingOrder="0"/>
    </dxf>
    <dxf>
      <numFmt numFmtId="19" formatCode="m/d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border outline="0">
        <bottom style="thin">
          <color rgb="FFD9E1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[$-409]d\-mmm\-yyyy;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(&quot;AFN&quot;* #,##0_);_(&quot;AFN&quot;* \(#,##0\);_(&quot;AFN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7365D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76321"/>
      <color rgb="FFEC8552"/>
      <color rgb="FFFF7C80"/>
      <color rgb="FF8DBAE7"/>
      <color rgb="FFFFB3B3"/>
      <color rgb="FFFF9999"/>
      <color rgb="FF6EA7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>
                <a:solidFill>
                  <a:srgbClr val="E76321"/>
                </a:solidFill>
              </a:rPr>
              <a:t>Income Rate </a:t>
            </a:r>
            <a:r>
              <a:rPr lang="en-US"/>
              <a:t>per teacher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Teachers!$B$2:$B$11</c:f>
              <c:strCache>
                <c:ptCount val="8"/>
                <c:pt idx="0">
                  <c:v>Ramin Rezaiee</c:v>
                </c:pt>
                <c:pt idx="1">
                  <c:v>Ali Reza Rezaiee</c:v>
                </c:pt>
                <c:pt idx="2">
                  <c:v>Rashid Ahmadi</c:v>
                </c:pt>
                <c:pt idx="3">
                  <c:v>Rahmatullah Yawari</c:v>
                </c:pt>
                <c:pt idx="4">
                  <c:v>Moeen Shayagan</c:v>
                </c:pt>
                <c:pt idx="5">
                  <c:v>Ali Ashori</c:v>
                </c:pt>
                <c:pt idx="6">
                  <c:v>Ali Sina Nayab</c:v>
                </c:pt>
                <c:pt idx="7">
                  <c:v>Sayed Reza Mobarez</c:v>
                </c:pt>
              </c:strCache>
            </c:strRef>
          </c:cat>
          <c:val>
            <c:numRef>
              <c:f>Teachers!$H$2:$H$11</c:f>
              <c:numCache>
                <c:formatCode>0%</c:formatCode>
                <c:ptCount val="10"/>
                <c:pt idx="0">
                  <c:v>0.9</c:v>
                </c:pt>
                <c:pt idx="1">
                  <c:v>0.8</c:v>
                </c:pt>
                <c:pt idx="2">
                  <c:v>0.7</c:v>
                </c:pt>
                <c:pt idx="3">
                  <c:v>0.6</c:v>
                </c:pt>
                <c:pt idx="4">
                  <c:v>0.5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1-43CF-85E5-8B90F0B82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2527"/>
        <c:axId val="696353007"/>
      </c:lineChart>
      <c:catAx>
        <c:axId val="69635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3007"/>
        <c:crosses val="autoZero"/>
        <c:auto val="1"/>
        <c:lblAlgn val="ctr"/>
        <c:lblOffset val="100"/>
        <c:noMultiLvlLbl val="0"/>
      </c:catAx>
      <c:valAx>
        <c:axId val="69635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2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 sz="1500" b="1">
                <a:solidFill>
                  <a:srgbClr val="E7632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Income</a:t>
            </a:r>
            <a:r>
              <a:rPr lang="en-US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per month</a:t>
            </a:r>
            <a:endParaRPr lang="en-US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7C8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Teacher_Salary!$E$3:$E$14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9-40EA-903E-86D2BA83E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618991"/>
        <c:axId val="530619471"/>
      </c:lineChart>
      <c:catAx>
        <c:axId val="5306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19471"/>
        <c:crosses val="autoZero"/>
        <c:auto val="1"/>
        <c:lblAlgn val="ctr"/>
        <c:lblOffset val="100"/>
        <c:noMultiLvlLbl val="0"/>
      </c:catAx>
      <c:valAx>
        <c:axId val="53061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18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94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>
      <a:glow rad="50800">
        <a:schemeClr val="bg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Teacher_Salary!$A$18:$A$29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Teacher_Salary!$E$18:$E$29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3-4C3D-BDD0-D3B95C5CB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57583"/>
        <c:axId val="647855183"/>
      </c:lineChart>
      <c:catAx>
        <c:axId val="647857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55183"/>
        <c:crosses val="autoZero"/>
        <c:auto val="1"/>
        <c:lblAlgn val="ctr"/>
        <c:lblOffset val="100"/>
        <c:noMultiLvlLbl val="0"/>
      </c:catAx>
      <c:valAx>
        <c:axId val="647855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57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Teacher_Salary!$A$33:$A$44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Teacher_Salary!$E$33:$E$44</c:f>
              <c:numCache>
                <c:formatCode>_("AFN"* #,##0_);_("AFN"* \(#,##0\);_("AFN"* "-"??_);_(@_)</c:formatCode>
                <c:ptCount val="12"/>
                <c:pt idx="0" formatCode="_(&quot;AFN&quot;* #,##0.00_);_(&quot;AFN&quot;* \(#,##0.00\);_(&quot;AFN&quot;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80-4335-84D0-13DFB5F8F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65263"/>
        <c:axId val="647848943"/>
      </c:lineChart>
      <c:catAx>
        <c:axId val="64786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48943"/>
        <c:crosses val="autoZero"/>
        <c:auto val="1"/>
        <c:lblAlgn val="ctr"/>
        <c:lblOffset val="100"/>
        <c:noMultiLvlLbl val="0"/>
      </c:catAx>
      <c:valAx>
        <c:axId val="64784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.00_);_(&quot;AFN&quot;* \(#,##0.0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6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Teacher_Salary!$A$48:$A$59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Teacher_Salary!$E$48:$E$59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2-4960-B0CA-F0AAA95A2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47983"/>
        <c:axId val="647859023"/>
      </c:lineChart>
      <c:catAx>
        <c:axId val="647847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59023"/>
        <c:crosses val="autoZero"/>
        <c:auto val="1"/>
        <c:lblAlgn val="ctr"/>
        <c:lblOffset val="100"/>
        <c:noMultiLvlLbl val="0"/>
      </c:catAx>
      <c:valAx>
        <c:axId val="64785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4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Teacher_Salary!$A$63:$A$74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Teacher_Salary!$E$63:$E$74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0-4E6E-891D-E551D39F4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54703"/>
        <c:axId val="647849903"/>
      </c:lineChart>
      <c:catAx>
        <c:axId val="647854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49903"/>
        <c:crosses val="autoZero"/>
        <c:auto val="1"/>
        <c:lblAlgn val="ctr"/>
        <c:lblOffset val="100"/>
        <c:noMultiLvlLbl val="0"/>
      </c:catAx>
      <c:valAx>
        <c:axId val="647849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54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Teacher_Salary!$A$78:$A$89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Teacher_Salary!$E$78:$E$89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C2-44B3-900D-52B01E254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85903"/>
        <c:axId val="471983023"/>
      </c:lineChart>
      <c:catAx>
        <c:axId val="47198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83023"/>
        <c:crosses val="autoZero"/>
        <c:auto val="1"/>
        <c:lblAlgn val="ctr"/>
        <c:lblOffset val="100"/>
        <c:noMultiLvlLbl val="0"/>
      </c:catAx>
      <c:valAx>
        <c:axId val="47198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8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Teacher_Salary!$A$93:$A$104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Teacher_Salary!$E$93:$E$104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1-4E58-8D19-5013A1907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52303"/>
        <c:axId val="647863343"/>
      </c:lineChart>
      <c:catAx>
        <c:axId val="64785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63343"/>
        <c:crosses val="autoZero"/>
        <c:auto val="1"/>
        <c:lblAlgn val="ctr"/>
        <c:lblOffset val="100"/>
        <c:noMultiLvlLbl val="0"/>
      </c:catAx>
      <c:valAx>
        <c:axId val="64786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5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Teacher_Salary!$A$108:$A$119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Teacher_Salary!$E$108:$E$119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6-4E74-860F-5B3208C43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87311"/>
        <c:axId val="530587791"/>
      </c:lineChart>
      <c:catAx>
        <c:axId val="53058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87791"/>
        <c:crosses val="autoZero"/>
        <c:auto val="1"/>
        <c:lblAlgn val="ctr"/>
        <c:lblOffset val="100"/>
        <c:noMultiLvlLbl val="0"/>
      </c:catAx>
      <c:valAx>
        <c:axId val="53058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8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Teacher_Salary!$A$123:$A$134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Teacher_Salary!$E$123:$E$134</c:f>
              <c:numCache>
                <c:formatCode>_("AFN"* #,##0_);_("AFN"* \(#,##0\);_("AFN"*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1-4F54-9860-C99DDD9F2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18351"/>
        <c:axId val="405136111"/>
      </c:lineChart>
      <c:catAx>
        <c:axId val="40511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36111"/>
        <c:crosses val="autoZero"/>
        <c:auto val="1"/>
        <c:lblAlgn val="ctr"/>
        <c:lblOffset val="100"/>
        <c:noMultiLvlLbl val="0"/>
      </c:catAx>
      <c:valAx>
        <c:axId val="405136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1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spc="0" baseline="0">
                <a:solidFill>
                  <a:srgbClr val="E76321"/>
                </a:solidFill>
              </a:rPr>
              <a:t>Income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Teacher_Salary!$A$138:$A$149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Teacher_Salary!$E$138:$E$149</c:f>
              <c:numCache>
                <c:formatCode>_("AFN"* #,##0_);_("AFN"* \(#,##0\);_("AFN"*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4-4185-A9D5-772AB0C0E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72463"/>
        <c:axId val="647869583"/>
      </c:lineChart>
      <c:catAx>
        <c:axId val="647872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69583"/>
        <c:crosses val="autoZero"/>
        <c:auto val="1"/>
        <c:lblAlgn val="ctr"/>
        <c:lblOffset val="100"/>
        <c:noMultiLvlLbl val="0"/>
      </c:catAx>
      <c:valAx>
        <c:axId val="64786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72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90000"/>
                    <a:lumOff val="10000"/>
                  </a:schemeClr>
                </a:solidFill>
              </a:rPr>
              <a:t>Sellings</a:t>
            </a:r>
            <a:r>
              <a:rPr lang="en-US" b="1"/>
              <a:t>/</a:t>
            </a:r>
            <a:r>
              <a:rPr lang="en-US" b="1">
                <a:solidFill>
                  <a:schemeClr val="accent2">
                    <a:lumMod val="75000"/>
                  </a:schemeClr>
                </a:solidFill>
              </a:rPr>
              <a:t>Expenses</a:t>
            </a:r>
            <a:r>
              <a:rPr lang="en-US" b="1" baseline="0"/>
              <a:t> </a:t>
            </a:r>
            <a:r>
              <a:rPr lang="en-US" b="0" baseline="0"/>
              <a:t>per month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Monthly_Report!$E$1</c:f>
              <c:strCache>
                <c:ptCount val="1"/>
                <c:pt idx="0">
                  <c:v>Sellings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Monthly_Report!$A$2:$A$13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Monthly_Report!$E$2:$E$13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8400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6-4C28-9A57-00F0CD935EF8}"/>
            </c:ext>
          </c:extLst>
        </c:ser>
        <c:ser>
          <c:idx val="1"/>
          <c:order val="1"/>
          <c:tx>
            <c:strRef>
              <c:f>Monthly_Report!$F$1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Monthly_Report!$A$2:$A$13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Monthly_Report!$F$2:$F$13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6-4C28-9A57-00F0CD935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81807"/>
        <c:axId val="696382287"/>
      </c:lineChart>
      <c:catAx>
        <c:axId val="696381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82287"/>
        <c:crosses val="autoZero"/>
        <c:auto val="1"/>
        <c:lblAlgn val="ctr"/>
        <c:lblOffset val="100"/>
        <c:noMultiLvlLbl val="0"/>
      </c:catAx>
      <c:valAx>
        <c:axId val="6963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81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75000"/>
                  </a:schemeClr>
                </a:solidFill>
              </a:rPr>
              <a:t>Students Payment </a:t>
            </a:r>
            <a:r>
              <a:rPr lang="en-US"/>
              <a:t>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Monthly_Report!$A$2:$A$13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Monthly_Report!$C$2:$C$13</c:f>
              <c:numCache>
                <c:formatCode>_("AFN"* #,##0_);_("AFN"* \(#,##0\);_("AFN"* "-"??_);_(@_)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04-4B7D-8970-67BA5B3E8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46543"/>
        <c:axId val="647860943"/>
      </c:lineChart>
      <c:catAx>
        <c:axId val="64784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60943"/>
        <c:crosses val="autoZero"/>
        <c:auto val="1"/>
        <c:lblAlgn val="ctr"/>
        <c:lblOffset val="100"/>
        <c:noMultiLvlLbl val="0"/>
      </c:catAx>
      <c:valAx>
        <c:axId val="64786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46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tx2">
              <a:lumMod val="25000"/>
              <a:lumOff val="75000"/>
            </a:schemeClr>
          </a:gs>
          <a:gs pos="100000">
            <a:schemeClr val="tx2">
              <a:lumMod val="75000"/>
              <a:lumOff val="2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75000"/>
                    <a:lumOff val="25000"/>
                  </a:schemeClr>
                </a:solidFill>
              </a:rPr>
              <a:t>Net Income </a:t>
            </a:r>
            <a:r>
              <a:rPr lang="en-US"/>
              <a:t>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Monthly_Report!$A$2:$A$13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Monthly_Report!$G$2:$G$13</c:f>
              <c:numCache>
                <c:formatCode>_("AFN"* #,##0_);_("AFN"* \(#,##0\);_("AFN"*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6370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C-459C-8650-A2F4DF163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40047"/>
        <c:axId val="696341007"/>
      </c:lineChart>
      <c:catAx>
        <c:axId val="69634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41007"/>
        <c:crosses val="autoZero"/>
        <c:auto val="1"/>
        <c:lblAlgn val="ctr"/>
        <c:lblOffset val="100"/>
        <c:noMultiLvlLbl val="0"/>
      </c:catAx>
      <c:valAx>
        <c:axId val="696341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AFN&quot;* #,##0_);_(&quot;AFN&quot;* \(#,##0\);_(&quot;AFN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40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38100" cap="flat" cmpd="sng" algn="ctr">
      <a:gradFill flip="none" rotWithShape="1">
        <a:gsLst>
          <a:gs pos="0">
            <a:schemeClr val="accent2">
              <a:lumMod val="40000"/>
              <a:lumOff val="60000"/>
            </a:schemeClr>
          </a:gs>
          <a:gs pos="100000">
            <a:schemeClr val="accent2">
              <a:lumMod val="75000"/>
            </a:schemeClr>
          </a:gs>
        </a:gsLst>
        <a:path path="circle">
          <a:fillToRect l="100000" t="100000"/>
        </a:path>
        <a:tileRect r="-100000" b="-100000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281940</xdr:colOff>
      <xdr:row>2</xdr:row>
      <xdr:rowOff>274321</xdr:rowOff>
    </xdr:from>
    <xdr:to>
      <xdr:col>3</xdr:col>
      <xdr:colOff>381000</xdr:colOff>
      <xdr:row>7</xdr:row>
      <xdr:rowOff>175261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CDF924B-BF81-7324-4811-2C2235A1120E}"/>
            </a:ext>
          </a:extLst>
        </xdr:cNvPr>
        <xdr:cNvGrpSpPr/>
      </xdr:nvGrpSpPr>
      <xdr:grpSpPr>
        <a:xfrm>
          <a:off x="281940" y="693421"/>
          <a:ext cx="2202180" cy="1203960"/>
          <a:chOff x="401041" y="554127"/>
          <a:chExt cx="1927860" cy="87242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D0279830-5D9D-E087-3F21-96F410743563}"/>
              </a:ext>
            </a:extLst>
          </xdr:cNvPr>
          <xdr:cNvSpPr txBox="1"/>
        </xdr:nvSpPr>
        <xdr:spPr>
          <a:xfrm>
            <a:off x="627766" y="554127"/>
            <a:ext cx="1463040" cy="7315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3600" b="1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Farsad</a:t>
            </a:r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4C0334E3-D086-13B5-1274-8AA503E89C44}"/>
              </a:ext>
            </a:extLst>
          </xdr:cNvPr>
          <xdr:cNvSpPr txBox="1"/>
        </xdr:nvSpPr>
        <xdr:spPr>
          <a:xfrm>
            <a:off x="401041" y="1053167"/>
            <a:ext cx="192786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Educational Center</a:t>
            </a:r>
          </a:p>
        </xdr:txBody>
      </xdr:sp>
    </xdr:grpSp>
    <xdr:clientData/>
  </xdr:twoCellAnchor>
  <xdr:twoCellAnchor>
    <xdr:from>
      <xdr:col>0</xdr:col>
      <xdr:colOff>525780</xdr:colOff>
      <xdr:row>8</xdr:row>
      <xdr:rowOff>236220</xdr:rowOff>
    </xdr:from>
    <xdr:to>
      <xdr:col>3</xdr:col>
      <xdr:colOff>129540</xdr:colOff>
      <xdr:row>15</xdr:row>
      <xdr:rowOff>7620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87610187-D498-40B3-9C6B-722782954EDA}"/>
            </a:ext>
          </a:extLst>
        </xdr:cNvPr>
        <xdr:cNvSpPr/>
      </xdr:nvSpPr>
      <xdr:spPr>
        <a:xfrm>
          <a:off x="525780" y="2217420"/>
          <a:ext cx="1706880" cy="1615440"/>
        </a:xfrm>
        <a:prstGeom prst="ellipse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259080</xdr:rowOff>
    </xdr:from>
    <xdr:to>
      <xdr:col>2</xdr:col>
      <xdr:colOff>1905000</xdr:colOff>
      <xdr:row>2</xdr:row>
      <xdr:rowOff>655320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485D0A-5148-4701-94E4-127B7E34EEDC}"/>
            </a:ext>
          </a:extLst>
        </xdr:cNvPr>
        <xdr:cNvSpPr/>
      </xdr:nvSpPr>
      <xdr:spPr>
        <a:xfrm>
          <a:off x="632460" y="259080"/>
          <a:ext cx="3299460" cy="1074420"/>
        </a:xfrm>
        <a:prstGeom prst="roundRect">
          <a:avLst>
            <a:gd name="adj" fmla="val 8171"/>
          </a:avLst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297180</xdr:colOff>
      <xdr:row>1</xdr:row>
      <xdr:rowOff>175260</xdr:rowOff>
    </xdr:from>
    <xdr:to>
      <xdr:col>2</xdr:col>
      <xdr:colOff>388620</xdr:colOff>
      <xdr:row>2</xdr:row>
      <xdr:rowOff>487679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58F949C-590F-451F-A1AB-797F995D958F}"/>
            </a:ext>
          </a:extLst>
        </xdr:cNvPr>
        <xdr:cNvGrpSpPr/>
      </xdr:nvGrpSpPr>
      <xdr:grpSpPr>
        <a:xfrm>
          <a:off x="601980" y="457200"/>
          <a:ext cx="1485900" cy="708659"/>
          <a:chOff x="5257800" y="624840"/>
          <a:chExt cx="1463040" cy="656987"/>
        </a:xfrm>
      </xdr:grpSpPr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3A2C7807-0188-E4BD-18C5-8B26DCDEA327}"/>
              </a:ext>
            </a:extLst>
          </xdr:cNvPr>
          <xdr:cNvSpPr txBox="1"/>
        </xdr:nvSpPr>
        <xdr:spPr>
          <a:xfrm>
            <a:off x="5257800" y="624840"/>
            <a:ext cx="1463040" cy="441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400" b="1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Farsad</a:t>
            </a:r>
            <a:endParaRPr lang="fa-IR" sz="28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2873E624-1E54-B293-5C81-9831F9659511}"/>
              </a:ext>
            </a:extLst>
          </xdr:cNvPr>
          <xdr:cNvSpPr txBox="1"/>
        </xdr:nvSpPr>
        <xdr:spPr>
          <a:xfrm>
            <a:off x="5265420" y="999887"/>
            <a:ext cx="128016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0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Educational Center</a:t>
            </a:r>
            <a:endParaRPr lang="fa-IR" sz="1100" b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769620</xdr:colOff>
      <xdr:row>1</xdr:row>
      <xdr:rowOff>114300</xdr:rowOff>
    </xdr:from>
    <xdr:to>
      <xdr:col>2</xdr:col>
      <xdr:colOff>1630680</xdr:colOff>
      <xdr:row>2</xdr:row>
      <xdr:rowOff>525780</xdr:rowOff>
    </xdr:to>
    <xdr:sp macro="[0]!PrintCurrentSheet" textlink="">
      <xdr:nvSpPr>
        <xdr:cNvPr id="13" name="Oval 12">
          <a:extLst>
            <a:ext uri="{FF2B5EF4-FFF2-40B4-BE49-F238E27FC236}">
              <a16:creationId xmlns:a16="http://schemas.microsoft.com/office/drawing/2014/main" id="{E64DD455-199D-4C50-9CF4-8F5D626BA2BB}"/>
            </a:ext>
          </a:extLst>
        </xdr:cNvPr>
        <xdr:cNvSpPr/>
      </xdr:nvSpPr>
      <xdr:spPr>
        <a:xfrm>
          <a:off x="2590800" y="396240"/>
          <a:ext cx="861060" cy="807720"/>
        </a:xfrm>
        <a:prstGeom prst="ellipse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137160</xdr:colOff>
      <xdr:row>0</xdr:row>
      <xdr:rowOff>91440</xdr:rowOff>
    </xdr:from>
    <xdr:to>
      <xdr:col>3</xdr:col>
      <xdr:colOff>175260</xdr:colOff>
      <xdr:row>16</xdr:row>
      <xdr:rowOff>60960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E65D7BF-55FD-1580-1DE0-01298B6973DD}"/>
            </a:ext>
          </a:extLst>
        </xdr:cNvPr>
        <xdr:cNvSpPr/>
      </xdr:nvSpPr>
      <xdr:spPr>
        <a:xfrm>
          <a:off x="137160" y="91440"/>
          <a:ext cx="3649980" cy="5516880"/>
        </a:xfrm>
        <a:prstGeom prst="roundRect">
          <a:avLst>
            <a:gd name="adj" fmla="val 3213"/>
          </a:avLst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289560</xdr:colOff>
      <xdr:row>0</xdr:row>
      <xdr:rowOff>60960</xdr:rowOff>
    </xdr:from>
    <xdr:to>
      <xdr:col>15</xdr:col>
      <xdr:colOff>594360</xdr:colOff>
      <xdr:row>16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224F12-2CCC-169F-93CC-6D74F182F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289560</xdr:colOff>
      <xdr:row>0</xdr:row>
      <xdr:rowOff>68580</xdr:rowOff>
    </xdr:from>
    <xdr:to>
      <xdr:col>13</xdr:col>
      <xdr:colOff>99060</xdr:colOff>
      <xdr:row>14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ACB5AB-27D5-06E7-AA19-6404D2DE41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274320</xdr:colOff>
      <xdr:row>14</xdr:row>
      <xdr:rowOff>236220</xdr:rowOff>
    </xdr:from>
    <xdr:to>
      <xdr:col>13</xdr:col>
      <xdr:colOff>83820</xdr:colOff>
      <xdr:row>29</xdr:row>
      <xdr:rowOff>30480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87C9FA-B6F3-8FDC-915A-43C9210E5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251460</xdr:colOff>
      <xdr:row>29</xdr:row>
      <xdr:rowOff>243840</xdr:rowOff>
    </xdr:from>
    <xdr:to>
      <xdr:col>13</xdr:col>
      <xdr:colOff>60960</xdr:colOff>
      <xdr:row>44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192486-B2CA-686A-EE97-35C30739F9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266700</xdr:colOff>
      <xdr:row>45</xdr:row>
      <xdr:rowOff>15240</xdr:rowOff>
    </xdr:from>
    <xdr:to>
      <xdr:col>13</xdr:col>
      <xdr:colOff>76200</xdr:colOff>
      <xdr:row>58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E5F143-A14E-1070-0B98-AB46350417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297180</xdr:colOff>
      <xdr:row>60</xdr:row>
      <xdr:rowOff>15240</xdr:rowOff>
    </xdr:from>
    <xdr:to>
      <xdr:col>13</xdr:col>
      <xdr:colOff>106680</xdr:colOff>
      <xdr:row>74</xdr:row>
      <xdr:rowOff>15240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2D59DFC-B6E3-A139-15DA-AE504016A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259080</xdr:colOff>
      <xdr:row>75</xdr:row>
      <xdr:rowOff>15240</xdr:rowOff>
    </xdr:from>
    <xdr:to>
      <xdr:col>13</xdr:col>
      <xdr:colOff>68580</xdr:colOff>
      <xdr:row>88</xdr:row>
      <xdr:rowOff>175260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79277C7-26F8-484B-993E-3F5D5CEAF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259080</xdr:colOff>
      <xdr:row>90</xdr:row>
      <xdr:rowOff>0</xdr:rowOff>
    </xdr:from>
    <xdr:to>
      <xdr:col>13</xdr:col>
      <xdr:colOff>68580</xdr:colOff>
      <xdr:row>104</xdr:row>
      <xdr:rowOff>30480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1DB407F-E27A-AB19-610D-B5B233B62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281940</xdr:colOff>
      <xdr:row>105</xdr:row>
      <xdr:rowOff>7620</xdr:rowOff>
    </xdr:from>
    <xdr:to>
      <xdr:col>13</xdr:col>
      <xdr:colOff>91440</xdr:colOff>
      <xdr:row>119</xdr:row>
      <xdr:rowOff>30480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221EBA-B5E3-A5F6-DB0C-D0258101FC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312420</xdr:colOff>
      <xdr:row>119</xdr:row>
      <xdr:rowOff>175260</xdr:rowOff>
    </xdr:from>
    <xdr:to>
      <xdr:col>13</xdr:col>
      <xdr:colOff>121920</xdr:colOff>
      <xdr:row>133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D50390D-5537-40DF-AE9C-7819810B20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312420</xdr:colOff>
      <xdr:row>134</xdr:row>
      <xdr:rowOff>175260</xdr:rowOff>
    </xdr:from>
    <xdr:to>
      <xdr:col>13</xdr:col>
      <xdr:colOff>121920</xdr:colOff>
      <xdr:row>149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2A6A1BD-D815-E6EF-214F-D94E7EC58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14</xdr:row>
      <xdr:rowOff>22860</xdr:rowOff>
    </xdr:from>
    <xdr:to>
      <xdr:col>3</xdr:col>
      <xdr:colOff>381000</xdr:colOff>
      <xdr:row>29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D27D86-CCC3-802E-7622-FD8E574237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525780</xdr:colOff>
      <xdr:row>14</xdr:row>
      <xdr:rowOff>22860</xdr:rowOff>
    </xdr:from>
    <xdr:to>
      <xdr:col>6</xdr:col>
      <xdr:colOff>502920</xdr:colOff>
      <xdr:row>29</xdr:row>
      <xdr:rowOff>22860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A2E2872-55AC-7099-6AFC-B342DA38D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647700</xdr:colOff>
      <xdr:row>14</xdr:row>
      <xdr:rowOff>22860</xdr:rowOff>
    </xdr:from>
    <xdr:to>
      <xdr:col>8</xdr:col>
      <xdr:colOff>30480</xdr:colOff>
      <xdr:row>29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BF934F9-0A75-C857-D6D0-23FEEABBA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309D325-C653-4AED-974C-B495DDD78F94}" name="enrollment_table" displayName="enrollment_table" ref="A2:R1000" totalsRowShown="0" headerRowDxfId="262" dataDxfId="261">
  <autoFilter ref="A2:R1000" xr:uid="{D309D325-C653-4AED-974C-B495DDD78F94}"/>
  <tableColumns count="18">
    <tableColumn id="1" xr3:uid="{9501D130-06A2-4013-9112-4A509E942D67}" name="*Student Name" dataDxfId="260"/>
    <tableColumn id="2" xr3:uid="{86207374-7AFA-49C4-8B04-15269C96BB1E}" name="*Father Name" dataDxfId="259"/>
    <tableColumn id="3" xr3:uid="{6509C5A2-0C68-4E9A-BCAE-31C0E21093EC}" name="*Subject" dataDxfId="258"/>
    <tableColumn id="19" xr3:uid="{7E71CCE6-9255-4D4A-B20B-7F27F730C65F}" name="*Timing" dataDxfId="257"/>
    <tableColumn id="4" xr3:uid="{C99D0E0A-DDA2-45E9-9462-C760739CDFB1}" name="Fee" dataDxfId="256"/>
    <tableColumn id="5" xr3:uid="{897BDF98-14C0-4BED-B976-6C03826A1C1A}" name="*Phone" dataDxfId="255"/>
    <tableColumn id="6" xr3:uid="{2E555BAF-80BC-468D-A2F2-95AEDC6A7D16}" name="*Gender" dataDxfId="254"/>
    <tableColumn id="7" xr3:uid="{94C419C6-20A6-4C6B-9DE9-D1E566530C1E}" name="*Teacher Name" dataDxfId="253"/>
    <tableColumn id="8" xr3:uid="{B7AEDF55-7492-4AE1-A014-CBBF71E90156}" name="Teacher ID" dataDxfId="252">
      <calculatedColumnFormula>_xlfn.XLOOKUP(enrollment_table[[#This Row],[*Teacher Name]], teachers_table[*Teacher Name], teachers_table[*Teacher ID])</calculatedColumnFormula>
    </tableColumn>
    <tableColumn id="11" xr3:uid="{11BF39AA-5359-4D53-B122-827760D245C1}" name="قریه*" dataDxfId="251"/>
    <tableColumn id="10" xr3:uid="{EDDA1BEA-CFD9-4122-B411-455EEDDD0B01}" name="*ولسوالی" dataDxfId="250"/>
    <tableColumn id="9" xr3:uid="{9A405927-65B7-4687-A279-379A61A569E7}" name="*ولایت" dataDxfId="249"/>
    <tableColumn id="17" xr3:uid="{AC1C9766-09B0-425E-A223-3476315D29A9}" name="*قریه " dataDxfId="248"/>
    <tableColumn id="16" xr3:uid="{E00F127F-0CE6-4295-935B-D99FD35D0C67}" name="*ولسوالی " dataDxfId="247"/>
    <tableColumn id="15" xr3:uid="{E83F9812-9D59-4344-A737-CCE36744DE75}" name="*ولایت " dataDxfId="246"/>
    <tableColumn id="12" xr3:uid="{00A04AA8-2FBB-43E5-BCEA-EEDDAE46C359}" name="Enrollment Date" dataDxfId="245">
      <calculatedColumnFormula>IF(Enrollment!$A3&lt;&gt;"",TODAY(),"")</calculatedColumnFormula>
    </tableColumn>
    <tableColumn id="13" xr3:uid="{CDDCA931-3200-4B57-8E91-56FFC2592654}" name="Enrollment Month" dataDxfId="244">
      <calculatedColumnFormula>IF(enrollment_table[[#This Row],[Enrollment Date]]="","",TEXT(enrollment_table[[#This Row],[Enrollment Date]],"mmmm"))</calculatedColumnFormula>
    </tableColumn>
    <tableColumn id="14" xr3:uid="{3DF485BF-88C2-4FD0-B5A4-B40C16CBA7F2}" name="Notes" dataDxfId="24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6C726F4-B12E-4498-8A50-57D48E5824F9}" name="teachers_table" displayName="teachers_table" ref="A1:H17" totalsRowShown="0" headerRowDxfId="242" dataDxfId="240" headerRowBorderDxfId="241">
  <autoFilter ref="A1:H17" xr:uid="{56C726F4-B12E-4498-8A50-57D48E5824F9}"/>
  <tableColumns count="8">
    <tableColumn id="1" xr3:uid="{1A47B697-47A2-42BA-9401-AA16AFEB030D}" name="*Teacher ID" dataDxfId="239"/>
    <tableColumn id="2" xr3:uid="{50FEFBED-C8BA-489C-89CC-9524CD48A10F}" name="*Teacher Name" dataDxfId="238"/>
    <tableColumn id="3" xr3:uid="{00D6A8AC-DF22-49CA-B3C7-4BA6FCB2D0A3}" name="*Phone" dataDxfId="237"/>
    <tableColumn id="7" xr3:uid="{17FBCE56-06EB-46B5-897E-537826FDEEB9}" name="*WhatsApp" dataDxfId="236"/>
    <tableColumn id="8" xr3:uid="{7F5276AD-32CA-4412-8572-D654FF0CDFFA}" name="*Email" dataDxfId="235"/>
    <tableColumn id="5" xr3:uid="{361F778A-0C2D-402A-9D1F-88951A504553}" name="*Hire Date" dataDxfId="234"/>
    <tableColumn id="4" xr3:uid="{24B66C99-E8BF-48AE-B966-86FF1088FC97}" name="Hire Month" dataDxfId="233"/>
    <tableColumn id="6" xr3:uid="{03E42753-4A13-4FB9-AE3F-C75980335671}" name="*Income Rate" dataDxfId="232" dataCellStyle="Perce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DEA4552-6854-495F-9AC9-4D529C8DA7C6}" name="classes_table" displayName="classes_table" ref="A2:F51" dataDxfId="231">
  <autoFilter ref="A2:F51" xr:uid="{FDEA4552-6854-495F-9AC9-4D529C8DA7C6}"/>
  <tableColumns count="6">
    <tableColumn id="3" xr3:uid="{63512A1A-F09F-4625-91A3-D314BAED2E4C}" name="*Subject" dataDxfId="230"/>
    <tableColumn id="6" xr3:uid="{D2FB2DE8-BC6C-4FED-9B24-3919C486A7E1}" name="*Timing" dataDxfId="229"/>
    <tableColumn id="5" xr3:uid="{3DD48CAF-7C25-4BE4-969B-648A96C7B659}" name="*Room No" dataDxfId="228"/>
    <tableColumn id="2" xr3:uid="{DF03CFFE-9852-4BCE-87D1-3797E0A9959B}" name="*Teacher Name" dataDxfId="227"/>
    <tableColumn id="4" xr3:uid="{E22107E3-D2DF-40F6-B3EB-27802807433A}" name="Teacher ID" dataDxfId="226">
      <calculatedColumnFormula>_xlfn.XLOOKUP(classes_table[[#This Row],[*Teacher Name]], teachers_table[*Teacher Name], teachers_table[*Teacher ID])</calculatedColumnFormula>
    </tableColumn>
    <tableColumn id="10" xr3:uid="{70682190-13A0-4E95-994D-2F33CD401C46}" name="Fee" dataDxfId="225">
      <calculatedColumnFormula>_xlfn.XLOOKUP(classes_table[[#This Row],[*Subject]], distinctClasses_table[*Subject], distinctClasses_table[*Fee])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005579-8A01-48C3-929F-F5F95F255BC7}" name="distinctClasses_table" displayName="distinctClasses_table" ref="H2:I24" totalsRowShown="0" headerRowDxfId="224" dataDxfId="223" tableBorderDxfId="222">
  <autoFilter ref="H2:I24" xr:uid="{52005579-8A01-48C3-929F-F5F95F255BC7}"/>
  <tableColumns count="2">
    <tableColumn id="1" xr3:uid="{BDF29FF1-F770-4584-9E98-536E62E2B383}" name="*Subject" dataDxfId="221"/>
    <tableColumn id="2" xr3:uid="{F5FBA337-57F9-40A5-9617-1A24AD1FC066}" name="*Fee" dataDxfId="22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68E10D-710C-451D-BC01-5D6FB20F5924}" name="raminSalary_table" displayName="raminSalary_table" ref="A2:H14" headerRowDxfId="199" tableBorderDxfId="198">
  <autoFilter ref="A2:H14" xr:uid="{BB68E10D-710C-451D-BC01-5D6FB20F5924}"/>
  <tableColumns count="8">
    <tableColumn id="1" xr3:uid="{A854CB22-380A-4B05-B44C-FCCCB045D5C9}" name="Month" totalsRowLabel="Total" dataDxfId="197" totalsRowDxfId="196"/>
    <tableColumn id="8" xr3:uid="{F5CDEF9B-DA72-4F1B-85DD-9112549980C6}" name="Students Enrolled" dataDxfId="195" totalsRowDxfId="194">
      <calculatedColumnFormula>COUNTIFS(enrollment_table[*Teacher Name], Teacher_Salary!$A$1, enrollment_table[Enrollment Month], raminSalary_table[[#This Row],[Month]])</calculatedColumnFormula>
    </tableColumn>
    <tableColumn id="2" xr3:uid="{E39BF5CA-A2EB-4794-8C1D-822494AB64E1}" name="Student Payments" dataDxfId="193" totalsRowDxfId="192">
      <calculatedColumnFormula>SUMIFS(enrollment_table[Fee], enrollment_table[*Teacher Name], Teacher_Salary!$A$1, enrollment_table[Enrollment Month], raminSalary_table[[#This Row],[Month]])</calculatedColumnFormula>
    </tableColumn>
    <tableColumn id="7" xr3:uid="{6B87CDBA-5516-45E7-ABBF-3481D3A85601}" name="Income Rate" dataDxfId="191" totalsRowDxfId="190" dataCellStyle="Percent">
      <calculatedColumnFormula>_xlfn.XLOOKUP(Teacher_Salary!$A$1, teachers_table[*Teacher Name], teachers_table[*Income Rate])</calculatedColumnFormula>
    </tableColumn>
    <tableColumn id="3" xr3:uid="{B6086BC9-94E7-496E-B7AD-F2B920DE4013}" name="Teacher Income" dataDxfId="189" totalsRowDxfId="188">
      <calculatedColumnFormula>raminSalary_table[[#This Row],[Income Rate]]*raminSalary_table[[#This Row],[Student Payments]]</calculatedColumnFormula>
    </tableColumn>
    <tableColumn id="4" xr3:uid="{DA017AE9-9E7A-4B60-8C83-E18D8439B4C9}" name="*Paid?" dataDxfId="187" totalsRowDxfId="186"/>
    <tableColumn id="5" xr3:uid="{2416592A-5867-48EF-93B0-EDCC53AA1A64}" name="*Payment Date" totalsRowFunction="count" dataDxfId="185" totalsRowDxfId="184"/>
    <tableColumn id="6" xr3:uid="{441D18A1-3D2C-491C-AE8F-F50DDCFD62A8}" name="Notes" dataDxfId="183" totalsRowDxfId="18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87D72E7-6610-4836-905F-42A269DB0AF9}" name="aliRezaRezaieeSalary_table" displayName="aliRezaRezaieeSalary_table" ref="A17:H29" headerRowDxfId="181" tableBorderDxfId="180">
  <autoFilter ref="A17:H29" xr:uid="{D87D72E7-6610-4836-905F-42A269DB0AF9}"/>
  <tableColumns count="8">
    <tableColumn id="1" xr3:uid="{FF5B9478-E135-4FD9-9559-E8432484B7EB}" name="Month" totalsRowLabel="Total" dataDxfId="179" totalsRowDxfId="178"/>
    <tableColumn id="8" xr3:uid="{43F0F3FA-2D58-442D-ADF1-CFE8F464552D}" name="Students Enrolled" dataDxfId="177" totalsRowDxfId="176">
      <calculatedColumnFormula>COUNTIFS(enrollment_table[*Teacher Name], Teacher_Salary!$A$16, enrollment_table[Enrollment Month], aliRezaRezaieeSalary_table[[#This Row],[Month]])</calculatedColumnFormula>
    </tableColumn>
    <tableColumn id="2" xr3:uid="{885BF411-FF8A-4FDD-B95B-1140EFB04799}" name="Student Payments" dataDxfId="175" totalsRowDxfId="174">
      <calculatedColumnFormula>SUMIFS(enrollment_table[Fee], enrollment_table[*Teacher Name], Teacher_Salary!$A$16, enrollment_table[Enrollment Month], aliRezaRezaieeSalary_table[[#This Row],[Month]])</calculatedColumnFormula>
    </tableColumn>
    <tableColumn id="7" xr3:uid="{64A534C7-7ACA-4C69-977D-AD0F113FD80A}" name="Income Rate" dataDxfId="173" dataCellStyle="Percent">
      <calculatedColumnFormula>_xlfn.XLOOKUP(Teacher_Salary!$A$16, teachers_table[*Teacher Name], teachers_table[*Income Rate])</calculatedColumnFormula>
    </tableColumn>
    <tableColumn id="3" xr3:uid="{EF182ED4-F457-4438-B32C-EB4FAA529ED3}" name="Teacher Income" dataDxfId="172" totalsRowDxfId="171">
      <calculatedColumnFormula>aliRezaRezaieeSalary_table[[#This Row],[Income Rate]]*aliRezaRezaieeSalary_table[[#This Row],[Student Payments]]</calculatedColumnFormula>
    </tableColumn>
    <tableColumn id="4" xr3:uid="{85053675-D2F3-41A9-8FA0-CCF0681455F5}" name="*Paid?" dataDxfId="170" totalsRowDxfId="169"/>
    <tableColumn id="5" xr3:uid="{E33CBAF8-1729-48CB-8218-7201AA56B3D0}" name="*Payment Date" totalsRowFunction="count" dataDxfId="168" totalsRowDxfId="167"/>
    <tableColumn id="6" xr3:uid="{3EE6A1E2-EC3C-40B4-B19C-603D0D67FEAB}" name="Notes" dataDxfId="166" totalsRowDxfId="165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E2626C5-9313-4476-BED9-E0686F72BF04}" name="rashidSalary_table" displayName="rashidSalary_table" ref="A32:H44" headerRowDxfId="164" tableBorderDxfId="163">
  <autoFilter ref="A32:H44" xr:uid="{CE2626C5-9313-4476-BED9-E0686F72BF04}"/>
  <tableColumns count="8">
    <tableColumn id="1" xr3:uid="{E0E84F65-6FA8-4BE5-8522-A4FA38751CF9}" name="Month" totalsRowLabel="Total" dataDxfId="162" totalsRowDxfId="161"/>
    <tableColumn id="8" xr3:uid="{52B9C93A-31E8-4744-8935-214660C651BB}" name="Students Enrolled" dataDxfId="160" totalsRowDxfId="159">
      <calculatedColumnFormula>COUNTIFS(enrollment_table[*Teacher Name], Teacher_Salary!$A$31, enrollment_table[Enrollment Month], rashidSalary_table[[#This Row],[Month]])</calculatedColumnFormula>
    </tableColumn>
    <tableColumn id="2" xr3:uid="{21297645-9F97-4206-B027-913EED22EF4D}" name="Student Payments" dataDxfId="158" totalsRowDxfId="157">
      <calculatedColumnFormula>SUMIFS(enrollment_table[Fee], enrollment_table[*Teacher Name], Teacher_Salary!$A$31, enrollment_table[Enrollment Month], rashidSalary_table[[#This Row],[Month]])</calculatedColumnFormula>
    </tableColumn>
    <tableColumn id="7" xr3:uid="{66F08FE0-385E-4F51-85EC-160088559E9E}" name="Income Rate" dataDxfId="156" totalsRowDxfId="155" dataCellStyle="Percent">
      <calculatedColumnFormula>_xlfn.XLOOKUP(Teacher_Salary!$A$31, teachers_table[*Teacher Name], teachers_table[*Income Rate])</calculatedColumnFormula>
    </tableColumn>
    <tableColumn id="3" xr3:uid="{9EEE041A-532C-4E63-B4E8-56311C5F3D18}" name="Teacher Income" dataDxfId="154" totalsRowDxfId="153">
      <calculatedColumnFormula>rashidSalary_table[[#This Row],[Income Rate]]*rashidSalary_table[[#This Row],[Student Payments]]</calculatedColumnFormula>
    </tableColumn>
    <tableColumn id="4" xr3:uid="{80C99E61-8B59-46AD-8124-D8194A2BFEA8}" name="*Paid?" dataDxfId="152" totalsRowDxfId="151"/>
    <tableColumn id="5" xr3:uid="{8C8C61E7-813C-4E8F-B0F6-FF7A1BBDE8C6}" name="*Payment Date" totalsRowFunction="count" dataDxfId="150" totalsRowDxfId="149"/>
    <tableColumn id="6" xr3:uid="{D7CB08DD-4903-4EFF-A3DB-DDB1EC9E88F4}" name="Notes" dataDxfId="148" totalsRowDxfId="147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695A92D-1B59-4A04-B88C-050A63D1D5DD}" name="rahmatullahSalary_table" displayName="rahmatullahSalary_table" ref="A47:H59" headerRowDxfId="146" tableBorderDxfId="145">
  <autoFilter ref="A47:H59" xr:uid="{D695A92D-1B59-4A04-B88C-050A63D1D5DD}"/>
  <tableColumns count="8">
    <tableColumn id="1" xr3:uid="{F0DE03A8-57B1-466E-9C72-DC4A83DD73DD}" name="Month" totalsRowLabel="Total" dataDxfId="144" totalsRowDxfId="143"/>
    <tableColumn id="8" xr3:uid="{B73E507C-6EAB-4747-8AFD-82890C467516}" name="Students Enrolled" dataDxfId="142" totalsRowDxfId="141">
      <calculatedColumnFormula>COUNTIFS(enrollment_table[*Teacher Name], Teacher_Salary!$A$46, enrollment_table[Enrollment Month], rahmatullahSalary_table[[#This Row],[Month]])</calculatedColumnFormula>
    </tableColumn>
    <tableColumn id="2" xr3:uid="{0048BD19-11ED-4C66-B1DC-EB6208D23686}" name="Student Payments" dataDxfId="140" totalsRowDxfId="139">
      <calculatedColumnFormula>SUMIFS(enrollment_table[Fee], enrollment_table[*Teacher Name], Teacher_Salary!$A$46, enrollment_table[Enrollment Month], rahmatullahSalary_table[[#This Row],[Month]])</calculatedColumnFormula>
    </tableColumn>
    <tableColumn id="7" xr3:uid="{CB2AD7D4-4BEF-4B83-938E-FA5F0B4CA2EA}" name="Income Rate" dataDxfId="138" totalsRowDxfId="137" dataCellStyle="Percent">
      <calculatedColumnFormula>_xlfn.XLOOKUP(Teacher_Salary!$A$46, teachers_table[*Teacher Name], teachers_table[*Income Rate])</calculatedColumnFormula>
    </tableColumn>
    <tableColumn id="3" xr3:uid="{F0E566A0-E2FF-4C64-9F8D-AF0A67972E5F}" name="Teacher Income" dataDxfId="136" totalsRowDxfId="135">
      <calculatedColumnFormula>rahmatullahSalary_table[[#This Row],[Income Rate]]*rahmatullahSalary_table[[#This Row],[Student Payments]]</calculatedColumnFormula>
    </tableColumn>
    <tableColumn id="4" xr3:uid="{16E81549-3DA5-497F-8763-2A4142A9CEA7}" name="*Paid?" dataDxfId="134" totalsRowDxfId="133"/>
    <tableColumn id="5" xr3:uid="{DAA815AE-7443-43B1-B814-CD5EC1BCCAA6}" name="*Payment Date" totalsRowFunction="count" dataDxfId="132" totalsRowDxfId="131"/>
    <tableColumn id="6" xr3:uid="{FE986FA7-3828-411D-961D-6632BECFC64A}" name="Notes" dataDxfId="130" totalsRowDxfId="12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3CEC309-FED5-4F38-9F23-8A23596DF8FA}" name="moeenSalary_table" displayName="moeenSalary_table" ref="A62:H74" headerRowDxfId="128" tableBorderDxfId="127">
  <autoFilter ref="A62:H74" xr:uid="{73CEC309-FED5-4F38-9F23-8A23596DF8FA}"/>
  <tableColumns count="8">
    <tableColumn id="1" xr3:uid="{F54F9E27-AF4F-42FB-8503-B656AFA70C3E}" name="Month" totalsRowLabel="Total" dataDxfId="126" totalsRowDxfId="125"/>
    <tableColumn id="8" xr3:uid="{9ECCA08F-C2D2-4B3A-81C5-8F94EEEB91A3}" name="Students Enrolled" dataDxfId="124" totalsRowDxfId="123">
      <calculatedColumnFormula>COUNTIFS(enrollment_table[*Teacher Name], Teacher_Salary!$A$61, enrollment_table[Enrollment Month], moeenSalary_table[[#This Row],[Month]])</calculatedColumnFormula>
    </tableColumn>
    <tableColumn id="2" xr3:uid="{C7883FAE-4596-4144-96DA-AF96F26AAD9C}" name="Student Payments" dataDxfId="122" totalsRowDxfId="121">
      <calculatedColumnFormula>SUMIFS(enrollment_table[Fee], enrollment_table[*Teacher Name], Teacher_Salary!$A$61, enrollment_table[Enrollment Month], moeenSalary_table[[#This Row],[Month]])</calculatedColumnFormula>
    </tableColumn>
    <tableColumn id="7" xr3:uid="{BA9917BA-81F7-4083-AD8E-8D27701F80FF}" name="Income Rate" dataDxfId="120" totalsRowDxfId="119" dataCellStyle="Percent">
      <calculatedColumnFormula>_xlfn.XLOOKUP(Teacher_Salary!$A$61, teachers_table[*Teacher Name], teachers_table[*Income Rate])</calculatedColumnFormula>
    </tableColumn>
    <tableColumn id="3" xr3:uid="{4A2E884F-D48D-4CBA-9EA5-D1D09F055E3B}" name="Teacher Income" dataDxfId="118" totalsRowDxfId="117">
      <calculatedColumnFormula>moeenSalary_table[[#This Row],[Income Rate]]*moeenSalary_table[[#This Row],[Student Payments]]</calculatedColumnFormula>
    </tableColumn>
    <tableColumn id="4" xr3:uid="{852B2FFB-B509-40EA-A725-B657F49697E7}" name="*Paid?" dataDxfId="116" totalsRowDxfId="115"/>
    <tableColumn id="5" xr3:uid="{113FFB5F-465B-421C-AA94-732ED58E4D1D}" name="*Payment Date" totalsRowFunction="count" dataDxfId="114" totalsRowDxfId="113"/>
    <tableColumn id="6" xr3:uid="{D465FDC4-A01F-490C-B296-356789EFDF47}" name="Notes" dataDxfId="112" totalsRowDxfId="11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7C9487F-65DA-4545-8E02-8F9BA5D5CDC4}" name="aliAshoriSalary_table" displayName="aliAshoriSalary_table" ref="A77:H89" headerRowDxfId="110" tableBorderDxfId="109">
  <autoFilter ref="A77:H89" xr:uid="{87C9487F-65DA-4545-8E02-8F9BA5D5CDC4}"/>
  <tableColumns count="8">
    <tableColumn id="1" xr3:uid="{464BBB4C-0874-4A00-9D49-042A7955E451}" name="Month" totalsRowLabel="Total" dataDxfId="108" totalsRowDxfId="107"/>
    <tableColumn id="8" xr3:uid="{C98F2AB3-1943-44C8-9AEC-C1CE245C584E}" name="Students Enrolled" dataDxfId="106" totalsRowDxfId="105">
      <calculatedColumnFormula>COUNTIFS(enrollment_table[*Teacher Name], Teacher_Salary!$A$76, enrollment_table[Enrollment Month], aliAshoriSalary_table[[#This Row],[Month]])</calculatedColumnFormula>
    </tableColumn>
    <tableColumn id="2" xr3:uid="{6893271A-A2CF-4099-A90B-C9E128D32428}" name="Student Payments" dataDxfId="104" totalsRowDxfId="103">
      <calculatedColumnFormula>SUMIFS(enrollment_table[Fee], enrollment_table[*Teacher Name], Teacher_Salary!$A$76, enrollment_table[Enrollment Month], aliAshoriSalary_table[[#This Row],[Month]])</calculatedColumnFormula>
    </tableColumn>
    <tableColumn id="7" xr3:uid="{1038A301-D0B8-4957-9DE8-4F0B4FCBEF7C}" name="Income Rate" dataDxfId="102" totalsRowDxfId="101" dataCellStyle="Percent">
      <calculatedColumnFormula>_xlfn.XLOOKUP(Teacher_Salary!$A$76, teachers_table[*Teacher Name], teachers_table[*Income Rate])</calculatedColumnFormula>
    </tableColumn>
    <tableColumn id="3" xr3:uid="{A1639347-F590-43EF-AF4E-B5187E91246C}" name="Teacher Income" dataDxfId="100" totalsRowDxfId="99">
      <calculatedColumnFormula>aliAshoriSalary_table[[#This Row],[Income Rate]]*aliAshoriSalary_table[[#This Row],[Student Payments]]</calculatedColumnFormula>
    </tableColumn>
    <tableColumn id="4" xr3:uid="{7679D1AC-F103-47AF-87EB-0B80D2EEFA7A}" name="*Paid?" dataDxfId="98" totalsRowDxfId="97"/>
    <tableColumn id="5" xr3:uid="{AF331CC3-012C-4F0B-A709-55EEFAF4BD35}" name="*Payment Date" totalsRowFunction="count" dataDxfId="96" totalsRowDxfId="95"/>
    <tableColumn id="6" xr3:uid="{9201912E-F6F0-4165-AABC-DE427262A21E}" name="Notes" dataDxfId="94" totalsRowDxfId="93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05CA2A5-4C46-4F92-8B75-0C1B0F4AAC3E}" name="aliSinaSalary_table" displayName="aliSinaSalary_table" ref="A92:H104" headerRowDxfId="92" tableBorderDxfId="91">
  <autoFilter ref="A92:H104" xr:uid="{505CA2A5-4C46-4F92-8B75-0C1B0F4AAC3E}"/>
  <tableColumns count="8">
    <tableColumn id="1" xr3:uid="{DD407AB7-825D-4E4A-AF2A-9713BE9A5776}" name="Month" totalsRowLabel="Total" dataDxfId="90" totalsRowDxfId="89"/>
    <tableColumn id="8" xr3:uid="{C71A113D-4F21-4348-8152-0DDFD8CCF91B}" name="Students Enrolled" dataDxfId="88" totalsRowDxfId="87">
      <calculatedColumnFormula>COUNTIFS(enrollment_table[*Teacher Name], Teacher_Salary!$A$91, enrollment_table[Enrollment Month], aliSinaSalary_table[[#This Row],[Month]])</calculatedColumnFormula>
    </tableColumn>
    <tableColumn id="2" xr3:uid="{3425A946-D66D-473E-9C99-9F6319CA5F2B}" name="Student Payments" dataDxfId="86" totalsRowDxfId="85">
      <calculatedColumnFormula>SUMIFS(enrollment_table[Fee], enrollment_table[*Teacher Name], Teacher_Salary!$A$91, enrollment_table[Enrollment Month], aliSinaSalary_table[[#This Row],[Month]])</calculatedColumnFormula>
    </tableColumn>
    <tableColumn id="7" xr3:uid="{1B5B1CBA-C974-43EE-A963-EBB44E3CAB4D}" name="Income Rate" dataDxfId="84" totalsRowDxfId="83" dataCellStyle="Percent">
      <calculatedColumnFormula>_xlfn.XLOOKUP(Teacher_Salary!$A$91, teachers_table[*Teacher Name], teachers_table[*Income Rate])</calculatedColumnFormula>
    </tableColumn>
    <tableColumn id="3" xr3:uid="{EFF8F508-3AFC-4BE9-8B09-295A95091A5F}" name="Teacher Income" dataDxfId="82" totalsRowDxfId="81">
      <calculatedColumnFormula>aliSinaSalary_table[[#This Row],[Income Rate]]*aliSinaSalary_table[[#This Row],[Student Payments]]</calculatedColumnFormula>
    </tableColumn>
    <tableColumn id="4" xr3:uid="{B68B3CB1-0B5E-429B-A24D-8F718060AE5D}" name="*Paid?" dataDxfId="80" totalsRowDxfId="79"/>
    <tableColumn id="5" xr3:uid="{EF41D6A4-7984-4880-82F9-B00AF4096021}" name="*Payment Date" totalsRowFunction="count" dataDxfId="78" totalsRowDxfId="77"/>
    <tableColumn id="6" xr3:uid="{C372A404-46B7-4108-9060-851E4A795D73}" name="Notes" dataDxfId="76" totalsRowDxfId="7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6C2223D-FEC1-41EE-B65C-05B10572777B}" name="sayedRezaSalary_table" displayName="sayedRezaSalary_table" ref="A107:H119" headerRowDxfId="74" tableBorderDxfId="73">
  <autoFilter ref="A107:H119" xr:uid="{F6C2223D-FEC1-41EE-B65C-05B10572777B}"/>
  <tableColumns count="8">
    <tableColumn id="1" xr3:uid="{653EB5D7-3E7C-4329-AF7E-C86E40B3EEC0}" name="Month" totalsRowLabel="Total" dataDxfId="72" totalsRowDxfId="71"/>
    <tableColumn id="8" xr3:uid="{7A71FB8C-9C73-4C90-8EAE-3677E7C12DB5}" name="Students Enrolled" dataDxfId="70" totalsRowDxfId="69">
      <calculatedColumnFormula>COUNTIFS(enrollment_table[*Teacher Name], Teacher_Salary!$A$106, enrollment_table[Enrollment Month], sayedRezaSalary_table[[#This Row],[Month]])</calculatedColumnFormula>
    </tableColumn>
    <tableColumn id="2" xr3:uid="{08227131-B58C-413E-9AF2-CFEF9CE95135}" name="Student Payments" dataDxfId="68" totalsRowDxfId="67">
      <calculatedColumnFormula>SUMIFS(enrollment_table[Fee], enrollment_table[*Teacher Name], Teacher_Salary!$A$106, enrollment_table[Enrollment Month], sayedRezaSalary_table[[#This Row],[Month]])</calculatedColumnFormula>
    </tableColumn>
    <tableColumn id="7" xr3:uid="{F8D33469-848C-4F5C-8069-3B4F9556EDFD}" name="Income Rate" dataDxfId="66" totalsRowDxfId="65" dataCellStyle="Percent">
      <calculatedColumnFormula>_xlfn.XLOOKUP(Teacher_Salary!$A$106, teachers_table[*Teacher Name], teachers_table[*Income Rate])</calculatedColumnFormula>
    </tableColumn>
    <tableColumn id="3" xr3:uid="{3BAADA9B-A624-4669-999B-85CEE91812D1}" name="Teacher Income" dataDxfId="64" totalsRowDxfId="63">
      <calculatedColumnFormula>sayedRezaSalary_table[[#This Row],[Income Rate]]*sayedRezaSalary_table[[#This Row],[Student Payments]]</calculatedColumnFormula>
    </tableColumn>
    <tableColumn id="4" xr3:uid="{C6DD3468-28C5-47B3-827E-ED43E86717BB}" name="*Paid?" dataDxfId="62" totalsRowDxfId="61"/>
    <tableColumn id="5" xr3:uid="{FA04EBEB-A562-4D3B-99AF-CE5CE71FF661}" name="*Payment Date" totalsRowFunction="count" dataDxfId="60" totalsRowDxfId="59"/>
    <tableColumn id="6" xr3:uid="{5C0D50FC-9404-4770-AEC7-A3DB57103AB5}" name="Notes" dataDxfId="58" totalsRowDxfId="57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DB1AF25-2139-4905-8242-B87BF10A48AE}" name="blank1Salary_table" displayName="blank1Salary_table" ref="A122:H134" headerRowDxfId="56" tableBorderDxfId="55">
  <autoFilter ref="A122:H134" xr:uid="{ADB1AF25-2139-4905-8242-B87BF10A48AE}"/>
  <tableColumns count="8">
    <tableColumn id="1" xr3:uid="{2DF772A4-DDCD-4C07-8606-7D1044770402}" name="Month" totalsRowLabel="Total" dataDxfId="54" totalsRowDxfId="53"/>
    <tableColumn id="8" xr3:uid="{F7881122-508F-4D51-936B-01B14B23CA26}" name="Students Enrolled" dataDxfId="52" totalsRowDxfId="51">
      <calculatedColumnFormula>COUNTIFS(enrollment_table[*Teacher Name], Teacher_Salary!$A$121, enrollment_table[Enrollment Month], blank1Salary_table[[#This Row],[Month]])</calculatedColumnFormula>
    </tableColumn>
    <tableColumn id="2" xr3:uid="{DB4B9328-CA22-465A-8C5E-1EF48D62C0A4}" name="Student Payments" dataDxfId="50" totalsRowDxfId="49">
      <calculatedColumnFormula>SUMIFS(enrollment_table[Fee], enrollment_table[*Teacher Name], Teacher_Salary!$A$121, enrollment_table[Enrollment Month], blank1Salary_table[[#This Row],[Month]])</calculatedColumnFormula>
    </tableColumn>
    <tableColumn id="7" xr3:uid="{FB3032E9-369F-4267-B93F-536C0538D2B9}" name="Income Rate" dataDxfId="48" totalsRowDxfId="47" dataCellStyle="Percent">
      <calculatedColumnFormula>_xlfn.XLOOKUP(Teacher_Salary!$A$121, teachers_table[*Teacher Name], teachers_table[*Income Rate])</calculatedColumnFormula>
    </tableColumn>
    <tableColumn id="3" xr3:uid="{F988C374-B325-49DC-BEBD-DC766907360E}" name="Teacher Income" dataDxfId="46" totalsRowDxfId="45">
      <calculatedColumnFormula>blank1Salary_table[[#This Row],[Income Rate]]*blank1Salary_table[[#This Row],[Student Payments]]</calculatedColumnFormula>
    </tableColumn>
    <tableColumn id="4" xr3:uid="{26928F4B-B2FA-4FFF-9795-10C97A8FD3F1}" name="*Paid?" dataDxfId="44" totalsRowDxfId="43"/>
    <tableColumn id="5" xr3:uid="{802439C7-A1C5-4924-8BE4-2FF73366C32A}" name="*Payment Date" totalsRowFunction="count" dataDxfId="42" totalsRowDxfId="41"/>
    <tableColumn id="6" xr3:uid="{74C942FC-7B49-4B3E-8F0F-883448F524FD}" name="Notes" dataDxfId="40" totalsRowDxfId="39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9C0B470-CBF3-4DBA-AF93-54687D74E148}" name="blank2Salary_table" displayName="blank2Salary_table" ref="A137:H149" headerRowDxfId="38" tableBorderDxfId="37">
  <autoFilter ref="A137:H149" xr:uid="{F9C0B470-CBF3-4DBA-AF93-54687D74E148}"/>
  <tableColumns count="8">
    <tableColumn id="1" xr3:uid="{7747FFF5-F298-42D5-A1CB-A76EB3090FE4}" name="Month" totalsRowLabel="Total" dataDxfId="36" totalsRowDxfId="35"/>
    <tableColumn id="8" xr3:uid="{96DAA9CF-39E8-4B5C-85E8-5F0AA11B1BB9}" name="Students Enrolled" dataDxfId="34" totalsRowDxfId="33">
      <calculatedColumnFormula>COUNTIFS(enrollment_table[*Teacher Name], Teacher_Salary!$A$136, enrollment_table[Enrollment Month], blank2Salary_table[[#This Row],[Month]])</calculatedColumnFormula>
    </tableColumn>
    <tableColumn id="2" xr3:uid="{7B93704E-D025-4F41-A0E2-56D2B591DF44}" name="Student Payments" dataDxfId="32" totalsRowDxfId="31">
      <calculatedColumnFormula>SUMIFS(enrollment_table[Fee], enrollment_table[*Teacher Name], Teacher_Salary!$A$136, enrollment_table[Enrollment Month], blank2Salary_table[[#This Row],[Month]])</calculatedColumnFormula>
    </tableColumn>
    <tableColumn id="7" xr3:uid="{18A225D8-5E90-4ABE-9F1E-29C199ACE83B}" name="Income Rate" dataDxfId="30" totalsRowDxfId="29" dataCellStyle="Percent">
      <calculatedColumnFormula>_xlfn.XLOOKUP(Teacher_Salary!$A$136, teachers_table[*Teacher Name], teachers_table[*Income Rate])</calculatedColumnFormula>
    </tableColumn>
    <tableColumn id="3" xr3:uid="{2451BBB8-5FC9-4057-83FA-D8B9FAB8E738}" name="Teacher Income" dataDxfId="28" totalsRowDxfId="27">
      <calculatedColumnFormula>blank2Salary_table[[#This Row],[Income Rate]]*blank2Salary_table[[#This Row],[Student Payments]]</calculatedColumnFormula>
    </tableColumn>
    <tableColumn id="4" xr3:uid="{7EEC6725-9774-4D53-A854-F05EA65CF4DD}" name="*Paid?" dataDxfId="26" totalsRowDxfId="25"/>
    <tableColumn id="5" xr3:uid="{96DCD6ED-0456-40A4-863B-F5EC6149A197}" name="*Payment Date" totalsRowFunction="count" dataDxfId="24" totalsRowDxfId="23"/>
    <tableColumn id="6" xr3:uid="{090BDC71-AED3-46B0-8A8C-0DF729B9E6B5}" name="Notes" dataDxfId="22" totalsRowDxfId="21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C8A381-0295-4959-8D53-1CCDDE7B5FC9}" name="allSellings_table" displayName="allSellings_table" ref="A1:F1000" totalsRowShown="0" headerRowDxfId="20" headerRowBorderDxfId="19">
  <autoFilter ref="A1:F1000" xr:uid="{FAC8A381-0295-4959-8D53-1CCDDE7B5FC9}"/>
  <tableColumns count="6">
    <tableColumn id="1" xr3:uid="{3B22E283-4B36-4136-8C81-DBC25F9A746E}" name="*Item Name" dataDxfId="18"/>
    <tableColumn id="2" xr3:uid="{47C9084A-6C48-4AE6-A75E-FED69F55A9B5}" name="*Price" dataDxfId="17" dataCellStyle="Currency"/>
    <tableColumn id="3" xr3:uid="{146935B7-C0CA-4996-8CF9-66936EEE1E76}" name="Date" dataDxfId="16">
      <calculatedColumnFormula>TODAY()</calculatedColumnFormula>
    </tableColumn>
    <tableColumn id="4" xr3:uid="{39B676F0-1BC9-48C4-9465-0AFB8953EA15}" name="Month" dataDxfId="15">
      <calculatedColumnFormula>IF(allSellings_table[[#This Row],[Date]]="","",TEXT(allSellings_table[[#This Row],[Date]],"mmmm"))</calculatedColumnFormula>
    </tableColumn>
    <tableColumn id="5" xr3:uid="{87217FB1-1FD8-4D52-A69C-9D6C54D039EB}" name="*Sold To" dataDxfId="14"/>
    <tableColumn id="6" xr3:uid="{7F50ECCA-E089-46D9-93C7-6AD5BE0D1354}" name="*Notes" dataDxfId="13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9EAE72E-1756-41CA-9EE6-0CACCA539B33}" name="allExpenses_table" displayName="allExpenses_table" ref="A1:F1000">
  <autoFilter ref="A1:F1000" xr:uid="{E9EAE72E-1756-41CA-9EE6-0CACCA539B33}"/>
  <tableColumns count="6">
    <tableColumn id="9" xr3:uid="{1C1E411D-0ADE-44DD-9DC0-B2F5ACF77D1E}" name="*Item Name" dataDxfId="12"/>
    <tableColumn id="2" xr3:uid="{D950CA58-CBE2-4655-9A88-68AC9D86CCAC}" name="*Price" dataDxfId="11"/>
    <tableColumn id="3" xr3:uid="{E23C082C-F54E-4378-938A-2389757452C2}" name="Date" dataDxfId="10"/>
    <tableColumn id="4" xr3:uid="{751E576C-B210-41C4-832D-934A02597921}" name="Month" dataDxfId="9">
      <calculatedColumnFormula>IF(allExpenses_table[[#This Row],[Date]]="","",TEXT(allExpenses_table[[#This Row],[Date]],"mmmm"))</calculatedColumnFormula>
    </tableColumn>
    <tableColumn id="6" xr3:uid="{5A2E3323-7633-4987-9752-538FD1FD25F2}" name="*Paid To"/>
    <tableColumn id="8" xr3:uid="{8558138D-8D6D-4129-8BE7-E0A3CC0D547B}" name="*Note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02B8AA5-8AD6-4764-A3CC-55E191ADC4FB}" name="monthlyReport_table" displayName="monthlyReport_table" ref="A1:H13">
  <autoFilter ref="A1:H13" xr:uid="{602B8AA5-8AD6-4764-A3CC-55E191ADC4FB}"/>
  <tableColumns count="8">
    <tableColumn id="1" xr3:uid="{EB422502-0919-464B-ABE4-941F53A0ED06}" name="Month"/>
    <tableColumn id="2" xr3:uid="{B265C528-E128-4E76-A58E-E46D7C0676FF}" name="Students Enrolled" dataDxfId="6"/>
    <tableColumn id="3" xr3:uid="{D16785D5-D6FE-4B81-B196-D7BA8695C025}" name="Students Payment" dataDxfId="5"/>
    <tableColumn id="4" xr3:uid="{501F9E5D-F455-4B22-AB30-A7D736CD617F}" name="Teacher Income" dataDxfId="4"/>
    <tableColumn id="8" xr3:uid="{65FF8FA3-3BD4-4265-AE05-8A9C16DF35F2}" name="Sellings" dataDxfId="3">
      <calculatedColumnFormula>SUMIFS(allSellings_table[*Price], allSellings_table[Month], monthlyReport_table[[#This Row],[Month]])</calculatedColumnFormula>
    </tableColumn>
    <tableColumn id="5" xr3:uid="{CD232FA2-77E5-4423-9D7E-C74D4EA22254}" name="Expenses" dataDxfId="2">
      <calculatedColumnFormula>SUMIFS(allExpenses_table[*Price], allExpenses_table[Month], monthlyReport_table[[#This Row],[Month]])</calculatedColumnFormula>
    </tableColumn>
    <tableColumn id="6" xr3:uid="{45D5F0DD-3BA7-48F2-8322-6D8EC08FCE30}" name="Net Center Income" dataDxfId="1">
      <calculatedColumnFormula>monthlyReport_table[[#This Row],[Students Payment]]+monthlyReport_table[[#This Row],[Sellings]]-monthlyReport_table[[#This Row],[Teacher Income]]-monthlyReport_table[[#This Row],[Expenses]]</calculatedColumnFormula>
    </tableColumn>
    <tableColumn id="7" xr3:uid="{A5CD6229-213D-487A-8DC1-84D9245E7533}" name="Not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lirezarezaiee2022@gmail.com" TargetMode="Externa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hyperlink" Target="mailto:alirezarezaiee2022@gmail.com?subject=From%20Farsad%20Educational%20Center" TargetMode="External"/><Relationship Id="rId1" Type="http://schemas.openxmlformats.org/officeDocument/2006/relationships/hyperlink" Target="https://ali-reza-rezaiee-portfolio.vercel.ap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822C8-6E26-47AC-B0D5-C8E1EA258295}">
  <sheetPr codeName="Sheet2">
    <tabColor rgb="FFFFB3B3"/>
  </sheetPr>
  <dimension ref="A1:V27"/>
  <sheetViews>
    <sheetView zoomScaleNormal="100" workbookViewId="0">
      <selection activeCell="I12" sqref="I12"/>
    </sheetView>
  </sheetViews>
  <sheetFormatPr defaultRowHeight="14.4" x14ac:dyDescent="0.3"/>
  <cols>
    <col min="1" max="4" width="10.21875" customWidth="1"/>
    <col min="5" max="5" width="4.5546875" customWidth="1"/>
    <col min="6" max="7" width="29.88671875" customWidth="1"/>
    <col min="8" max="8" width="8.6640625" customWidth="1"/>
    <col min="9" max="10" width="29.88671875" customWidth="1"/>
  </cols>
  <sheetData>
    <row r="1" spans="1:22" x14ac:dyDescent="0.3">
      <c r="A1" s="288"/>
      <c r="B1" s="288"/>
      <c r="C1" s="288"/>
      <c r="D1" s="28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8.600000000000001" customHeight="1" x14ac:dyDescent="0.3">
      <c r="A2" s="288"/>
      <c r="B2" s="288"/>
      <c r="C2" s="288"/>
      <c r="D2" s="288"/>
      <c r="E2" s="8"/>
      <c r="F2" s="263" t="s">
        <v>52</v>
      </c>
      <c r="G2" s="263" t="s">
        <v>53</v>
      </c>
      <c r="H2" s="284" t="s">
        <v>54</v>
      </c>
      <c r="I2" s="285"/>
      <c r="J2" s="263" t="s">
        <v>269</v>
      </c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</row>
    <row r="3" spans="1:22" ht="28.2" customHeight="1" x14ac:dyDescent="0.3">
      <c r="A3" s="288"/>
      <c r="B3" s="288"/>
      <c r="C3" s="288"/>
      <c r="D3" s="288"/>
      <c r="E3" s="8"/>
      <c r="F3" s="195">
        <f>COUNTA(enrollment_table[*Student Name])</f>
        <v>9</v>
      </c>
      <c r="G3" s="195">
        <f>COUNTA(teachers_table[*Teacher Name])</f>
        <v>8</v>
      </c>
      <c r="H3" s="286">
        <f>COUNTA(classes_table[*Subject])</f>
        <v>4</v>
      </c>
      <c r="I3" s="287"/>
      <c r="J3" s="262">
        <f>SUM(monthlyReport_table[Net Center Income])</f>
        <v>6370</v>
      </c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</row>
    <row r="4" spans="1:22" ht="14.4" customHeight="1" x14ac:dyDescent="0.3">
      <c r="A4" s="288"/>
      <c r="B4" s="288"/>
      <c r="C4" s="288"/>
      <c r="D4" s="28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</row>
    <row r="5" spans="1:22" ht="19.2" customHeight="1" x14ac:dyDescent="0.3">
      <c r="A5" s="288"/>
      <c r="B5" s="288"/>
      <c r="C5" s="288"/>
      <c r="D5" s="288"/>
      <c r="E5" s="8"/>
      <c r="F5" s="289" t="s">
        <v>55</v>
      </c>
      <c r="G5" s="289"/>
      <c r="H5" s="126"/>
      <c r="I5" s="282" t="s">
        <v>56</v>
      </c>
      <c r="J5" s="283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</row>
    <row r="6" spans="1:22" ht="20.399999999999999" customHeight="1" x14ac:dyDescent="0.3">
      <c r="A6" s="288"/>
      <c r="B6" s="288"/>
      <c r="C6" s="288"/>
      <c r="D6" s="288"/>
      <c r="E6" s="8"/>
      <c r="F6" s="264" t="s">
        <v>23</v>
      </c>
      <c r="G6" s="265"/>
      <c r="H6" s="265"/>
      <c r="I6" s="266" t="s">
        <v>104</v>
      </c>
      <c r="J6" s="267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spans="1:22" ht="20.399999999999999" customHeight="1" x14ac:dyDescent="0.3">
      <c r="A7" s="288"/>
      <c r="B7" s="288"/>
      <c r="C7" s="288"/>
      <c r="D7" s="288"/>
      <c r="E7" s="8"/>
      <c r="F7" s="268" t="s">
        <v>13</v>
      </c>
      <c r="G7" s="265"/>
      <c r="H7" s="265"/>
      <c r="I7" s="266" t="s">
        <v>266</v>
      </c>
      <c r="J7" s="267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 ht="20.399999999999999" customHeight="1" x14ac:dyDescent="0.3">
      <c r="A8" s="288"/>
      <c r="B8" s="288"/>
      <c r="C8" s="288"/>
      <c r="D8" s="288"/>
      <c r="E8" s="8"/>
      <c r="F8" s="269" t="s">
        <v>98</v>
      </c>
      <c r="G8" s="265"/>
      <c r="H8" s="265"/>
      <c r="I8" s="266" t="s">
        <v>59</v>
      </c>
      <c r="J8" s="267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 ht="20.399999999999999" customHeight="1" x14ac:dyDescent="0.3">
      <c r="A9" s="288"/>
      <c r="B9" s="288"/>
      <c r="C9" s="288"/>
      <c r="D9" s="288"/>
      <c r="E9" s="8"/>
      <c r="F9" s="269" t="s">
        <v>118</v>
      </c>
      <c r="G9" s="265"/>
      <c r="H9" s="265"/>
      <c r="I9" s="266" t="s">
        <v>57</v>
      </c>
      <c r="J9" s="267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 ht="20.399999999999999" customHeight="1" x14ac:dyDescent="0.3">
      <c r="A10" s="288"/>
      <c r="B10" s="288"/>
      <c r="C10" s="288"/>
      <c r="D10" s="288"/>
      <c r="E10" s="8"/>
      <c r="F10" s="269" t="s">
        <v>122</v>
      </c>
      <c r="G10" s="265"/>
      <c r="H10" s="265"/>
      <c r="I10" s="266" t="s">
        <v>58</v>
      </c>
      <c r="J10" s="267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 ht="20.399999999999999" customHeight="1" x14ac:dyDescent="0.3">
      <c r="A11" s="288"/>
      <c r="B11" s="288"/>
      <c r="C11" s="288"/>
      <c r="D11" s="288"/>
      <c r="E11" s="8"/>
      <c r="F11" s="269" t="s">
        <v>119</v>
      </c>
      <c r="G11" s="265"/>
      <c r="H11" s="265"/>
      <c r="I11" s="266" t="s">
        <v>265</v>
      </c>
      <c r="J11" s="267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22" ht="20.399999999999999" customHeight="1" x14ac:dyDescent="0.3">
      <c r="A12" s="288"/>
      <c r="B12" s="288"/>
      <c r="C12" s="288"/>
      <c r="D12" s="288"/>
      <c r="E12" s="8"/>
      <c r="F12" s="270" t="s">
        <v>120</v>
      </c>
      <c r="G12" s="265"/>
      <c r="H12" s="265"/>
      <c r="I12" s="266" t="s">
        <v>233</v>
      </c>
      <c r="J12" s="267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22" ht="20.399999999999999" customHeight="1" x14ac:dyDescent="0.3">
      <c r="A13" s="288"/>
      <c r="B13" s="288"/>
      <c r="C13" s="288"/>
      <c r="D13" s="288"/>
      <c r="E13" s="8"/>
      <c r="F13" s="269" t="s">
        <v>121</v>
      </c>
      <c r="G13" s="265"/>
      <c r="H13" s="265"/>
      <c r="I13" s="266" t="s">
        <v>234</v>
      </c>
      <c r="J13" s="267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ht="21.6" customHeight="1" x14ac:dyDescent="0.3">
      <c r="A14" s="288"/>
      <c r="B14" s="288"/>
      <c r="C14" s="288"/>
      <c r="D14" s="288"/>
      <c r="E14" s="8"/>
      <c r="F14" s="271"/>
      <c r="G14" s="271"/>
      <c r="H14" s="271"/>
      <c r="I14" s="266" t="s">
        <v>60</v>
      </c>
      <c r="J14" s="271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ht="21.6" customHeight="1" x14ac:dyDescent="0.3">
      <c r="A15" s="288"/>
      <c r="B15" s="288"/>
      <c r="C15" s="288"/>
      <c r="D15" s="288"/>
      <c r="E15" s="8"/>
      <c r="F15" s="271"/>
      <c r="G15" s="271"/>
      <c r="H15" s="271"/>
      <c r="I15" s="266" t="s">
        <v>267</v>
      </c>
      <c r="J15" s="271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</row>
    <row r="16" spans="1:22" ht="22.8" customHeight="1" x14ac:dyDescent="0.3">
      <c r="A16" s="288"/>
      <c r="B16" s="288"/>
      <c r="C16" s="288"/>
      <c r="D16" s="288"/>
      <c r="E16" s="8"/>
      <c r="F16" s="271"/>
      <c r="G16" s="271"/>
      <c r="H16" s="271"/>
      <c r="J16" s="271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</row>
    <row r="17" spans="1:22" ht="22.8" customHeight="1" x14ac:dyDescent="0.3">
      <c r="A17" s="288"/>
      <c r="B17" s="288"/>
      <c r="C17" s="288"/>
      <c r="D17" s="288"/>
      <c r="E17" s="8"/>
      <c r="F17" s="271"/>
      <c r="G17" s="271"/>
      <c r="H17" s="271"/>
      <c r="I17" s="271"/>
      <c r="J17" s="271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1:22" ht="24" customHeight="1" x14ac:dyDescent="0.3">
      <c r="A18" s="288"/>
      <c r="B18" s="288"/>
      <c r="C18" s="288"/>
      <c r="D18" s="28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1:22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1:22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1:22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1:22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1:22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</sheetData>
  <mergeCells count="5">
    <mergeCell ref="I5:J5"/>
    <mergeCell ref="H2:I2"/>
    <mergeCell ref="H3:I3"/>
    <mergeCell ref="A1:D18"/>
    <mergeCell ref="F5:G5"/>
  </mergeCells>
  <conditionalFormatting sqref="J3">
    <cfRule type="cellIs" dxfId="264" priority="2" operator="greaterThan">
      <formula>0</formula>
    </cfRule>
    <cfRule type="cellIs" dxfId="263" priority="1" operator="lessThan">
      <formula>0</formula>
    </cfRule>
  </conditionalFormatting>
  <hyperlinks>
    <hyperlink ref="I9" location="'Teachers'!A1" display="Teachers" xr:uid="{7278F7AB-F8EC-45DA-8227-05FB824EBB68}"/>
    <hyperlink ref="I10" location="'Classes'!A1" display="Classes" xr:uid="{980AE9D1-EEA1-445A-A8C2-628FCA0DA7AC}"/>
    <hyperlink ref="I8" location="'Attendance'!A1" display="Attendance" xr:uid="{C0093A59-3236-4BEC-AE14-5FB678567036}"/>
    <hyperlink ref="I14" location="'Monthly_Report'!A1" display="Monthly Report" xr:uid="{56C4E4F3-D584-4959-A34B-C03C983484F4}"/>
    <hyperlink ref="I6" location="Enrollment!A1" display="Enrollment" xr:uid="{86DD87A5-2727-4E5B-9DC6-542D0F764F5D}"/>
    <hyperlink ref="F12" location="T_Nayab!A1" display="Ali Sina Nayab" xr:uid="{20832A92-73B5-4509-A231-0583B2B70F88}"/>
    <hyperlink ref="F7" location="T_Ali_Reza_Rezaiee!A1" display="Ali Reza Rezaiee" xr:uid="{50317638-3171-4D24-B19B-366CB2E9A772}"/>
    <hyperlink ref="F8" location="T_Ahmadi!A1" display="Rashid Ahmadi" xr:uid="{9BFC0E31-8410-4C14-8BCC-57E0D2AEF30E}"/>
    <hyperlink ref="F9" location="T_Yawari!A1" display="Rahmatullah Yawari" xr:uid="{19A24E9E-33FD-4847-8261-B9B566E0DDCE}"/>
    <hyperlink ref="F10" location="T_Shayagan!A1" display="Moeen Shayagan" xr:uid="{63D99667-8F28-4638-B588-ADB1272FC8DF}"/>
    <hyperlink ref="F11" location="T_Ashori!A1" display="Ali Ashori" xr:uid="{62255C00-69E7-4745-8EF8-A61B425E143D}"/>
    <hyperlink ref="F13" location="T_Mobarez!A1" display="Sayed Reza Mobarez" xr:uid="{4A6D5AE8-888B-43F1-B85E-D8C9068991E7}"/>
    <hyperlink ref="F6" location="T_Ramin_Rezaiee!A1" display="Ramin Rezaiee" xr:uid="{0C65ECA4-D1DD-45EE-8964-0F4A786DD32B}"/>
    <hyperlink ref="I12" location="All_Sellings!A1" display="All Sellings" xr:uid="{C34661A2-6B4A-486E-9F8D-A0892EBF31EB}"/>
    <hyperlink ref="I13" location="All_Expenses!A1" display="All Expenses" xr:uid="{E531824F-F24F-478D-9265-EB2CF0FB03CB}"/>
    <hyperlink ref="I11" location="Teacher_Salary!A1" display="Teacher Income" xr:uid="{8A9BAA3F-9AFE-41C5-B90A-92FF94B20258}"/>
    <hyperlink ref="I7" location="Bill!A1" display="Bill" xr:uid="{3E0D6300-1877-4FF5-A86A-9EE3D5C15590}"/>
    <hyperlink ref="I15" location="About_Developer!A1" display="About Developer" xr:uid="{73D8B203-64DB-44A2-9850-E993977FD6F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BC75-7D93-4D57-85D3-D7B4D48B6A7E}">
  <sheetPr codeName="Sheet12"/>
  <dimension ref="A1:AK1000"/>
  <sheetViews>
    <sheetView zoomScaleNormal="100" workbookViewId="0">
      <selection activeCell="C15" sqref="C15"/>
    </sheetView>
  </sheetViews>
  <sheetFormatPr defaultRowHeight="14.4" x14ac:dyDescent="0.3"/>
  <cols>
    <col min="1" max="2" width="20" style="3" customWidth="1"/>
    <col min="3" max="4" width="17.88671875" style="3" customWidth="1"/>
    <col min="5" max="5" width="15.6640625" style="3" customWidth="1"/>
    <col min="6" max="6" width="17.21875" style="3" customWidth="1"/>
    <col min="7" max="7" width="10.88671875" style="3" customWidth="1"/>
    <col min="8" max="8" width="20.5546875" style="3" customWidth="1"/>
    <col min="9" max="9" width="13.21875" style="3" customWidth="1"/>
    <col min="10" max="12" width="15.5546875" style="3" customWidth="1"/>
    <col min="13" max="15" width="15.33203125" style="3" customWidth="1"/>
    <col min="16" max="16" width="17.88671875" style="3" customWidth="1"/>
    <col min="17" max="17" width="20.21875" style="3" customWidth="1"/>
    <col min="18" max="18" width="23.88671875" style="3" customWidth="1"/>
    <col min="19" max="19" width="8.88671875" style="3"/>
    <col min="20" max="20" width="15.33203125" style="3" customWidth="1"/>
    <col min="21" max="21" width="15" style="3" customWidth="1"/>
    <col min="22" max="22" width="11.109375" style="3" customWidth="1"/>
    <col min="23" max="23" width="10.33203125" style="3" customWidth="1"/>
    <col min="24" max="24" width="12.6640625" style="3" bestFit="1" customWidth="1"/>
    <col min="25" max="25" width="12.6640625" style="3" customWidth="1"/>
    <col min="26" max="26" width="9" style="3" customWidth="1"/>
    <col min="27" max="27" width="16.44140625" style="3" customWidth="1"/>
    <col min="28" max="28" width="11.77734375" style="3" customWidth="1"/>
    <col min="29" max="29" width="11.44140625" style="3" customWidth="1"/>
    <col min="30" max="30" width="11" style="3" customWidth="1"/>
    <col min="31" max="31" width="12.21875" style="3" customWidth="1"/>
    <col min="32" max="32" width="10.5546875" style="3" customWidth="1"/>
    <col min="33" max="34" width="8.88671875" style="3"/>
    <col min="35" max="35" width="16.44140625" style="3" customWidth="1"/>
    <col min="36" max="36" width="18.33203125" style="3" customWidth="1"/>
    <col min="37" max="37" width="27.33203125" style="3" customWidth="1"/>
    <col min="38" max="16384" width="8.88671875" style="3"/>
  </cols>
  <sheetData>
    <row r="1" spans="1:37" ht="18" customHeight="1" x14ac:dyDescent="0.3">
      <c r="A1" s="290"/>
      <c r="B1" s="291"/>
      <c r="C1" s="291"/>
      <c r="D1" s="51"/>
      <c r="E1" s="292"/>
      <c r="F1" s="292"/>
      <c r="G1" s="292"/>
      <c r="H1" s="6"/>
      <c r="I1" s="44"/>
      <c r="J1" s="290" t="s">
        <v>77</v>
      </c>
      <c r="K1" s="291"/>
      <c r="L1" s="291"/>
      <c r="M1" s="290" t="s">
        <v>78</v>
      </c>
      <c r="N1" s="291"/>
      <c r="O1" s="291"/>
      <c r="P1" s="42"/>
      <c r="Q1" s="40"/>
      <c r="R1" s="41"/>
      <c r="T1" s="293" t="s">
        <v>207</v>
      </c>
      <c r="U1" s="293"/>
      <c r="V1" s="293"/>
      <c r="W1" s="293"/>
      <c r="Z1" s="102">
        <v>3</v>
      </c>
    </row>
    <row r="2" spans="1:37" ht="19.8" customHeight="1" x14ac:dyDescent="0.3">
      <c r="A2" s="6" t="s">
        <v>135</v>
      </c>
      <c r="B2" s="6" t="s">
        <v>136</v>
      </c>
      <c r="C2" s="32" t="s">
        <v>137</v>
      </c>
      <c r="D2" s="43" t="s">
        <v>153</v>
      </c>
      <c r="E2" s="43" t="s">
        <v>38</v>
      </c>
      <c r="F2" s="43" t="s">
        <v>138</v>
      </c>
      <c r="G2" s="43" t="s">
        <v>139</v>
      </c>
      <c r="H2" s="43" t="s">
        <v>140</v>
      </c>
      <c r="I2" s="45" t="s">
        <v>26</v>
      </c>
      <c r="J2" s="35" t="s">
        <v>141</v>
      </c>
      <c r="K2" s="34" t="s">
        <v>142</v>
      </c>
      <c r="L2" s="33" t="s">
        <v>146</v>
      </c>
      <c r="M2" s="35" t="s">
        <v>145</v>
      </c>
      <c r="N2" s="34" t="s">
        <v>144</v>
      </c>
      <c r="O2" s="33" t="s">
        <v>143</v>
      </c>
      <c r="P2" s="32" t="s">
        <v>41</v>
      </c>
      <c r="Q2" s="32" t="s">
        <v>73</v>
      </c>
      <c r="R2" s="32" t="s">
        <v>7</v>
      </c>
      <c r="T2" s="294" t="s">
        <v>208</v>
      </c>
      <c r="U2" s="294"/>
      <c r="V2" s="295"/>
      <c r="W2" s="294"/>
    </row>
    <row r="3" spans="1:37" ht="16.2" customHeight="1" x14ac:dyDescent="0.3">
      <c r="A3" s="127" t="s">
        <v>96</v>
      </c>
      <c r="B3" s="55" t="s">
        <v>96</v>
      </c>
      <c r="C3" s="55" t="s">
        <v>101</v>
      </c>
      <c r="D3" s="55" t="s">
        <v>206</v>
      </c>
      <c r="E3" s="103">
        <f>_xlfn.XLOOKUP(enrollment_table[[#This Row],[*Subject]], classes_table[*Subject], classes_table[Fee])</f>
        <v>1000</v>
      </c>
      <c r="F3" s="56" t="s">
        <v>70</v>
      </c>
      <c r="G3" s="55" t="s">
        <v>69</v>
      </c>
      <c r="H3" s="55" t="s">
        <v>13</v>
      </c>
      <c r="I3" s="175" t="str">
        <f>_xlfn.XLOOKUP(enrollment_table[[#This Row],[*Teacher Name]], teachers_table[*Teacher Name], teachers_table[*Teacher ID])</f>
        <v>T-002</v>
      </c>
      <c r="J3" s="55" t="s">
        <v>96</v>
      </c>
      <c r="K3" s="55" t="s">
        <v>96</v>
      </c>
      <c r="L3" s="55"/>
      <c r="M3" s="55" t="s">
        <v>96</v>
      </c>
      <c r="N3" s="55" t="s">
        <v>96</v>
      </c>
      <c r="O3" s="55"/>
      <c r="P3" s="161">
        <v>46272</v>
      </c>
      <c r="Q3" s="160" t="str">
        <f>IF(enrollment_table[[#This Row],[Enrollment Date]]="","",TEXT(enrollment_table[[#This Row],[Enrollment Date]],"mmmm"))</f>
        <v>September</v>
      </c>
      <c r="R3" s="55"/>
    </row>
    <row r="4" spans="1:37" ht="16.2" customHeight="1" x14ac:dyDescent="0.3">
      <c r="A4" s="128" t="s">
        <v>97</v>
      </c>
      <c r="B4" s="57" t="s">
        <v>97</v>
      </c>
      <c r="C4" s="55" t="s">
        <v>102</v>
      </c>
      <c r="D4" s="57" t="s">
        <v>205</v>
      </c>
      <c r="E4" s="103">
        <f>_xlfn.XLOOKUP(enrollment_table[[#This Row],[*Subject]], classes_table[*Subject], classes_table[Fee])</f>
        <v>1000</v>
      </c>
      <c r="F4" s="58" t="s">
        <v>133</v>
      </c>
      <c r="G4" s="59" t="s">
        <v>95</v>
      </c>
      <c r="H4" s="55" t="s">
        <v>13</v>
      </c>
      <c r="I4" s="175" t="str">
        <f>_xlfn.XLOOKUP(enrollment_table[[#This Row],[*Teacher Name]], teachers_table[*Teacher Name], teachers_table[*Teacher ID])</f>
        <v>T-002</v>
      </c>
      <c r="J4" s="57" t="s">
        <v>97</v>
      </c>
      <c r="K4" s="57" t="s">
        <v>97</v>
      </c>
      <c r="L4" s="55"/>
      <c r="M4" s="57" t="s">
        <v>97</v>
      </c>
      <c r="N4" s="57" t="s">
        <v>97</v>
      </c>
      <c r="O4" s="55"/>
      <c r="P4" s="161">
        <v>46272</v>
      </c>
      <c r="Q4" s="160" t="str">
        <f>IF(enrollment_table[[#This Row],[Enrollment Date]]="","",TEXT(enrollment_table[[#This Row],[Enrollment Date]],"mmmm"))</f>
        <v>September</v>
      </c>
      <c r="R4" s="57"/>
      <c r="T4" s="290"/>
      <c r="U4" s="291"/>
      <c r="V4" s="291"/>
      <c r="W4" s="51"/>
      <c r="X4" s="293"/>
      <c r="Y4" s="293"/>
      <c r="Z4" s="293"/>
      <c r="AA4" s="40"/>
      <c r="AB4" s="41"/>
      <c r="AC4" s="290" t="s">
        <v>77</v>
      </c>
      <c r="AD4" s="291"/>
      <c r="AE4" s="291"/>
      <c r="AF4" s="290" t="s">
        <v>78</v>
      </c>
      <c r="AG4" s="291"/>
      <c r="AH4" s="291"/>
      <c r="AI4" s="42"/>
      <c r="AJ4" s="40"/>
      <c r="AK4" s="41"/>
    </row>
    <row r="5" spans="1:37" ht="16.2" customHeight="1" x14ac:dyDescent="0.3">
      <c r="A5" s="129" t="s">
        <v>134</v>
      </c>
      <c r="B5" s="60" t="s">
        <v>134</v>
      </c>
      <c r="C5" s="55" t="s">
        <v>71</v>
      </c>
      <c r="D5" s="60" t="s">
        <v>204</v>
      </c>
      <c r="E5" s="103">
        <f>_xlfn.XLOOKUP(enrollment_table[[#This Row],[*Subject]], classes_table[*Subject], classes_table[Fee])</f>
        <v>1500</v>
      </c>
      <c r="F5" s="58" t="s">
        <v>218</v>
      </c>
      <c r="G5" s="59" t="s">
        <v>95</v>
      </c>
      <c r="H5" s="55" t="s">
        <v>23</v>
      </c>
      <c r="I5" s="176" t="str">
        <f>_xlfn.XLOOKUP(enrollment_table[[#This Row],[*Teacher Name]], teachers_table[*Teacher Name], teachers_table[*Teacher ID])</f>
        <v>T-001</v>
      </c>
      <c r="J5" s="60" t="s">
        <v>134</v>
      </c>
      <c r="K5" s="60" t="s">
        <v>134</v>
      </c>
      <c r="L5" s="55"/>
      <c r="M5" s="60" t="s">
        <v>134</v>
      </c>
      <c r="N5" s="60" t="s">
        <v>134</v>
      </c>
      <c r="O5" s="55"/>
      <c r="P5" s="161">
        <v>46272</v>
      </c>
      <c r="Q5" s="160" t="str">
        <f>IF(enrollment_table[[#This Row],[Enrollment Date]]="","",TEXT(enrollment_table[[#This Row],[Enrollment Date]],"mmmm"))</f>
        <v>September</v>
      </c>
      <c r="R5" s="60"/>
      <c r="T5" s="6" t="s">
        <v>36</v>
      </c>
      <c r="U5" s="32" t="s">
        <v>37</v>
      </c>
      <c r="V5" s="32" t="s">
        <v>27</v>
      </c>
      <c r="W5" s="74" t="s">
        <v>128</v>
      </c>
      <c r="X5" s="32" t="s">
        <v>38</v>
      </c>
      <c r="Y5" s="32" t="s">
        <v>3</v>
      </c>
      <c r="Z5" s="32" t="s">
        <v>40</v>
      </c>
      <c r="AA5" s="32" t="s">
        <v>22</v>
      </c>
      <c r="AB5" s="32" t="s">
        <v>26</v>
      </c>
      <c r="AC5" s="46" t="s">
        <v>76</v>
      </c>
      <c r="AD5" s="46" t="s">
        <v>75</v>
      </c>
      <c r="AE5" s="46" t="s">
        <v>74</v>
      </c>
      <c r="AF5" s="46" t="s">
        <v>81</v>
      </c>
      <c r="AG5" s="46" t="s">
        <v>80</v>
      </c>
      <c r="AH5" s="46" t="s">
        <v>79</v>
      </c>
      <c r="AI5" s="32" t="s">
        <v>41</v>
      </c>
      <c r="AJ5" s="32" t="s">
        <v>73</v>
      </c>
      <c r="AK5" s="32" t="s">
        <v>7</v>
      </c>
    </row>
    <row r="6" spans="1:37" ht="16.2" customHeight="1" x14ac:dyDescent="0.3">
      <c r="A6" s="129" t="s">
        <v>94</v>
      </c>
      <c r="B6" s="60" t="s">
        <v>94</v>
      </c>
      <c r="C6" s="55" t="s">
        <v>102</v>
      </c>
      <c r="D6" s="60" t="s">
        <v>167</v>
      </c>
      <c r="E6" s="103">
        <f>_xlfn.XLOOKUP(enrollment_table[[#This Row],[*Subject]], classes_table[*Subject], classes_table[Fee])</f>
        <v>1000</v>
      </c>
      <c r="F6" s="58" t="s">
        <v>219</v>
      </c>
      <c r="G6" s="59" t="s">
        <v>95</v>
      </c>
      <c r="H6" s="55" t="s">
        <v>23</v>
      </c>
      <c r="I6" s="176" t="str">
        <f>_xlfn.XLOOKUP(enrollment_table[[#This Row],[*Teacher Name]], teachers_table[*Teacher Name], teachers_table[*Teacher ID])</f>
        <v>T-001</v>
      </c>
      <c r="J6" s="60" t="s">
        <v>94</v>
      </c>
      <c r="K6" s="60" t="s">
        <v>94</v>
      </c>
      <c r="L6" s="55"/>
      <c r="M6" s="60" t="s">
        <v>94</v>
      </c>
      <c r="N6" s="60" t="s">
        <v>94</v>
      </c>
      <c r="O6" s="55"/>
      <c r="P6" s="161">
        <v>46272</v>
      </c>
      <c r="Q6" s="160" t="str">
        <f>IF(enrollment_table[[#This Row],[Enrollment Date]]="","",TEXT(enrollment_table[[#This Row],[Enrollment Date]],"mmmm"))</f>
        <v>September</v>
      </c>
      <c r="R6" s="60"/>
      <c r="T6" s="167" t="str" cm="1">
        <f t="array" ref="T6">IF(V2 &lt;&gt; "", _xlfn._xlws.FILTER(enrollment_table[],ISNUMBER(SEARCH(V2, enrollment_table[*Student Name])), "No Students Found"), "Please enter a name to search")</f>
        <v>Please enter a name to search</v>
      </c>
      <c r="U6" s="91"/>
      <c r="V6" s="91"/>
      <c r="W6" s="91"/>
      <c r="X6" s="170"/>
      <c r="Y6" s="22"/>
      <c r="Z6" s="91"/>
      <c r="AA6" s="91"/>
      <c r="AB6" s="22"/>
      <c r="AC6" s="91"/>
      <c r="AD6" s="91"/>
      <c r="AE6" s="91"/>
      <c r="AF6" s="91"/>
      <c r="AG6" s="91"/>
      <c r="AH6" s="91"/>
      <c r="AI6" s="173"/>
      <c r="AJ6" s="22"/>
      <c r="AK6" s="91"/>
    </row>
    <row r="7" spans="1:37" ht="16.2" customHeight="1" x14ac:dyDescent="0.3">
      <c r="A7" s="128" t="s">
        <v>168</v>
      </c>
      <c r="B7" s="128" t="s">
        <v>168</v>
      </c>
      <c r="C7" s="55" t="s">
        <v>103</v>
      </c>
      <c r="D7" s="60" t="s">
        <v>213</v>
      </c>
      <c r="E7" s="103">
        <f>_xlfn.XLOOKUP(enrollment_table[[#This Row],[*Subject]], classes_table[*Subject], classes_table[Fee])</f>
        <v>500</v>
      </c>
      <c r="F7" s="58" t="s">
        <v>220</v>
      </c>
      <c r="G7" s="59" t="s">
        <v>95</v>
      </c>
      <c r="H7" s="55" t="s">
        <v>23</v>
      </c>
      <c r="I7" s="176" t="str">
        <f>_xlfn.XLOOKUP(enrollment_table[[#This Row],[*Teacher Name]], teachers_table[*Teacher Name], teachers_table[*Teacher ID])</f>
        <v>T-001</v>
      </c>
      <c r="J7" s="60"/>
      <c r="K7" s="60"/>
      <c r="L7" s="55"/>
      <c r="M7" s="60"/>
      <c r="N7" s="60"/>
      <c r="O7" s="55"/>
      <c r="P7" s="161">
        <v>46272</v>
      </c>
      <c r="Q7" s="160" t="str">
        <f>IF(enrollment_table[[#This Row],[Enrollment Date]]="","",TEXT(enrollment_table[[#This Row],[Enrollment Date]],"mmmm"))</f>
        <v>September</v>
      </c>
      <c r="R7" s="60"/>
      <c r="T7" s="168"/>
      <c r="U7" s="92"/>
      <c r="V7" s="92"/>
      <c r="W7" s="92"/>
      <c r="X7" s="171"/>
      <c r="Y7" s="172"/>
      <c r="Z7" s="92"/>
      <c r="AA7" s="92"/>
      <c r="AB7" s="172"/>
      <c r="AC7" s="92"/>
      <c r="AD7" s="92"/>
      <c r="AE7" s="92"/>
      <c r="AF7" s="92"/>
      <c r="AG7" s="92"/>
      <c r="AH7" s="92"/>
      <c r="AI7" s="174"/>
      <c r="AJ7" s="172"/>
      <c r="AK7" s="92"/>
    </row>
    <row r="8" spans="1:37" ht="16.2" customHeight="1" x14ac:dyDescent="0.3">
      <c r="A8" s="129" t="s">
        <v>209</v>
      </c>
      <c r="B8" s="129" t="s">
        <v>209</v>
      </c>
      <c r="C8" s="55" t="s">
        <v>101</v>
      </c>
      <c r="D8" s="60" t="s">
        <v>214</v>
      </c>
      <c r="E8" s="103">
        <f>_xlfn.XLOOKUP(enrollment_table[[#This Row],[*Subject]], classes_table[*Subject], classes_table[Fee])</f>
        <v>1000</v>
      </c>
      <c r="F8" s="58" t="s">
        <v>221</v>
      </c>
      <c r="G8" s="59" t="s">
        <v>95</v>
      </c>
      <c r="H8" s="55" t="s">
        <v>122</v>
      </c>
      <c r="I8" s="176" t="str">
        <f>_xlfn.XLOOKUP(enrollment_table[[#This Row],[*Teacher Name]], teachers_table[*Teacher Name], teachers_table[*Teacher ID])</f>
        <v>T-005</v>
      </c>
      <c r="J8" s="60"/>
      <c r="K8" s="60"/>
      <c r="L8" s="55"/>
      <c r="M8" s="60"/>
      <c r="N8" s="60"/>
      <c r="O8" s="55"/>
      <c r="P8" s="161">
        <v>46272</v>
      </c>
      <c r="Q8" s="160" t="str">
        <f>IF(enrollment_table[[#This Row],[Enrollment Date]]="","",TEXT(enrollment_table[[#This Row],[Enrollment Date]],"mmmm"))</f>
        <v>September</v>
      </c>
      <c r="R8" s="60"/>
      <c r="T8" s="167"/>
      <c r="U8" s="91"/>
      <c r="V8" s="91"/>
      <c r="W8" s="91"/>
      <c r="X8" s="170"/>
      <c r="Y8" s="22"/>
      <c r="Z8" s="91"/>
      <c r="AA8" s="91"/>
      <c r="AB8" s="22"/>
      <c r="AC8" s="91"/>
      <c r="AD8" s="91"/>
      <c r="AE8" s="91"/>
      <c r="AF8" s="91"/>
      <c r="AG8" s="91"/>
      <c r="AH8" s="91"/>
      <c r="AI8" s="173"/>
      <c r="AJ8" s="22"/>
      <c r="AK8" s="91"/>
    </row>
    <row r="9" spans="1:37" ht="16.2" customHeight="1" x14ac:dyDescent="0.3">
      <c r="A9" s="129" t="s">
        <v>210</v>
      </c>
      <c r="B9" s="129" t="s">
        <v>210</v>
      </c>
      <c r="C9" s="55" t="s">
        <v>102</v>
      </c>
      <c r="D9" s="60" t="s">
        <v>215</v>
      </c>
      <c r="E9" s="103">
        <f>_xlfn.XLOOKUP(enrollment_table[[#This Row],[*Subject]], classes_table[*Subject], classes_table[Fee])</f>
        <v>1000</v>
      </c>
      <c r="F9" s="58" t="s">
        <v>222</v>
      </c>
      <c r="G9" s="59" t="s">
        <v>95</v>
      </c>
      <c r="H9" s="55" t="s">
        <v>119</v>
      </c>
      <c r="I9" s="176" t="str">
        <f>_xlfn.XLOOKUP(enrollment_table[[#This Row],[*Teacher Name]], teachers_table[*Teacher Name], teachers_table[*Teacher ID])</f>
        <v>T-006</v>
      </c>
      <c r="J9" s="60"/>
      <c r="K9" s="60"/>
      <c r="L9" s="55"/>
      <c r="M9" s="60"/>
      <c r="N9" s="60"/>
      <c r="O9" s="55"/>
      <c r="P9" s="161">
        <v>46272</v>
      </c>
      <c r="Q9" s="160" t="str">
        <f>IF(enrollment_table[[#This Row],[Enrollment Date]]="","",TEXT(enrollment_table[[#This Row],[Enrollment Date]],"mmmm"))</f>
        <v>September</v>
      </c>
      <c r="R9" s="60"/>
      <c r="T9" s="168"/>
      <c r="U9" s="92"/>
      <c r="V9" s="92"/>
      <c r="W9" s="92"/>
      <c r="X9" s="171"/>
      <c r="Y9" s="172"/>
      <c r="Z9" s="92"/>
      <c r="AA9" s="92"/>
      <c r="AB9" s="172"/>
      <c r="AC9" s="92"/>
      <c r="AD9" s="92"/>
      <c r="AE9" s="92"/>
      <c r="AF9" s="92"/>
      <c r="AG9" s="92"/>
      <c r="AH9" s="92"/>
      <c r="AI9" s="174"/>
      <c r="AJ9" s="172"/>
      <c r="AK9" s="92"/>
    </row>
    <row r="10" spans="1:37" ht="16.2" customHeight="1" x14ac:dyDescent="0.3">
      <c r="A10" s="128" t="s">
        <v>211</v>
      </c>
      <c r="B10" s="128" t="s">
        <v>211</v>
      </c>
      <c r="C10" s="55" t="s">
        <v>71</v>
      </c>
      <c r="D10" s="60" t="s">
        <v>216</v>
      </c>
      <c r="E10" s="103">
        <f>_xlfn.XLOOKUP(enrollment_table[[#This Row],[*Subject]], classes_table[*Subject], classes_table[Fee])</f>
        <v>1500</v>
      </c>
      <c r="F10" s="58" t="s">
        <v>223</v>
      </c>
      <c r="G10" s="59" t="s">
        <v>95</v>
      </c>
      <c r="H10" s="55" t="s">
        <v>120</v>
      </c>
      <c r="I10" s="176" t="str">
        <f>_xlfn.XLOOKUP(enrollment_table[[#This Row],[*Teacher Name]], teachers_table[*Teacher Name], teachers_table[*Teacher ID])</f>
        <v>T-007</v>
      </c>
      <c r="J10" s="60"/>
      <c r="K10" s="60"/>
      <c r="L10" s="55"/>
      <c r="M10" s="60"/>
      <c r="N10" s="60"/>
      <c r="O10" s="55"/>
      <c r="P10" s="161">
        <v>46272</v>
      </c>
      <c r="Q10" s="160" t="str">
        <f>IF(enrollment_table[[#This Row],[Enrollment Date]]="","",TEXT(enrollment_table[[#This Row],[Enrollment Date]],"mmmm"))</f>
        <v>September</v>
      </c>
      <c r="R10" s="60"/>
      <c r="T10" s="167"/>
      <c r="U10" s="91"/>
      <c r="V10" s="91"/>
      <c r="W10" s="91"/>
      <c r="X10" s="170"/>
      <c r="Y10" s="22"/>
      <c r="Z10" s="91"/>
      <c r="AA10" s="91"/>
      <c r="AB10" s="22"/>
      <c r="AC10" s="91"/>
      <c r="AD10" s="91"/>
      <c r="AE10" s="91"/>
      <c r="AF10" s="91"/>
      <c r="AG10" s="91"/>
      <c r="AH10" s="91"/>
      <c r="AI10" s="173"/>
      <c r="AJ10" s="22"/>
      <c r="AK10" s="91"/>
    </row>
    <row r="11" spans="1:37" ht="16.2" customHeight="1" x14ac:dyDescent="0.3">
      <c r="A11" s="129" t="s">
        <v>212</v>
      </c>
      <c r="B11" s="129" t="s">
        <v>212</v>
      </c>
      <c r="C11" s="55" t="s">
        <v>102</v>
      </c>
      <c r="D11" s="60" t="s">
        <v>217</v>
      </c>
      <c r="E11" s="103">
        <f>_xlfn.XLOOKUP(enrollment_table[[#This Row],[*Subject]], classes_table[*Subject], classes_table[Fee])</f>
        <v>1000</v>
      </c>
      <c r="F11" s="58" t="s">
        <v>224</v>
      </c>
      <c r="G11" s="59" t="s">
        <v>95</v>
      </c>
      <c r="H11" s="55" t="s">
        <v>121</v>
      </c>
      <c r="I11" s="176" t="str">
        <f>_xlfn.XLOOKUP(enrollment_table[[#This Row],[*Teacher Name]], teachers_table[*Teacher Name], teachers_table[*Teacher ID])</f>
        <v>T-008</v>
      </c>
      <c r="J11" s="60"/>
      <c r="K11" s="60"/>
      <c r="L11" s="55"/>
      <c r="M11" s="60"/>
      <c r="N11" s="60"/>
      <c r="O11" s="55"/>
      <c r="P11" s="161">
        <v>46272</v>
      </c>
      <c r="Q11" s="160" t="str">
        <f>IF(enrollment_table[[#This Row],[Enrollment Date]]="","",TEXT(enrollment_table[[#This Row],[Enrollment Date]],"mmmm"))</f>
        <v>September</v>
      </c>
      <c r="R11" s="60"/>
      <c r="T11" s="169"/>
      <c r="U11" s="92"/>
      <c r="V11" s="92"/>
      <c r="W11" s="92"/>
      <c r="X11" s="171"/>
      <c r="Y11" s="172"/>
      <c r="Z11" s="92"/>
      <c r="AA11" s="92"/>
      <c r="AB11" s="172"/>
      <c r="AC11" s="92"/>
      <c r="AD11" s="92"/>
      <c r="AE11" s="92"/>
      <c r="AF11" s="92"/>
      <c r="AG11" s="92"/>
      <c r="AH11" s="92"/>
      <c r="AI11" s="174"/>
      <c r="AJ11" s="172"/>
      <c r="AK11" s="92"/>
    </row>
    <row r="12" spans="1:37" ht="16.2" customHeight="1" x14ac:dyDescent="0.3">
      <c r="A12" s="129"/>
      <c r="B12" s="60"/>
      <c r="C12" s="55"/>
      <c r="D12" s="60"/>
      <c r="E12" s="103">
        <f>_xlfn.XLOOKUP(enrollment_table[[#This Row],[*Subject]], classes_table[*Subject], classes_table[Fee])</f>
        <v>0</v>
      </c>
      <c r="F12" s="58"/>
      <c r="G12" s="61"/>
      <c r="H12" s="55"/>
      <c r="I12" s="176">
        <f>_xlfn.XLOOKUP(enrollment_table[[#This Row],[*Teacher Name]], teachers_table[*Teacher Name], teachers_table[*Teacher ID])</f>
        <v>0</v>
      </c>
      <c r="J12" s="60"/>
      <c r="K12" s="60"/>
      <c r="L12" s="55"/>
      <c r="M12" s="60"/>
      <c r="N12" s="60"/>
      <c r="O12" s="55"/>
      <c r="P12" s="161"/>
      <c r="Q12" s="160" t="str">
        <f>IF(enrollment_table[[#This Row],[Enrollment Date]]="","",TEXT(enrollment_table[[#This Row],[Enrollment Date]],"mmmm"))</f>
        <v/>
      </c>
      <c r="R12" s="60"/>
      <c r="T12" s="167"/>
      <c r="U12" s="91"/>
      <c r="V12" s="91"/>
      <c r="W12" s="91"/>
      <c r="X12" s="170"/>
      <c r="Y12" s="22"/>
      <c r="Z12" s="91"/>
      <c r="AA12" s="91"/>
      <c r="AB12" s="22"/>
      <c r="AC12" s="91"/>
      <c r="AD12" s="91"/>
      <c r="AE12" s="91"/>
      <c r="AF12" s="91"/>
      <c r="AG12" s="91"/>
      <c r="AH12" s="91"/>
      <c r="AI12" s="173"/>
      <c r="AJ12" s="22"/>
      <c r="AK12" s="91"/>
    </row>
    <row r="13" spans="1:37" ht="16.2" customHeight="1" x14ac:dyDescent="0.3">
      <c r="A13" s="128"/>
      <c r="B13" s="60"/>
      <c r="C13" s="55"/>
      <c r="D13" s="60"/>
      <c r="E13" s="103">
        <f>_xlfn.XLOOKUP(enrollment_table[[#This Row],[*Subject]], classes_table[*Subject], classes_table[Fee])</f>
        <v>0</v>
      </c>
      <c r="F13" s="58"/>
      <c r="G13" s="61"/>
      <c r="H13" s="55"/>
      <c r="I13" s="176">
        <f>_xlfn.XLOOKUP(enrollment_table[[#This Row],[*Teacher Name]], teachers_table[*Teacher Name], teachers_table[*Teacher ID])</f>
        <v>0</v>
      </c>
      <c r="J13" s="60"/>
      <c r="K13" s="60"/>
      <c r="L13" s="55"/>
      <c r="M13" s="60"/>
      <c r="N13" s="60"/>
      <c r="O13" s="55"/>
      <c r="P13" s="161"/>
      <c r="Q13" s="160" t="str">
        <f>IF(enrollment_table[[#This Row],[Enrollment Date]]="","",TEXT(enrollment_table[[#This Row],[Enrollment Date]],"mmmm"))</f>
        <v/>
      </c>
      <c r="R13" s="60"/>
      <c r="T13" s="168"/>
      <c r="U13" s="92"/>
      <c r="V13" s="92"/>
      <c r="W13" s="92"/>
      <c r="X13" s="171"/>
      <c r="Y13" s="172"/>
      <c r="Z13" s="92"/>
      <c r="AA13" s="92"/>
      <c r="AB13" s="172"/>
      <c r="AC13" s="92"/>
      <c r="AD13" s="92"/>
      <c r="AE13" s="92"/>
      <c r="AF13" s="92"/>
      <c r="AG13" s="92"/>
      <c r="AH13" s="92"/>
      <c r="AI13" s="174"/>
      <c r="AJ13" s="172"/>
      <c r="AK13" s="92"/>
    </row>
    <row r="14" spans="1:37" ht="16.2" customHeight="1" x14ac:dyDescent="0.3">
      <c r="A14" s="129"/>
      <c r="B14" s="60"/>
      <c r="C14" s="55"/>
      <c r="D14" s="60"/>
      <c r="E14" s="103">
        <f>_xlfn.XLOOKUP(enrollment_table[[#This Row],[*Subject]], classes_table[*Subject], classes_table[Fee])</f>
        <v>0</v>
      </c>
      <c r="F14" s="58"/>
      <c r="G14" s="61"/>
      <c r="H14" s="55"/>
      <c r="I14" s="176">
        <f>_xlfn.XLOOKUP(enrollment_table[[#This Row],[*Teacher Name]], teachers_table[*Teacher Name], teachers_table[*Teacher ID])</f>
        <v>0</v>
      </c>
      <c r="J14" s="60"/>
      <c r="K14" s="60"/>
      <c r="L14" s="55"/>
      <c r="M14" s="60"/>
      <c r="N14" s="60"/>
      <c r="O14" s="55"/>
      <c r="P14" s="161"/>
      <c r="Q14" s="160" t="str">
        <f>IF(enrollment_table[[#This Row],[Enrollment Date]]="","",TEXT(enrollment_table[[#This Row],[Enrollment Date]],"mmmm"))</f>
        <v/>
      </c>
      <c r="R14" s="60"/>
      <c r="T14" s="167"/>
      <c r="U14" s="91"/>
      <c r="V14" s="91"/>
      <c r="W14" s="91"/>
      <c r="X14" s="170"/>
      <c r="Y14" s="22"/>
      <c r="Z14" s="91"/>
      <c r="AA14" s="91"/>
      <c r="AB14" s="22"/>
      <c r="AC14" s="91"/>
      <c r="AD14" s="91"/>
      <c r="AE14" s="91"/>
      <c r="AF14" s="91"/>
      <c r="AG14" s="91"/>
      <c r="AH14" s="91"/>
      <c r="AI14" s="173"/>
      <c r="AJ14" s="22"/>
      <c r="AK14" s="91"/>
    </row>
    <row r="15" spans="1:37" ht="16.2" customHeight="1" x14ac:dyDescent="0.3">
      <c r="A15" s="129"/>
      <c r="B15" s="60"/>
      <c r="C15" s="55"/>
      <c r="D15" s="60"/>
      <c r="E15" s="103">
        <f>_xlfn.XLOOKUP(enrollment_table[[#This Row],[*Subject]], classes_table[*Subject], classes_table[Fee])</f>
        <v>0</v>
      </c>
      <c r="F15" s="58"/>
      <c r="G15" s="61"/>
      <c r="H15" s="55"/>
      <c r="I15" s="176">
        <f>_xlfn.XLOOKUP(enrollment_table[[#This Row],[*Teacher Name]], teachers_table[*Teacher Name], teachers_table[*Teacher ID])</f>
        <v>0</v>
      </c>
      <c r="J15" s="60"/>
      <c r="K15" s="60"/>
      <c r="L15" s="55"/>
      <c r="M15" s="60"/>
      <c r="N15" s="60"/>
      <c r="O15" s="55"/>
      <c r="P15" s="161"/>
      <c r="Q15" s="160" t="str">
        <f>IF(enrollment_table[[#This Row],[Enrollment Date]]="","",TEXT(enrollment_table[[#This Row],[Enrollment Date]],"mmmm"))</f>
        <v/>
      </c>
      <c r="R15" s="60"/>
      <c r="T15" s="168"/>
      <c r="U15" s="92"/>
      <c r="V15" s="92"/>
      <c r="W15" s="92"/>
      <c r="X15" s="171"/>
      <c r="Y15" s="172"/>
      <c r="Z15" s="92"/>
      <c r="AA15" s="92"/>
      <c r="AB15" s="172"/>
      <c r="AC15" s="92"/>
      <c r="AD15" s="92"/>
      <c r="AE15" s="92"/>
      <c r="AF15" s="92"/>
      <c r="AG15" s="92"/>
      <c r="AH15" s="92"/>
      <c r="AI15" s="174"/>
      <c r="AJ15" s="172"/>
      <c r="AK15" s="92"/>
    </row>
    <row r="16" spans="1:37" ht="16.2" customHeight="1" x14ac:dyDescent="0.3">
      <c r="A16" s="129"/>
      <c r="B16" s="60"/>
      <c r="C16" s="55"/>
      <c r="D16" s="60"/>
      <c r="E16" s="103">
        <f>_xlfn.XLOOKUP(enrollment_table[[#This Row],[*Subject]], classes_table[*Subject], classes_table[Fee])</f>
        <v>0</v>
      </c>
      <c r="F16" s="58"/>
      <c r="G16" s="61"/>
      <c r="H16" s="55"/>
      <c r="I16" s="176">
        <f>_xlfn.XLOOKUP(enrollment_table[[#This Row],[*Teacher Name]], teachers_table[*Teacher Name], teachers_table[*Teacher ID])</f>
        <v>0</v>
      </c>
      <c r="J16" s="60"/>
      <c r="K16" s="60"/>
      <c r="L16" s="55"/>
      <c r="M16" s="60"/>
      <c r="N16" s="60"/>
      <c r="O16" s="55"/>
      <c r="P16" s="161"/>
      <c r="Q16" s="160" t="str">
        <f>IF(enrollment_table[[#This Row],[Enrollment Date]]="","",TEXT(enrollment_table[[#This Row],[Enrollment Date]],"mmmm"))</f>
        <v/>
      </c>
      <c r="R16" s="60"/>
      <c r="T16" s="167"/>
      <c r="U16" s="91"/>
      <c r="V16" s="91"/>
      <c r="W16" s="91"/>
      <c r="X16" s="170"/>
      <c r="Y16" s="22"/>
      <c r="Z16" s="91"/>
      <c r="AA16" s="91"/>
      <c r="AB16" s="22"/>
      <c r="AC16" s="91"/>
      <c r="AD16" s="91"/>
      <c r="AE16" s="91"/>
      <c r="AF16" s="91"/>
      <c r="AG16" s="91"/>
      <c r="AH16" s="91"/>
      <c r="AI16" s="173"/>
      <c r="AJ16" s="22"/>
      <c r="AK16" s="91"/>
    </row>
    <row r="17" spans="1:37" ht="16.2" customHeight="1" x14ac:dyDescent="0.3">
      <c r="A17" s="129"/>
      <c r="B17" s="60"/>
      <c r="C17" s="55"/>
      <c r="D17" s="60"/>
      <c r="E17" s="103">
        <f>_xlfn.XLOOKUP(enrollment_table[[#This Row],[*Subject]], classes_table[*Subject], classes_table[Fee])</f>
        <v>0</v>
      </c>
      <c r="F17" s="58"/>
      <c r="G17" s="61"/>
      <c r="H17" s="55"/>
      <c r="I17" s="176">
        <f>_xlfn.XLOOKUP(enrollment_table[[#This Row],[*Teacher Name]], teachers_table[*Teacher Name], teachers_table[*Teacher ID])</f>
        <v>0</v>
      </c>
      <c r="J17" s="60"/>
      <c r="K17" s="60"/>
      <c r="L17" s="55"/>
      <c r="M17" s="60"/>
      <c r="N17" s="60"/>
      <c r="O17" s="55"/>
      <c r="P17" s="161"/>
      <c r="Q17" s="160" t="str">
        <f>IF(enrollment_table[[#This Row],[Enrollment Date]]="","",TEXT(enrollment_table[[#This Row],[Enrollment Date]],"mmmm"))</f>
        <v/>
      </c>
      <c r="R17" s="60"/>
      <c r="T17" s="168"/>
      <c r="U17" s="92"/>
      <c r="V17" s="92"/>
      <c r="W17" s="92"/>
      <c r="X17" s="171"/>
      <c r="Y17" s="172"/>
      <c r="Z17" s="92"/>
      <c r="AA17" s="92"/>
      <c r="AB17" s="172"/>
      <c r="AC17" s="92"/>
      <c r="AD17" s="92"/>
      <c r="AE17" s="92"/>
      <c r="AF17" s="92"/>
      <c r="AG17" s="92"/>
      <c r="AH17" s="92"/>
      <c r="AI17" s="174"/>
      <c r="AJ17" s="172"/>
      <c r="AK17" s="92"/>
    </row>
    <row r="18" spans="1:37" ht="16.2" customHeight="1" x14ac:dyDescent="0.3">
      <c r="A18" s="129"/>
      <c r="B18" s="60"/>
      <c r="C18" s="55"/>
      <c r="D18" s="60"/>
      <c r="E18" s="103">
        <f>_xlfn.XLOOKUP(enrollment_table[[#This Row],[*Subject]], classes_table[*Subject], classes_table[Fee])</f>
        <v>0</v>
      </c>
      <c r="F18" s="58"/>
      <c r="G18" s="61"/>
      <c r="H18" s="55"/>
      <c r="I18" s="176">
        <f>_xlfn.XLOOKUP(enrollment_table[[#This Row],[*Teacher Name]], teachers_table[*Teacher Name], teachers_table[*Teacher ID])</f>
        <v>0</v>
      </c>
      <c r="J18" s="60"/>
      <c r="K18" s="60"/>
      <c r="L18" s="55"/>
      <c r="M18" s="60"/>
      <c r="N18" s="60"/>
      <c r="O18" s="55"/>
      <c r="P18" s="161"/>
      <c r="Q18" s="160" t="str">
        <f>IF(enrollment_table[[#This Row],[Enrollment Date]]="","",TEXT(enrollment_table[[#This Row],[Enrollment Date]],"mmmm"))</f>
        <v/>
      </c>
      <c r="R18" s="60"/>
      <c r="T18" s="167"/>
      <c r="U18" s="91"/>
      <c r="V18" s="91"/>
      <c r="W18" s="91"/>
      <c r="X18" s="170"/>
      <c r="Y18" s="22"/>
      <c r="Z18" s="91"/>
      <c r="AA18" s="91"/>
      <c r="AB18" s="22"/>
      <c r="AC18" s="91"/>
      <c r="AD18" s="91"/>
      <c r="AE18" s="91"/>
      <c r="AF18" s="91"/>
      <c r="AG18" s="91"/>
      <c r="AH18" s="91"/>
      <c r="AI18" s="173"/>
      <c r="AJ18" s="22"/>
      <c r="AK18" s="91"/>
    </row>
    <row r="19" spans="1:37" ht="16.2" customHeight="1" x14ac:dyDescent="0.3">
      <c r="A19" s="129"/>
      <c r="B19" s="60"/>
      <c r="C19" s="55"/>
      <c r="D19" s="60"/>
      <c r="E19" s="103">
        <f>_xlfn.XLOOKUP(enrollment_table[[#This Row],[*Subject]], classes_table[*Subject], classes_table[Fee])</f>
        <v>0</v>
      </c>
      <c r="F19" s="58"/>
      <c r="G19" s="61"/>
      <c r="H19" s="55"/>
      <c r="I19" s="176">
        <f>_xlfn.XLOOKUP(enrollment_table[[#This Row],[*Teacher Name]], teachers_table[*Teacher Name], teachers_table[*Teacher ID])</f>
        <v>0</v>
      </c>
      <c r="J19" s="60"/>
      <c r="K19" s="60"/>
      <c r="L19" s="55"/>
      <c r="M19" s="60"/>
      <c r="N19" s="60"/>
      <c r="O19" s="55"/>
      <c r="P19" s="161"/>
      <c r="Q19" s="160" t="str">
        <f>IF(enrollment_table[[#This Row],[Enrollment Date]]="","",TEXT(enrollment_table[[#This Row],[Enrollment Date]],"mmmm"))</f>
        <v/>
      </c>
      <c r="R19" s="60"/>
      <c r="T19" s="168"/>
      <c r="U19" s="92"/>
      <c r="V19" s="92"/>
      <c r="W19" s="92"/>
      <c r="X19" s="171"/>
      <c r="Y19" s="172"/>
      <c r="Z19" s="92"/>
      <c r="AA19" s="92"/>
      <c r="AB19" s="172"/>
      <c r="AC19" s="92"/>
      <c r="AD19" s="92"/>
      <c r="AE19" s="92"/>
      <c r="AF19" s="92"/>
      <c r="AG19" s="92"/>
      <c r="AH19" s="92"/>
      <c r="AI19" s="174"/>
      <c r="AJ19" s="172"/>
      <c r="AK19" s="92"/>
    </row>
    <row r="20" spans="1:37" ht="16.2" customHeight="1" x14ac:dyDescent="0.3">
      <c r="A20" s="129"/>
      <c r="B20" s="60"/>
      <c r="C20" s="55"/>
      <c r="D20" s="60"/>
      <c r="E20" s="103">
        <f>_xlfn.XLOOKUP(enrollment_table[[#This Row],[*Subject]], classes_table[*Subject], classes_table[Fee])</f>
        <v>0</v>
      </c>
      <c r="F20" s="58"/>
      <c r="G20" s="60"/>
      <c r="H20" s="55"/>
      <c r="I20" s="176">
        <f>_xlfn.XLOOKUP(enrollment_table[[#This Row],[*Teacher Name]], teachers_table[*Teacher Name], teachers_table[*Teacher ID])</f>
        <v>0</v>
      </c>
      <c r="J20" s="60"/>
      <c r="K20" s="60"/>
      <c r="L20" s="55"/>
      <c r="M20" s="60"/>
      <c r="N20" s="60"/>
      <c r="O20" s="55"/>
      <c r="P20" s="161"/>
      <c r="Q20" s="160" t="str">
        <f>IF(enrollment_table[[#This Row],[Enrollment Date]]="","",TEXT(enrollment_table[[#This Row],[Enrollment Date]],"mmmm"))</f>
        <v/>
      </c>
      <c r="R20" s="60"/>
      <c r="T20" s="167"/>
      <c r="U20" s="91"/>
      <c r="V20" s="91"/>
      <c r="W20" s="91"/>
      <c r="X20" s="170"/>
      <c r="Y20" s="22"/>
      <c r="Z20" s="91"/>
      <c r="AA20" s="91"/>
      <c r="AB20" s="22"/>
      <c r="AC20" s="91"/>
      <c r="AD20" s="91"/>
      <c r="AE20" s="91"/>
      <c r="AF20" s="91"/>
      <c r="AG20" s="91"/>
      <c r="AH20" s="91"/>
      <c r="AI20" s="173"/>
      <c r="AJ20" s="22"/>
      <c r="AK20" s="91"/>
    </row>
    <row r="21" spans="1:37" ht="16.2" customHeight="1" x14ac:dyDescent="0.3">
      <c r="A21" s="129"/>
      <c r="B21" s="60"/>
      <c r="C21" s="55"/>
      <c r="D21" s="60"/>
      <c r="E21" s="103">
        <f>_xlfn.XLOOKUP(enrollment_table[[#This Row],[*Subject]], classes_table[*Subject], classes_table[Fee])</f>
        <v>0</v>
      </c>
      <c r="F21" s="58"/>
      <c r="G21" s="60"/>
      <c r="H21" s="55"/>
      <c r="I21" s="176">
        <f>_xlfn.XLOOKUP(enrollment_table[[#This Row],[*Teacher Name]], teachers_table[*Teacher Name], teachers_table[*Teacher ID])</f>
        <v>0</v>
      </c>
      <c r="J21" s="60"/>
      <c r="K21" s="60"/>
      <c r="L21" s="55"/>
      <c r="M21" s="60"/>
      <c r="N21" s="60"/>
      <c r="O21" s="55"/>
      <c r="P21" s="161"/>
      <c r="Q21" s="160" t="str">
        <f>IF(enrollment_table[[#This Row],[Enrollment Date]]="","",TEXT(enrollment_table[[#This Row],[Enrollment Date]],"mmmm"))</f>
        <v/>
      </c>
      <c r="R21" s="60"/>
      <c r="T21" s="168"/>
      <c r="U21" s="92"/>
      <c r="V21" s="92"/>
      <c r="W21" s="92"/>
      <c r="X21" s="171"/>
      <c r="Y21" s="172"/>
      <c r="Z21" s="92"/>
      <c r="AA21" s="92"/>
      <c r="AB21" s="172"/>
      <c r="AC21" s="92"/>
      <c r="AD21" s="92"/>
      <c r="AE21" s="92"/>
      <c r="AF21" s="92"/>
      <c r="AG21" s="92"/>
      <c r="AH21" s="92"/>
      <c r="AI21" s="174"/>
      <c r="AJ21" s="172"/>
      <c r="AK21" s="92"/>
    </row>
    <row r="22" spans="1:37" ht="16.2" customHeight="1" x14ac:dyDescent="0.3">
      <c r="A22" s="129"/>
      <c r="B22" s="60"/>
      <c r="C22" s="55"/>
      <c r="D22" s="60"/>
      <c r="E22" s="103">
        <f>_xlfn.XLOOKUP(enrollment_table[[#This Row],[*Subject]], classes_table[*Subject], classes_table[Fee])</f>
        <v>0</v>
      </c>
      <c r="F22" s="58"/>
      <c r="G22" s="60"/>
      <c r="H22" s="55"/>
      <c r="I22" s="176">
        <f>_xlfn.XLOOKUP(enrollment_table[[#This Row],[*Teacher Name]], teachers_table[*Teacher Name], teachers_table[*Teacher ID])</f>
        <v>0</v>
      </c>
      <c r="J22" s="60"/>
      <c r="K22" s="60"/>
      <c r="L22" s="55"/>
      <c r="M22" s="60"/>
      <c r="N22" s="60"/>
      <c r="O22" s="55"/>
      <c r="P22" s="161"/>
      <c r="Q22" s="160" t="str">
        <f>IF(enrollment_table[[#This Row],[Enrollment Date]]="","",TEXT(enrollment_table[[#This Row],[Enrollment Date]],"mmmm"))</f>
        <v/>
      </c>
      <c r="R22" s="60"/>
      <c r="T22" s="167"/>
      <c r="U22" s="91"/>
      <c r="V22" s="91"/>
      <c r="W22" s="91"/>
      <c r="X22" s="170"/>
      <c r="Y22" s="22"/>
      <c r="Z22" s="91"/>
      <c r="AA22" s="91"/>
      <c r="AB22" s="22"/>
      <c r="AC22" s="91"/>
      <c r="AD22" s="91"/>
      <c r="AE22" s="91"/>
      <c r="AF22" s="91"/>
      <c r="AG22" s="91"/>
      <c r="AH22" s="91"/>
      <c r="AI22" s="173"/>
      <c r="AJ22" s="22"/>
      <c r="AK22" s="91"/>
    </row>
    <row r="23" spans="1:37" ht="16.2" customHeight="1" x14ac:dyDescent="0.3">
      <c r="A23" s="129"/>
      <c r="B23" s="60"/>
      <c r="C23" s="55"/>
      <c r="D23" s="60"/>
      <c r="E23" s="103">
        <f>_xlfn.XLOOKUP(enrollment_table[[#This Row],[*Subject]], classes_table[*Subject], classes_table[Fee])</f>
        <v>0</v>
      </c>
      <c r="F23" s="58"/>
      <c r="G23" s="60"/>
      <c r="H23" s="55"/>
      <c r="I23" s="176">
        <f>_xlfn.XLOOKUP(enrollment_table[[#This Row],[*Teacher Name]], teachers_table[*Teacher Name], teachers_table[*Teacher ID])</f>
        <v>0</v>
      </c>
      <c r="J23" s="60"/>
      <c r="K23" s="60"/>
      <c r="L23" s="55"/>
      <c r="M23" s="60"/>
      <c r="N23" s="60"/>
      <c r="O23" s="55"/>
      <c r="P23" s="161"/>
      <c r="Q23" s="160" t="str">
        <f>IF(enrollment_table[[#This Row],[Enrollment Date]]="","",TEXT(enrollment_table[[#This Row],[Enrollment Date]],"mmmm"))</f>
        <v/>
      </c>
      <c r="R23" s="60"/>
      <c r="T23" s="168"/>
      <c r="U23" s="92"/>
      <c r="V23" s="92"/>
      <c r="W23" s="92"/>
      <c r="X23" s="171"/>
      <c r="Y23" s="172"/>
      <c r="Z23" s="92"/>
      <c r="AA23" s="92"/>
      <c r="AB23" s="172"/>
      <c r="AC23" s="92"/>
      <c r="AD23" s="92"/>
      <c r="AE23" s="92"/>
      <c r="AF23" s="92"/>
      <c r="AG23" s="92"/>
      <c r="AH23" s="92"/>
      <c r="AI23" s="174"/>
      <c r="AJ23" s="172"/>
      <c r="AK23" s="92"/>
    </row>
    <row r="24" spans="1:37" ht="16.2" customHeight="1" x14ac:dyDescent="0.3">
      <c r="A24" s="129"/>
      <c r="B24" s="60"/>
      <c r="C24" s="55"/>
      <c r="D24" s="60"/>
      <c r="E24" s="103">
        <f>_xlfn.XLOOKUP(enrollment_table[[#This Row],[*Subject]], classes_table[*Subject], classes_table[Fee])</f>
        <v>0</v>
      </c>
      <c r="F24" s="58"/>
      <c r="G24" s="60"/>
      <c r="H24" s="55"/>
      <c r="I24" s="176">
        <f>_xlfn.XLOOKUP(enrollment_table[[#This Row],[*Teacher Name]], teachers_table[*Teacher Name], teachers_table[*Teacher ID])</f>
        <v>0</v>
      </c>
      <c r="J24" s="60"/>
      <c r="K24" s="60"/>
      <c r="L24" s="55"/>
      <c r="M24" s="60"/>
      <c r="N24" s="60"/>
      <c r="O24" s="55"/>
      <c r="P24" s="161"/>
      <c r="Q24" s="160" t="str">
        <f>IF(enrollment_table[[#This Row],[Enrollment Date]]="","",TEXT(enrollment_table[[#This Row],[Enrollment Date]],"mmmm"))</f>
        <v/>
      </c>
      <c r="R24" s="60"/>
      <c r="T24" s="167"/>
      <c r="U24" s="91"/>
      <c r="V24" s="91"/>
      <c r="W24" s="91"/>
      <c r="X24" s="170"/>
      <c r="Y24" s="22"/>
      <c r="Z24" s="91"/>
      <c r="AA24" s="91"/>
      <c r="AB24" s="22"/>
      <c r="AC24" s="91"/>
      <c r="AD24" s="91"/>
      <c r="AE24" s="91"/>
      <c r="AF24" s="91"/>
      <c r="AG24" s="91"/>
      <c r="AH24" s="91"/>
      <c r="AI24" s="173"/>
      <c r="AJ24" s="22"/>
      <c r="AK24" s="91"/>
    </row>
    <row r="25" spans="1:37" ht="16.2" customHeight="1" x14ac:dyDescent="0.3">
      <c r="A25" s="129"/>
      <c r="B25" s="60"/>
      <c r="C25" s="55"/>
      <c r="D25" s="60"/>
      <c r="E25" s="103">
        <f>_xlfn.XLOOKUP(enrollment_table[[#This Row],[*Subject]], classes_table[*Subject], classes_table[Fee])</f>
        <v>0</v>
      </c>
      <c r="F25" s="58"/>
      <c r="G25" s="60"/>
      <c r="H25" s="55"/>
      <c r="I25" s="176">
        <f>_xlfn.XLOOKUP(enrollment_table[[#This Row],[*Teacher Name]], teachers_table[*Teacher Name], teachers_table[*Teacher ID])</f>
        <v>0</v>
      </c>
      <c r="J25" s="60"/>
      <c r="K25" s="60"/>
      <c r="L25" s="55"/>
      <c r="M25" s="60"/>
      <c r="N25" s="60"/>
      <c r="O25" s="55"/>
      <c r="P25" s="161"/>
      <c r="Q25" s="160" t="str">
        <f>IF(enrollment_table[[#This Row],[Enrollment Date]]="","",TEXT(enrollment_table[[#This Row],[Enrollment Date]],"mmmm"))</f>
        <v/>
      </c>
      <c r="R25" s="60"/>
      <c r="T25" s="168"/>
      <c r="U25" s="92"/>
      <c r="V25" s="92"/>
      <c r="W25" s="92"/>
      <c r="X25" s="171"/>
      <c r="Y25" s="172"/>
      <c r="Z25" s="92"/>
      <c r="AA25" s="92"/>
      <c r="AB25" s="172"/>
      <c r="AC25" s="92"/>
      <c r="AD25" s="92"/>
      <c r="AE25" s="92"/>
      <c r="AF25" s="92"/>
      <c r="AG25" s="92"/>
      <c r="AH25" s="92"/>
      <c r="AI25" s="174"/>
      <c r="AJ25" s="172"/>
      <c r="AK25" s="92"/>
    </row>
    <row r="26" spans="1:37" ht="16.2" customHeight="1" x14ac:dyDescent="0.3">
      <c r="A26" s="129"/>
      <c r="B26" s="60"/>
      <c r="C26" s="55"/>
      <c r="D26" s="60"/>
      <c r="E26" s="103">
        <f>_xlfn.XLOOKUP(enrollment_table[[#This Row],[*Subject]], classes_table[*Subject], classes_table[Fee])</f>
        <v>0</v>
      </c>
      <c r="F26" s="58"/>
      <c r="G26" s="60"/>
      <c r="H26" s="55"/>
      <c r="I26" s="176">
        <f>_xlfn.XLOOKUP(enrollment_table[[#This Row],[*Teacher Name]], teachers_table[*Teacher Name], teachers_table[*Teacher ID])</f>
        <v>0</v>
      </c>
      <c r="J26" s="60"/>
      <c r="K26" s="60"/>
      <c r="L26" s="55"/>
      <c r="M26" s="60"/>
      <c r="N26" s="60"/>
      <c r="O26" s="55"/>
      <c r="P26" s="161"/>
      <c r="Q26" s="160" t="str">
        <f>IF(enrollment_table[[#This Row],[Enrollment Date]]="","",TEXT(enrollment_table[[#This Row],[Enrollment Date]],"mmmm"))</f>
        <v/>
      </c>
      <c r="R26" s="60"/>
      <c r="T26" s="167"/>
      <c r="U26" s="91"/>
      <c r="V26" s="91"/>
      <c r="W26" s="91"/>
      <c r="X26" s="170"/>
      <c r="Y26" s="22"/>
      <c r="Z26" s="91"/>
      <c r="AA26" s="91"/>
      <c r="AB26" s="22"/>
      <c r="AC26" s="91"/>
      <c r="AD26" s="91"/>
      <c r="AE26" s="91"/>
      <c r="AF26" s="91"/>
      <c r="AG26" s="91"/>
      <c r="AH26" s="91"/>
      <c r="AI26" s="173"/>
      <c r="AJ26" s="22"/>
      <c r="AK26" s="91"/>
    </row>
    <row r="27" spans="1:37" ht="16.2" customHeight="1" x14ac:dyDescent="0.3">
      <c r="A27" s="129"/>
      <c r="B27" s="60"/>
      <c r="C27" s="55"/>
      <c r="D27" s="60"/>
      <c r="E27" s="103">
        <f>_xlfn.XLOOKUP(enrollment_table[[#This Row],[*Subject]], classes_table[*Subject], classes_table[Fee])</f>
        <v>0</v>
      </c>
      <c r="F27" s="58"/>
      <c r="G27" s="60"/>
      <c r="H27" s="55"/>
      <c r="I27" s="176">
        <f>_xlfn.XLOOKUP(enrollment_table[[#This Row],[*Teacher Name]], teachers_table[*Teacher Name], teachers_table[*Teacher ID])</f>
        <v>0</v>
      </c>
      <c r="J27" s="60"/>
      <c r="K27" s="60"/>
      <c r="L27" s="55"/>
      <c r="M27" s="60"/>
      <c r="N27" s="60"/>
      <c r="O27" s="55"/>
      <c r="P27" s="161"/>
      <c r="Q27" s="160" t="str">
        <f>IF(enrollment_table[[#This Row],[Enrollment Date]]="","",TEXT(enrollment_table[[#This Row],[Enrollment Date]],"mmmm"))</f>
        <v/>
      </c>
      <c r="R27" s="60"/>
      <c r="T27" s="168"/>
      <c r="U27" s="92"/>
      <c r="V27" s="92"/>
      <c r="W27" s="92"/>
      <c r="X27" s="171"/>
      <c r="Y27" s="172"/>
      <c r="Z27" s="92"/>
      <c r="AA27" s="92"/>
      <c r="AB27" s="172"/>
      <c r="AC27" s="92"/>
      <c r="AD27" s="92"/>
      <c r="AE27" s="92"/>
      <c r="AF27" s="92"/>
      <c r="AG27" s="92"/>
      <c r="AH27" s="92"/>
      <c r="AI27" s="174"/>
      <c r="AJ27" s="172"/>
      <c r="AK27" s="92"/>
    </row>
    <row r="28" spans="1:37" ht="16.2" customHeight="1" x14ac:dyDescent="0.3">
      <c r="A28" s="129"/>
      <c r="B28" s="60"/>
      <c r="C28" s="55"/>
      <c r="D28" s="60"/>
      <c r="E28" s="103">
        <f>_xlfn.XLOOKUP(enrollment_table[[#This Row],[*Subject]], classes_table[*Subject], classes_table[Fee])</f>
        <v>0</v>
      </c>
      <c r="F28" s="58"/>
      <c r="G28" s="60"/>
      <c r="H28" s="55"/>
      <c r="I28" s="176">
        <f>_xlfn.XLOOKUP(enrollment_table[[#This Row],[*Teacher Name]], teachers_table[*Teacher Name], teachers_table[*Teacher ID])</f>
        <v>0</v>
      </c>
      <c r="J28" s="60"/>
      <c r="K28" s="60"/>
      <c r="L28" s="55"/>
      <c r="M28" s="60"/>
      <c r="N28" s="60"/>
      <c r="O28" s="55"/>
      <c r="P28" s="161"/>
      <c r="Q28" s="160" t="str">
        <f>IF(enrollment_table[[#This Row],[Enrollment Date]]="","",TEXT(enrollment_table[[#This Row],[Enrollment Date]],"mmmm"))</f>
        <v/>
      </c>
      <c r="R28" s="60"/>
      <c r="T28" s="167"/>
      <c r="U28" s="91"/>
      <c r="V28" s="91"/>
      <c r="W28" s="91"/>
      <c r="X28" s="170"/>
      <c r="Y28" s="22"/>
      <c r="Z28" s="91"/>
      <c r="AA28" s="91"/>
      <c r="AB28" s="22"/>
      <c r="AC28" s="91"/>
      <c r="AD28" s="91"/>
      <c r="AE28" s="91"/>
      <c r="AF28" s="91"/>
      <c r="AG28" s="91"/>
      <c r="AH28" s="91"/>
      <c r="AI28" s="173"/>
      <c r="AJ28" s="22"/>
      <c r="AK28" s="91"/>
    </row>
    <row r="29" spans="1:37" ht="16.2" customHeight="1" x14ac:dyDescent="0.3">
      <c r="A29" s="129"/>
      <c r="B29" s="60"/>
      <c r="C29" s="55"/>
      <c r="D29" s="60"/>
      <c r="E29" s="103">
        <f>_xlfn.XLOOKUP(enrollment_table[[#This Row],[*Subject]], classes_table[*Subject], classes_table[Fee])</f>
        <v>0</v>
      </c>
      <c r="F29" s="58"/>
      <c r="G29" s="60"/>
      <c r="H29" s="55"/>
      <c r="I29" s="176">
        <f>_xlfn.XLOOKUP(enrollment_table[[#This Row],[*Teacher Name]], teachers_table[*Teacher Name], teachers_table[*Teacher ID])</f>
        <v>0</v>
      </c>
      <c r="J29" s="60"/>
      <c r="K29" s="60"/>
      <c r="L29" s="55"/>
      <c r="M29" s="60"/>
      <c r="N29" s="60"/>
      <c r="O29" s="55"/>
      <c r="P29" s="161"/>
      <c r="Q29" s="160" t="str">
        <f>IF(enrollment_table[[#This Row],[Enrollment Date]]="","",TEXT(enrollment_table[[#This Row],[Enrollment Date]],"mmmm"))</f>
        <v/>
      </c>
      <c r="R29" s="60"/>
      <c r="T29" s="168"/>
      <c r="U29" s="92"/>
      <c r="V29" s="92"/>
      <c r="W29" s="92"/>
      <c r="X29" s="171"/>
      <c r="Y29" s="172"/>
      <c r="Z29" s="92"/>
      <c r="AA29" s="92"/>
      <c r="AB29" s="172"/>
      <c r="AC29" s="92"/>
      <c r="AD29" s="92"/>
      <c r="AE29" s="92"/>
      <c r="AF29" s="92"/>
      <c r="AG29" s="92"/>
      <c r="AH29" s="92"/>
      <c r="AI29" s="174"/>
      <c r="AJ29" s="172"/>
      <c r="AK29" s="92"/>
    </row>
    <row r="30" spans="1:37" ht="16.2" customHeight="1" x14ac:dyDescent="0.3">
      <c r="A30" s="129"/>
      <c r="B30" s="60"/>
      <c r="C30" s="55"/>
      <c r="D30" s="60"/>
      <c r="E30" s="103">
        <f>_xlfn.XLOOKUP(enrollment_table[[#This Row],[*Subject]], classes_table[*Subject], classes_table[Fee])</f>
        <v>0</v>
      </c>
      <c r="F30" s="58"/>
      <c r="G30" s="60"/>
      <c r="H30" s="55"/>
      <c r="I30" s="176">
        <f>_xlfn.XLOOKUP(enrollment_table[[#This Row],[*Teacher Name]], teachers_table[*Teacher Name], teachers_table[*Teacher ID])</f>
        <v>0</v>
      </c>
      <c r="J30" s="60"/>
      <c r="K30" s="60"/>
      <c r="L30" s="55"/>
      <c r="M30" s="60"/>
      <c r="N30" s="60"/>
      <c r="O30" s="55"/>
      <c r="P30" s="161"/>
      <c r="Q30" s="160" t="str">
        <f>IF(enrollment_table[[#This Row],[Enrollment Date]]="","",TEXT(enrollment_table[[#This Row],[Enrollment Date]],"mmmm"))</f>
        <v/>
      </c>
      <c r="R30" s="60"/>
      <c r="T30" s="167"/>
      <c r="U30" s="91"/>
      <c r="V30" s="91"/>
      <c r="W30" s="91"/>
      <c r="X30" s="170"/>
      <c r="Y30" s="22"/>
      <c r="Z30" s="91"/>
      <c r="AA30" s="91"/>
      <c r="AB30" s="22"/>
      <c r="AC30" s="91"/>
      <c r="AD30" s="91"/>
      <c r="AE30" s="91"/>
      <c r="AF30" s="91"/>
      <c r="AG30" s="91"/>
      <c r="AH30" s="91"/>
      <c r="AI30" s="173"/>
      <c r="AJ30" s="22"/>
      <c r="AK30" s="91"/>
    </row>
    <row r="31" spans="1:37" ht="16.2" customHeight="1" x14ac:dyDescent="0.3">
      <c r="A31" s="129"/>
      <c r="B31" s="60"/>
      <c r="C31" s="55"/>
      <c r="D31" s="60"/>
      <c r="E31" s="103">
        <f>_xlfn.XLOOKUP(enrollment_table[[#This Row],[*Subject]], classes_table[*Subject], classes_table[Fee])</f>
        <v>0</v>
      </c>
      <c r="F31" s="58"/>
      <c r="G31" s="60"/>
      <c r="H31" s="55"/>
      <c r="I31" s="176">
        <f>_xlfn.XLOOKUP(enrollment_table[[#This Row],[*Teacher Name]], teachers_table[*Teacher Name], teachers_table[*Teacher ID])</f>
        <v>0</v>
      </c>
      <c r="J31" s="60"/>
      <c r="K31" s="60"/>
      <c r="L31" s="55"/>
      <c r="M31" s="60"/>
      <c r="N31" s="60"/>
      <c r="O31" s="55"/>
      <c r="P31" s="161"/>
      <c r="Q31" s="160" t="str">
        <f>IF(enrollment_table[[#This Row],[Enrollment Date]]="","",TEXT(enrollment_table[[#This Row],[Enrollment Date]],"mmmm"))</f>
        <v/>
      </c>
      <c r="R31" s="60"/>
      <c r="T31" s="168"/>
      <c r="U31" s="92"/>
      <c r="V31" s="92"/>
      <c r="W31" s="92"/>
      <c r="X31" s="171"/>
      <c r="Y31" s="172"/>
      <c r="Z31" s="92"/>
      <c r="AA31" s="92"/>
      <c r="AB31" s="172"/>
      <c r="AC31" s="92"/>
      <c r="AD31" s="92"/>
      <c r="AE31" s="92"/>
      <c r="AF31" s="92"/>
      <c r="AG31" s="92"/>
      <c r="AH31" s="92"/>
      <c r="AI31" s="174"/>
      <c r="AJ31" s="172"/>
      <c r="AK31" s="92"/>
    </row>
    <row r="32" spans="1:37" ht="16.2" customHeight="1" x14ac:dyDescent="0.3">
      <c r="A32" s="129"/>
      <c r="B32" s="60"/>
      <c r="C32" s="55"/>
      <c r="D32" s="60"/>
      <c r="E32" s="103">
        <f>_xlfn.XLOOKUP(enrollment_table[[#This Row],[*Subject]], classes_table[*Subject], classes_table[Fee])</f>
        <v>0</v>
      </c>
      <c r="F32" s="58"/>
      <c r="G32" s="60"/>
      <c r="H32" s="55"/>
      <c r="I32" s="176">
        <f>_xlfn.XLOOKUP(enrollment_table[[#This Row],[*Teacher Name]], teachers_table[*Teacher Name], teachers_table[*Teacher ID])</f>
        <v>0</v>
      </c>
      <c r="J32" s="60"/>
      <c r="K32" s="60"/>
      <c r="L32" s="55"/>
      <c r="M32" s="60"/>
      <c r="N32" s="60"/>
      <c r="O32" s="55"/>
      <c r="P32" s="161"/>
      <c r="Q32" s="160" t="str">
        <f>IF(enrollment_table[[#This Row],[Enrollment Date]]="","",TEXT(enrollment_table[[#This Row],[Enrollment Date]],"mmmm"))</f>
        <v/>
      </c>
      <c r="R32" s="60"/>
      <c r="T32" s="167"/>
      <c r="U32" s="91"/>
      <c r="V32" s="91"/>
      <c r="W32" s="91"/>
      <c r="X32" s="170"/>
      <c r="Y32" s="22"/>
      <c r="Z32" s="91"/>
      <c r="AA32" s="91"/>
      <c r="AB32" s="22"/>
      <c r="AC32" s="91"/>
      <c r="AD32" s="91"/>
      <c r="AE32" s="91"/>
      <c r="AF32" s="91"/>
      <c r="AG32" s="91"/>
      <c r="AH32" s="91"/>
      <c r="AI32" s="173"/>
      <c r="AJ32" s="22"/>
      <c r="AK32" s="91"/>
    </row>
    <row r="33" spans="1:37" ht="16.2" customHeight="1" x14ac:dyDescent="0.3">
      <c r="A33" s="129"/>
      <c r="B33" s="60"/>
      <c r="C33" s="55"/>
      <c r="D33" s="60"/>
      <c r="E33" s="103">
        <f>_xlfn.XLOOKUP(enrollment_table[[#This Row],[*Subject]], classes_table[*Subject], classes_table[Fee])</f>
        <v>0</v>
      </c>
      <c r="F33" s="58"/>
      <c r="G33" s="60"/>
      <c r="H33" s="55"/>
      <c r="I33" s="176">
        <f>_xlfn.XLOOKUP(enrollment_table[[#This Row],[*Teacher Name]], teachers_table[*Teacher Name], teachers_table[*Teacher ID])</f>
        <v>0</v>
      </c>
      <c r="J33" s="60"/>
      <c r="K33" s="60"/>
      <c r="L33" s="55"/>
      <c r="M33" s="60"/>
      <c r="N33" s="60"/>
      <c r="O33" s="55"/>
      <c r="P33" s="161"/>
      <c r="Q33" s="160" t="str">
        <f>IF(enrollment_table[[#This Row],[Enrollment Date]]="","",TEXT(enrollment_table[[#This Row],[Enrollment Date]],"mmmm"))</f>
        <v/>
      </c>
      <c r="R33" s="60"/>
      <c r="T33" s="168"/>
      <c r="U33" s="92"/>
      <c r="V33" s="92"/>
      <c r="W33" s="92"/>
      <c r="X33" s="171"/>
      <c r="Y33" s="172"/>
      <c r="Z33" s="92"/>
      <c r="AA33" s="92"/>
      <c r="AB33" s="172"/>
      <c r="AC33" s="92"/>
      <c r="AD33" s="92"/>
      <c r="AE33" s="92"/>
      <c r="AF33" s="92"/>
      <c r="AG33" s="92"/>
      <c r="AH33" s="92"/>
      <c r="AI33" s="174"/>
      <c r="AJ33" s="172"/>
      <c r="AK33" s="92"/>
    </row>
    <row r="34" spans="1:37" ht="16.2" customHeight="1" x14ac:dyDescent="0.3">
      <c r="A34" s="129"/>
      <c r="B34" s="60"/>
      <c r="C34" s="55"/>
      <c r="D34" s="60"/>
      <c r="E34" s="103">
        <f>_xlfn.XLOOKUP(enrollment_table[[#This Row],[*Subject]], classes_table[*Subject], classes_table[Fee])</f>
        <v>0</v>
      </c>
      <c r="F34" s="58"/>
      <c r="G34" s="60"/>
      <c r="H34" s="55"/>
      <c r="I34" s="176">
        <f>_xlfn.XLOOKUP(enrollment_table[[#This Row],[*Teacher Name]], teachers_table[*Teacher Name], teachers_table[*Teacher ID])</f>
        <v>0</v>
      </c>
      <c r="J34" s="60"/>
      <c r="K34" s="60"/>
      <c r="L34" s="55"/>
      <c r="M34" s="60"/>
      <c r="N34" s="60"/>
      <c r="O34" s="55"/>
      <c r="P34" s="161"/>
      <c r="Q34" s="160" t="str">
        <f>IF(enrollment_table[[#This Row],[Enrollment Date]]="","",TEXT(enrollment_table[[#This Row],[Enrollment Date]],"mmmm"))</f>
        <v/>
      </c>
      <c r="R34" s="60"/>
      <c r="T34" s="167"/>
      <c r="U34" s="91"/>
      <c r="V34" s="91"/>
      <c r="W34" s="91"/>
      <c r="X34" s="170"/>
      <c r="Y34" s="22"/>
      <c r="Z34" s="91"/>
      <c r="AA34" s="91"/>
      <c r="AB34" s="22"/>
      <c r="AC34" s="91"/>
      <c r="AD34" s="91"/>
      <c r="AE34" s="91"/>
      <c r="AF34" s="91"/>
      <c r="AG34" s="91"/>
      <c r="AH34" s="91"/>
      <c r="AI34" s="173"/>
      <c r="AJ34" s="22"/>
      <c r="AK34" s="91"/>
    </row>
    <row r="35" spans="1:37" ht="16.2" customHeight="1" x14ac:dyDescent="0.3">
      <c r="A35" s="129"/>
      <c r="B35" s="60"/>
      <c r="C35" s="55"/>
      <c r="D35" s="60"/>
      <c r="E35" s="103">
        <f>_xlfn.XLOOKUP(enrollment_table[[#This Row],[*Subject]], classes_table[*Subject], classes_table[Fee])</f>
        <v>0</v>
      </c>
      <c r="F35" s="58"/>
      <c r="G35" s="60"/>
      <c r="H35" s="55"/>
      <c r="I35" s="176">
        <f>_xlfn.XLOOKUP(enrollment_table[[#This Row],[*Teacher Name]], teachers_table[*Teacher Name], teachers_table[*Teacher ID])</f>
        <v>0</v>
      </c>
      <c r="J35" s="60"/>
      <c r="K35" s="60"/>
      <c r="L35" s="55"/>
      <c r="M35" s="60"/>
      <c r="N35" s="60"/>
      <c r="O35" s="55"/>
      <c r="P35" s="161"/>
      <c r="Q35" s="160" t="str">
        <f>IF(enrollment_table[[#This Row],[Enrollment Date]]="","",TEXT(enrollment_table[[#This Row],[Enrollment Date]],"mmmm"))</f>
        <v/>
      </c>
      <c r="R35" s="60"/>
      <c r="T35" s="168"/>
      <c r="U35" s="92"/>
      <c r="V35" s="92"/>
      <c r="W35" s="92"/>
      <c r="X35" s="171"/>
      <c r="Y35" s="172"/>
      <c r="Z35" s="92"/>
      <c r="AA35" s="92"/>
      <c r="AB35" s="172"/>
      <c r="AC35" s="92"/>
      <c r="AD35" s="92"/>
      <c r="AE35" s="92"/>
      <c r="AF35" s="92"/>
      <c r="AG35" s="92"/>
      <c r="AH35" s="92"/>
      <c r="AI35" s="174"/>
      <c r="AJ35" s="172"/>
      <c r="AK35" s="92"/>
    </row>
    <row r="36" spans="1:37" ht="16.2" customHeight="1" x14ac:dyDescent="0.3">
      <c r="A36" s="129"/>
      <c r="B36" s="60"/>
      <c r="C36" s="55"/>
      <c r="D36" s="60"/>
      <c r="E36" s="103">
        <f>_xlfn.XLOOKUP(enrollment_table[[#This Row],[*Subject]], classes_table[*Subject], classes_table[Fee])</f>
        <v>0</v>
      </c>
      <c r="F36" s="58"/>
      <c r="G36" s="60"/>
      <c r="H36" s="55"/>
      <c r="I36" s="176">
        <f>_xlfn.XLOOKUP(enrollment_table[[#This Row],[*Teacher Name]], teachers_table[*Teacher Name], teachers_table[*Teacher ID])</f>
        <v>0</v>
      </c>
      <c r="J36" s="60"/>
      <c r="K36" s="60"/>
      <c r="L36" s="55"/>
      <c r="M36" s="60"/>
      <c r="N36" s="60"/>
      <c r="O36" s="55"/>
      <c r="P36" s="161"/>
      <c r="Q36" s="160" t="str">
        <f>IF(enrollment_table[[#This Row],[Enrollment Date]]="","",TEXT(enrollment_table[[#This Row],[Enrollment Date]],"mmmm"))</f>
        <v/>
      </c>
      <c r="R36" s="60"/>
      <c r="T36" s="167"/>
      <c r="U36" s="91"/>
      <c r="V36" s="91"/>
      <c r="W36" s="91"/>
      <c r="X36" s="170"/>
      <c r="Y36" s="22"/>
      <c r="Z36" s="91"/>
      <c r="AA36" s="91"/>
      <c r="AB36" s="22"/>
      <c r="AC36" s="91"/>
      <c r="AD36" s="91"/>
      <c r="AE36" s="91"/>
      <c r="AF36" s="91"/>
      <c r="AG36" s="91"/>
      <c r="AH36" s="91"/>
      <c r="AI36" s="173"/>
      <c r="AJ36" s="22"/>
      <c r="AK36" s="91"/>
    </row>
    <row r="37" spans="1:37" ht="16.2" customHeight="1" x14ac:dyDescent="0.3">
      <c r="A37" s="129"/>
      <c r="B37" s="60"/>
      <c r="C37" s="55"/>
      <c r="D37" s="60"/>
      <c r="E37" s="103">
        <f>_xlfn.XLOOKUP(enrollment_table[[#This Row],[*Subject]], classes_table[*Subject], classes_table[Fee])</f>
        <v>0</v>
      </c>
      <c r="F37" s="58"/>
      <c r="G37" s="60"/>
      <c r="H37" s="55"/>
      <c r="I37" s="176">
        <f>_xlfn.XLOOKUP(enrollment_table[[#This Row],[*Teacher Name]], teachers_table[*Teacher Name], teachers_table[*Teacher ID])</f>
        <v>0</v>
      </c>
      <c r="J37" s="60"/>
      <c r="K37" s="60"/>
      <c r="L37" s="55"/>
      <c r="M37" s="60"/>
      <c r="N37" s="60"/>
      <c r="O37" s="55"/>
      <c r="P37" s="161"/>
      <c r="Q37" s="160" t="str">
        <f>IF(enrollment_table[[#This Row],[Enrollment Date]]="","",TEXT(enrollment_table[[#This Row],[Enrollment Date]],"mmmm"))</f>
        <v/>
      </c>
      <c r="R37" s="60"/>
      <c r="T37" s="168"/>
      <c r="U37" s="92"/>
      <c r="V37" s="92"/>
      <c r="W37" s="92"/>
      <c r="X37" s="171"/>
      <c r="Y37" s="172"/>
      <c r="Z37" s="92"/>
      <c r="AA37" s="92"/>
      <c r="AB37" s="172"/>
      <c r="AC37" s="92"/>
      <c r="AD37" s="92"/>
      <c r="AE37" s="92"/>
      <c r="AF37" s="92"/>
      <c r="AG37" s="92"/>
      <c r="AH37" s="92"/>
      <c r="AI37" s="174"/>
      <c r="AJ37" s="172"/>
      <c r="AK37" s="92"/>
    </row>
    <row r="38" spans="1:37" ht="16.2" customHeight="1" x14ac:dyDescent="0.3">
      <c r="A38" s="129"/>
      <c r="B38" s="60"/>
      <c r="C38" s="55"/>
      <c r="D38" s="60"/>
      <c r="E38" s="103">
        <f>_xlfn.XLOOKUP(enrollment_table[[#This Row],[*Subject]], classes_table[*Subject], classes_table[Fee])</f>
        <v>0</v>
      </c>
      <c r="F38" s="58"/>
      <c r="G38" s="60"/>
      <c r="H38" s="55"/>
      <c r="I38" s="176">
        <f>_xlfn.XLOOKUP(enrollment_table[[#This Row],[*Teacher Name]], teachers_table[*Teacher Name], teachers_table[*Teacher ID])</f>
        <v>0</v>
      </c>
      <c r="J38" s="60"/>
      <c r="K38" s="60"/>
      <c r="L38" s="55"/>
      <c r="M38" s="60"/>
      <c r="N38" s="60"/>
      <c r="O38" s="55"/>
      <c r="P38" s="161"/>
      <c r="Q38" s="160" t="str">
        <f>IF(enrollment_table[[#This Row],[Enrollment Date]]="","",TEXT(enrollment_table[[#This Row],[Enrollment Date]],"mmmm"))</f>
        <v/>
      </c>
      <c r="R38" s="60"/>
      <c r="T38" s="167"/>
      <c r="U38" s="91"/>
      <c r="V38" s="91"/>
      <c r="W38" s="91"/>
      <c r="X38" s="170"/>
      <c r="Y38" s="22"/>
      <c r="Z38" s="91"/>
      <c r="AA38" s="91"/>
      <c r="AB38" s="22"/>
      <c r="AC38" s="91"/>
      <c r="AD38" s="91"/>
      <c r="AE38" s="91"/>
      <c r="AF38" s="91"/>
      <c r="AG38" s="91"/>
      <c r="AH38" s="91"/>
      <c r="AI38" s="173"/>
      <c r="AJ38" s="22"/>
      <c r="AK38" s="91"/>
    </row>
    <row r="39" spans="1:37" ht="16.2" customHeight="1" x14ac:dyDescent="0.3">
      <c r="A39" s="129"/>
      <c r="B39" s="60"/>
      <c r="C39" s="55"/>
      <c r="D39" s="60"/>
      <c r="E39" s="103">
        <f>_xlfn.XLOOKUP(enrollment_table[[#This Row],[*Subject]], classes_table[*Subject], classes_table[Fee])</f>
        <v>0</v>
      </c>
      <c r="F39" s="58"/>
      <c r="G39" s="60"/>
      <c r="H39" s="55"/>
      <c r="I39" s="176">
        <f>_xlfn.XLOOKUP(enrollment_table[[#This Row],[*Teacher Name]], teachers_table[*Teacher Name], teachers_table[*Teacher ID])</f>
        <v>0</v>
      </c>
      <c r="J39" s="60"/>
      <c r="K39" s="60"/>
      <c r="L39" s="55"/>
      <c r="M39" s="60"/>
      <c r="N39" s="60"/>
      <c r="O39" s="55"/>
      <c r="P39" s="161"/>
      <c r="Q39" s="160" t="str">
        <f>IF(enrollment_table[[#This Row],[Enrollment Date]]="","",TEXT(enrollment_table[[#This Row],[Enrollment Date]],"mmmm"))</f>
        <v/>
      </c>
      <c r="R39" s="60"/>
      <c r="T39" s="168"/>
      <c r="U39" s="92"/>
      <c r="V39" s="92"/>
      <c r="W39" s="92"/>
      <c r="X39" s="171"/>
      <c r="Y39" s="172"/>
      <c r="Z39" s="92"/>
      <c r="AA39" s="92"/>
      <c r="AB39" s="172"/>
      <c r="AC39" s="92"/>
      <c r="AD39" s="92"/>
      <c r="AE39" s="92"/>
      <c r="AF39" s="92"/>
      <c r="AG39" s="92"/>
      <c r="AH39" s="92"/>
      <c r="AI39" s="174"/>
      <c r="AJ39" s="172"/>
      <c r="AK39" s="92"/>
    </row>
    <row r="40" spans="1:37" ht="16.2" customHeight="1" x14ac:dyDescent="0.3">
      <c r="A40" s="129"/>
      <c r="B40" s="60"/>
      <c r="C40" s="55"/>
      <c r="D40" s="60"/>
      <c r="E40" s="103">
        <f>_xlfn.XLOOKUP(enrollment_table[[#This Row],[*Subject]], classes_table[*Subject], classes_table[Fee])</f>
        <v>0</v>
      </c>
      <c r="F40" s="58"/>
      <c r="G40" s="60"/>
      <c r="H40" s="55"/>
      <c r="I40" s="176">
        <f>_xlfn.XLOOKUP(enrollment_table[[#This Row],[*Teacher Name]], teachers_table[*Teacher Name], teachers_table[*Teacher ID])</f>
        <v>0</v>
      </c>
      <c r="J40" s="60"/>
      <c r="K40" s="60"/>
      <c r="L40" s="55"/>
      <c r="M40" s="60"/>
      <c r="N40" s="60"/>
      <c r="O40" s="55"/>
      <c r="P40" s="161"/>
      <c r="Q40" s="160" t="str">
        <f>IF(enrollment_table[[#This Row],[Enrollment Date]]="","",TEXT(enrollment_table[[#This Row],[Enrollment Date]],"mmmm"))</f>
        <v/>
      </c>
      <c r="R40" s="60"/>
      <c r="T40" s="167"/>
      <c r="U40" s="91"/>
      <c r="V40" s="91"/>
      <c r="W40" s="91"/>
      <c r="X40" s="170"/>
      <c r="Y40" s="22"/>
      <c r="Z40" s="91"/>
      <c r="AA40" s="91"/>
      <c r="AB40" s="22"/>
      <c r="AC40" s="91"/>
      <c r="AD40" s="91"/>
      <c r="AE40" s="91"/>
      <c r="AF40" s="91"/>
      <c r="AG40" s="91"/>
      <c r="AH40" s="91"/>
      <c r="AI40" s="173"/>
      <c r="AJ40" s="22"/>
      <c r="AK40" s="91"/>
    </row>
    <row r="41" spans="1:37" ht="16.2" customHeight="1" x14ac:dyDescent="0.3">
      <c r="A41" s="129"/>
      <c r="B41" s="60"/>
      <c r="C41" s="55"/>
      <c r="D41" s="60"/>
      <c r="E41" s="103">
        <f>_xlfn.XLOOKUP(enrollment_table[[#This Row],[*Subject]], classes_table[*Subject], classes_table[Fee])</f>
        <v>0</v>
      </c>
      <c r="F41" s="58"/>
      <c r="G41" s="60"/>
      <c r="H41" s="55"/>
      <c r="I41" s="176">
        <f>_xlfn.XLOOKUP(enrollment_table[[#This Row],[*Teacher Name]], teachers_table[*Teacher Name], teachers_table[*Teacher ID])</f>
        <v>0</v>
      </c>
      <c r="J41" s="60"/>
      <c r="K41" s="60"/>
      <c r="L41" s="55"/>
      <c r="M41" s="60"/>
      <c r="N41" s="60"/>
      <c r="O41" s="55"/>
      <c r="P41" s="161"/>
      <c r="Q41" s="160" t="str">
        <f>IF(enrollment_table[[#This Row],[Enrollment Date]]="","",TEXT(enrollment_table[[#This Row],[Enrollment Date]],"mmmm"))</f>
        <v/>
      </c>
      <c r="R41" s="60"/>
      <c r="T41" s="168"/>
      <c r="U41" s="92"/>
      <c r="V41" s="92"/>
      <c r="W41" s="92"/>
      <c r="X41" s="171"/>
      <c r="Y41" s="172"/>
      <c r="Z41" s="92"/>
      <c r="AA41" s="92"/>
      <c r="AB41" s="172"/>
      <c r="AC41" s="92"/>
      <c r="AD41" s="92"/>
      <c r="AE41" s="92"/>
      <c r="AF41" s="92"/>
      <c r="AG41" s="92"/>
      <c r="AH41" s="92"/>
      <c r="AI41" s="174"/>
      <c r="AJ41" s="172"/>
      <c r="AK41" s="92"/>
    </row>
    <row r="42" spans="1:37" ht="16.2" customHeight="1" x14ac:dyDescent="0.3">
      <c r="A42" s="129"/>
      <c r="B42" s="60"/>
      <c r="C42" s="55"/>
      <c r="D42" s="60"/>
      <c r="E42" s="103">
        <f>_xlfn.XLOOKUP(enrollment_table[[#This Row],[*Subject]], classes_table[*Subject], classes_table[Fee])</f>
        <v>0</v>
      </c>
      <c r="F42" s="58"/>
      <c r="G42" s="60"/>
      <c r="H42" s="55"/>
      <c r="I42" s="176">
        <f>_xlfn.XLOOKUP(enrollment_table[[#This Row],[*Teacher Name]], teachers_table[*Teacher Name], teachers_table[*Teacher ID])</f>
        <v>0</v>
      </c>
      <c r="J42" s="60"/>
      <c r="K42" s="60"/>
      <c r="L42" s="55"/>
      <c r="M42" s="60"/>
      <c r="N42" s="60"/>
      <c r="O42" s="55"/>
      <c r="P42" s="161"/>
      <c r="Q42" s="160" t="str">
        <f>IF(enrollment_table[[#This Row],[Enrollment Date]]="","",TEXT(enrollment_table[[#This Row],[Enrollment Date]],"mmmm"))</f>
        <v/>
      </c>
      <c r="R42" s="60"/>
      <c r="T42" s="167"/>
      <c r="U42" s="91"/>
      <c r="V42" s="91"/>
      <c r="W42" s="91"/>
      <c r="X42" s="170"/>
      <c r="Y42" s="22"/>
      <c r="Z42" s="91"/>
      <c r="AA42" s="91"/>
      <c r="AB42" s="22"/>
      <c r="AC42" s="91"/>
      <c r="AD42" s="91"/>
      <c r="AE42" s="91"/>
      <c r="AF42" s="91"/>
      <c r="AG42" s="91"/>
      <c r="AH42" s="91"/>
      <c r="AI42" s="173"/>
      <c r="AJ42" s="22"/>
      <c r="AK42" s="91"/>
    </row>
    <row r="43" spans="1:37" ht="16.2" customHeight="1" x14ac:dyDescent="0.3">
      <c r="A43" s="129"/>
      <c r="B43" s="60"/>
      <c r="C43" s="55"/>
      <c r="D43" s="60"/>
      <c r="E43" s="103">
        <f>_xlfn.XLOOKUP(enrollment_table[[#This Row],[*Subject]], classes_table[*Subject], classes_table[Fee])</f>
        <v>0</v>
      </c>
      <c r="F43" s="58"/>
      <c r="G43" s="60"/>
      <c r="H43" s="55"/>
      <c r="I43" s="176">
        <f>_xlfn.XLOOKUP(enrollment_table[[#This Row],[*Teacher Name]], teachers_table[*Teacher Name], teachers_table[*Teacher ID])</f>
        <v>0</v>
      </c>
      <c r="J43" s="60"/>
      <c r="K43" s="60"/>
      <c r="L43" s="55"/>
      <c r="M43" s="60"/>
      <c r="N43" s="60"/>
      <c r="O43" s="55"/>
      <c r="P43" s="161"/>
      <c r="Q43" s="160" t="str">
        <f>IF(enrollment_table[[#This Row],[Enrollment Date]]="","",TEXT(enrollment_table[[#This Row],[Enrollment Date]],"mmmm"))</f>
        <v/>
      </c>
      <c r="R43" s="60"/>
      <c r="T43" s="168"/>
      <c r="U43" s="92"/>
      <c r="V43" s="92"/>
      <c r="W43" s="92"/>
      <c r="X43" s="171"/>
      <c r="Y43" s="172"/>
      <c r="Z43" s="92"/>
      <c r="AA43" s="92"/>
      <c r="AB43" s="172"/>
      <c r="AC43" s="92"/>
      <c r="AD43" s="92"/>
      <c r="AE43" s="92"/>
      <c r="AF43" s="92"/>
      <c r="AG43" s="92"/>
      <c r="AH43" s="92"/>
      <c r="AI43" s="174"/>
      <c r="AJ43" s="172"/>
      <c r="AK43" s="92"/>
    </row>
    <row r="44" spans="1:37" ht="16.2" customHeight="1" x14ac:dyDescent="0.3">
      <c r="A44" s="129"/>
      <c r="B44" s="60"/>
      <c r="C44" s="55"/>
      <c r="D44" s="60"/>
      <c r="E44" s="103">
        <f>_xlfn.XLOOKUP(enrollment_table[[#This Row],[*Subject]], classes_table[*Subject], classes_table[Fee])</f>
        <v>0</v>
      </c>
      <c r="F44" s="58"/>
      <c r="G44" s="60"/>
      <c r="H44" s="55"/>
      <c r="I44" s="176">
        <f>_xlfn.XLOOKUP(enrollment_table[[#This Row],[*Teacher Name]], teachers_table[*Teacher Name], teachers_table[*Teacher ID])</f>
        <v>0</v>
      </c>
      <c r="J44" s="60"/>
      <c r="K44" s="60"/>
      <c r="L44" s="55"/>
      <c r="M44" s="60"/>
      <c r="N44" s="60"/>
      <c r="O44" s="55"/>
      <c r="P44" s="161"/>
      <c r="Q44" s="160" t="str">
        <f>IF(enrollment_table[[#This Row],[Enrollment Date]]="","",TEXT(enrollment_table[[#This Row],[Enrollment Date]],"mmmm"))</f>
        <v/>
      </c>
      <c r="R44" s="60"/>
      <c r="T44" s="167"/>
      <c r="U44" s="91"/>
      <c r="V44" s="91"/>
      <c r="W44" s="91"/>
      <c r="X44" s="170"/>
      <c r="Y44" s="22"/>
      <c r="Z44" s="91"/>
      <c r="AA44" s="91"/>
      <c r="AB44" s="22"/>
      <c r="AC44" s="91"/>
      <c r="AD44" s="91"/>
      <c r="AE44" s="91"/>
      <c r="AF44" s="91"/>
      <c r="AG44" s="91"/>
      <c r="AH44" s="91"/>
      <c r="AI44" s="173"/>
      <c r="AJ44" s="22"/>
      <c r="AK44" s="91"/>
    </row>
    <row r="45" spans="1:37" ht="16.2" customHeight="1" x14ac:dyDescent="0.3">
      <c r="A45" s="129"/>
      <c r="B45" s="60"/>
      <c r="C45" s="55"/>
      <c r="D45" s="60"/>
      <c r="E45" s="103">
        <f>_xlfn.XLOOKUP(enrollment_table[[#This Row],[*Subject]], classes_table[*Subject], classes_table[Fee])</f>
        <v>0</v>
      </c>
      <c r="F45" s="58"/>
      <c r="G45" s="60"/>
      <c r="H45" s="55"/>
      <c r="I45" s="176">
        <f>_xlfn.XLOOKUP(enrollment_table[[#This Row],[*Teacher Name]], teachers_table[*Teacher Name], teachers_table[*Teacher ID])</f>
        <v>0</v>
      </c>
      <c r="J45" s="60"/>
      <c r="K45" s="60"/>
      <c r="L45" s="55"/>
      <c r="M45" s="60"/>
      <c r="N45" s="60"/>
      <c r="O45" s="55"/>
      <c r="P45" s="161"/>
      <c r="Q45" s="160" t="str">
        <f>IF(enrollment_table[[#This Row],[Enrollment Date]]="","",TEXT(enrollment_table[[#This Row],[Enrollment Date]],"mmmm"))</f>
        <v/>
      </c>
      <c r="R45" s="60"/>
      <c r="T45" s="168"/>
      <c r="U45" s="92"/>
      <c r="V45" s="92"/>
      <c r="W45" s="92"/>
      <c r="X45" s="171"/>
      <c r="Y45" s="172"/>
      <c r="Z45" s="92"/>
      <c r="AA45" s="92"/>
      <c r="AB45" s="172"/>
      <c r="AC45" s="92"/>
      <c r="AD45" s="92"/>
      <c r="AE45" s="92"/>
      <c r="AF45" s="92"/>
      <c r="AG45" s="92"/>
      <c r="AH45" s="92"/>
      <c r="AI45" s="174"/>
      <c r="AJ45" s="172"/>
      <c r="AK45" s="92"/>
    </row>
    <row r="46" spans="1:37" ht="16.2" customHeight="1" x14ac:dyDescent="0.3">
      <c r="A46" s="129"/>
      <c r="B46" s="60"/>
      <c r="C46" s="55"/>
      <c r="D46" s="60"/>
      <c r="E46" s="103">
        <f>_xlfn.XLOOKUP(enrollment_table[[#This Row],[*Subject]], classes_table[*Subject], classes_table[Fee])</f>
        <v>0</v>
      </c>
      <c r="F46" s="58"/>
      <c r="G46" s="60"/>
      <c r="H46" s="55"/>
      <c r="I46" s="176">
        <f>_xlfn.XLOOKUP(enrollment_table[[#This Row],[*Teacher Name]], teachers_table[*Teacher Name], teachers_table[*Teacher ID])</f>
        <v>0</v>
      </c>
      <c r="J46" s="60"/>
      <c r="K46" s="60"/>
      <c r="L46" s="55"/>
      <c r="M46" s="60"/>
      <c r="N46" s="60"/>
      <c r="O46" s="55"/>
      <c r="P46" s="161"/>
      <c r="Q46" s="160" t="str">
        <f>IF(enrollment_table[[#This Row],[Enrollment Date]]="","",TEXT(enrollment_table[[#This Row],[Enrollment Date]],"mmmm"))</f>
        <v/>
      </c>
      <c r="R46" s="60"/>
      <c r="T46" s="167"/>
      <c r="U46" s="91"/>
      <c r="V46" s="91"/>
      <c r="W46" s="91"/>
      <c r="X46" s="170"/>
      <c r="Y46" s="22"/>
      <c r="Z46" s="91"/>
      <c r="AA46" s="91"/>
      <c r="AB46" s="22"/>
      <c r="AC46" s="91"/>
      <c r="AD46" s="91"/>
      <c r="AE46" s="91"/>
      <c r="AF46" s="91"/>
      <c r="AG46" s="91"/>
      <c r="AH46" s="91"/>
      <c r="AI46" s="173"/>
      <c r="AJ46" s="22"/>
      <c r="AK46" s="91"/>
    </row>
    <row r="47" spans="1:37" ht="16.2" customHeight="1" x14ac:dyDescent="0.3">
      <c r="A47" s="129"/>
      <c r="B47" s="60"/>
      <c r="C47" s="55"/>
      <c r="D47" s="60"/>
      <c r="E47" s="103">
        <f>_xlfn.XLOOKUP(enrollment_table[[#This Row],[*Subject]], classes_table[*Subject], classes_table[Fee])</f>
        <v>0</v>
      </c>
      <c r="F47" s="58"/>
      <c r="G47" s="60"/>
      <c r="H47" s="55"/>
      <c r="I47" s="176">
        <f>_xlfn.XLOOKUP(enrollment_table[[#This Row],[*Teacher Name]], teachers_table[*Teacher Name], teachers_table[*Teacher ID])</f>
        <v>0</v>
      </c>
      <c r="J47" s="60"/>
      <c r="K47" s="60"/>
      <c r="L47" s="55"/>
      <c r="M47" s="60"/>
      <c r="N47" s="60"/>
      <c r="O47" s="55"/>
      <c r="P47" s="161"/>
      <c r="Q47" s="160" t="str">
        <f>IF(enrollment_table[[#This Row],[Enrollment Date]]="","",TEXT(enrollment_table[[#This Row],[Enrollment Date]],"mmmm"))</f>
        <v/>
      </c>
      <c r="R47" s="60"/>
      <c r="T47" s="168"/>
      <c r="U47" s="92"/>
      <c r="V47" s="92"/>
      <c r="W47" s="92"/>
      <c r="X47" s="171"/>
      <c r="Y47" s="172"/>
      <c r="Z47" s="92"/>
      <c r="AA47" s="92"/>
      <c r="AB47" s="172"/>
      <c r="AC47" s="92"/>
      <c r="AD47" s="92"/>
      <c r="AE47" s="92"/>
      <c r="AF47" s="92"/>
      <c r="AG47" s="92"/>
      <c r="AH47" s="92"/>
      <c r="AI47" s="174"/>
      <c r="AJ47" s="172"/>
      <c r="AK47" s="92"/>
    </row>
    <row r="48" spans="1:37" ht="16.2" customHeight="1" x14ac:dyDescent="0.3">
      <c r="A48" s="129"/>
      <c r="B48" s="60"/>
      <c r="C48" s="55"/>
      <c r="D48" s="60"/>
      <c r="E48" s="103">
        <f>_xlfn.XLOOKUP(enrollment_table[[#This Row],[*Subject]], classes_table[*Subject], classes_table[Fee])</f>
        <v>0</v>
      </c>
      <c r="F48" s="58"/>
      <c r="G48" s="60"/>
      <c r="H48" s="55"/>
      <c r="I48" s="176">
        <f>_xlfn.XLOOKUP(enrollment_table[[#This Row],[*Teacher Name]], teachers_table[*Teacher Name], teachers_table[*Teacher ID])</f>
        <v>0</v>
      </c>
      <c r="J48" s="60"/>
      <c r="K48" s="60"/>
      <c r="L48" s="55"/>
      <c r="M48" s="60"/>
      <c r="N48" s="60"/>
      <c r="O48" s="55"/>
      <c r="P48" s="161"/>
      <c r="Q48" s="160" t="str">
        <f>IF(enrollment_table[[#This Row],[Enrollment Date]]="","",TEXT(enrollment_table[[#This Row],[Enrollment Date]],"mmmm"))</f>
        <v/>
      </c>
      <c r="R48" s="60"/>
      <c r="T48" s="167"/>
      <c r="U48" s="91"/>
      <c r="V48" s="91"/>
      <c r="W48" s="91"/>
      <c r="X48" s="170"/>
      <c r="Y48" s="22"/>
      <c r="Z48" s="91"/>
      <c r="AA48" s="91"/>
      <c r="AB48" s="22"/>
      <c r="AC48" s="91"/>
      <c r="AD48" s="91"/>
      <c r="AE48" s="91"/>
      <c r="AF48" s="91"/>
      <c r="AG48" s="91"/>
      <c r="AH48" s="91"/>
      <c r="AI48" s="173"/>
      <c r="AJ48" s="22"/>
      <c r="AK48" s="91"/>
    </row>
    <row r="49" spans="1:37" ht="16.2" customHeight="1" x14ac:dyDescent="0.3">
      <c r="A49" s="129"/>
      <c r="B49" s="60"/>
      <c r="C49" s="55"/>
      <c r="D49" s="60"/>
      <c r="E49" s="103">
        <f>_xlfn.XLOOKUP(enrollment_table[[#This Row],[*Subject]], classes_table[*Subject], classes_table[Fee])</f>
        <v>0</v>
      </c>
      <c r="F49" s="58"/>
      <c r="G49" s="60"/>
      <c r="H49" s="55"/>
      <c r="I49" s="176">
        <f>_xlfn.XLOOKUP(enrollment_table[[#This Row],[*Teacher Name]], teachers_table[*Teacher Name], teachers_table[*Teacher ID])</f>
        <v>0</v>
      </c>
      <c r="J49" s="60"/>
      <c r="K49" s="60"/>
      <c r="L49" s="55"/>
      <c r="M49" s="60"/>
      <c r="N49" s="60"/>
      <c r="O49" s="55"/>
      <c r="P49" s="161"/>
      <c r="Q49" s="160" t="str">
        <f>IF(enrollment_table[[#This Row],[Enrollment Date]]="","",TEXT(enrollment_table[[#This Row],[Enrollment Date]],"mmmm"))</f>
        <v/>
      </c>
      <c r="R49" s="60"/>
      <c r="T49" s="168"/>
      <c r="U49" s="92"/>
      <c r="V49" s="92"/>
      <c r="W49" s="92"/>
      <c r="X49" s="171"/>
      <c r="Y49" s="172"/>
      <c r="Z49" s="92"/>
      <c r="AA49" s="92"/>
      <c r="AB49" s="172"/>
      <c r="AC49" s="92"/>
      <c r="AD49" s="92"/>
      <c r="AE49" s="92"/>
      <c r="AF49" s="92"/>
      <c r="AG49" s="92"/>
      <c r="AH49" s="92"/>
      <c r="AI49" s="174"/>
      <c r="AJ49" s="172"/>
      <c r="AK49" s="92"/>
    </row>
    <row r="50" spans="1:37" ht="16.2" customHeight="1" x14ac:dyDescent="0.3">
      <c r="A50" s="129"/>
      <c r="B50" s="60"/>
      <c r="C50" s="55"/>
      <c r="D50" s="60"/>
      <c r="E50" s="103">
        <f>_xlfn.XLOOKUP(enrollment_table[[#This Row],[*Subject]], classes_table[*Subject], classes_table[Fee])</f>
        <v>0</v>
      </c>
      <c r="F50" s="58"/>
      <c r="G50" s="60"/>
      <c r="H50" s="55"/>
      <c r="I50" s="176">
        <f>_xlfn.XLOOKUP(enrollment_table[[#This Row],[*Teacher Name]], teachers_table[*Teacher Name], teachers_table[*Teacher ID])</f>
        <v>0</v>
      </c>
      <c r="J50" s="60"/>
      <c r="K50" s="60"/>
      <c r="L50" s="55"/>
      <c r="M50" s="60"/>
      <c r="N50" s="60"/>
      <c r="O50" s="55"/>
      <c r="P50" s="161"/>
      <c r="Q50" s="160" t="str">
        <f>IF(enrollment_table[[#This Row],[Enrollment Date]]="","",TEXT(enrollment_table[[#This Row],[Enrollment Date]],"mmmm"))</f>
        <v/>
      </c>
      <c r="R50" s="60"/>
      <c r="T50" s="167"/>
      <c r="U50" s="91"/>
      <c r="V50" s="91"/>
      <c r="W50" s="91"/>
      <c r="X50" s="170"/>
      <c r="Y50" s="22"/>
      <c r="Z50" s="91"/>
      <c r="AA50" s="91"/>
      <c r="AB50" s="22"/>
      <c r="AC50" s="91"/>
      <c r="AD50" s="91"/>
      <c r="AE50" s="91"/>
      <c r="AF50" s="91"/>
      <c r="AG50" s="91"/>
      <c r="AH50" s="91"/>
      <c r="AI50" s="173"/>
      <c r="AJ50" s="22"/>
      <c r="AK50" s="91"/>
    </row>
    <row r="51" spans="1:37" ht="16.2" customHeight="1" x14ac:dyDescent="0.3">
      <c r="A51" s="129"/>
      <c r="B51" s="60"/>
      <c r="C51" s="55"/>
      <c r="D51" s="60"/>
      <c r="E51" s="103">
        <f>_xlfn.XLOOKUP(enrollment_table[[#This Row],[*Subject]], classes_table[*Subject], classes_table[Fee])</f>
        <v>0</v>
      </c>
      <c r="F51" s="58"/>
      <c r="G51" s="60"/>
      <c r="H51" s="55"/>
      <c r="I51" s="176">
        <f>_xlfn.XLOOKUP(enrollment_table[[#This Row],[*Teacher Name]], teachers_table[*Teacher Name], teachers_table[*Teacher ID])</f>
        <v>0</v>
      </c>
      <c r="J51" s="60"/>
      <c r="K51" s="60"/>
      <c r="L51" s="55"/>
      <c r="M51" s="60"/>
      <c r="N51" s="60"/>
      <c r="O51" s="55"/>
      <c r="P51" s="161"/>
      <c r="Q51" s="160" t="str">
        <f>IF(enrollment_table[[#This Row],[Enrollment Date]]="","",TEXT(enrollment_table[[#This Row],[Enrollment Date]],"mmmm"))</f>
        <v/>
      </c>
      <c r="R51" s="60"/>
      <c r="T51" s="168"/>
      <c r="U51" s="92"/>
      <c r="V51" s="92"/>
      <c r="W51" s="92"/>
      <c r="X51" s="171"/>
      <c r="Y51" s="172"/>
      <c r="Z51" s="92"/>
      <c r="AA51" s="92"/>
      <c r="AB51" s="172"/>
      <c r="AC51" s="92"/>
      <c r="AD51" s="92"/>
      <c r="AE51" s="92"/>
      <c r="AF51" s="92"/>
      <c r="AG51" s="92"/>
      <c r="AH51" s="92"/>
      <c r="AI51" s="174"/>
      <c r="AJ51" s="172"/>
      <c r="AK51" s="92"/>
    </row>
    <row r="52" spans="1:37" ht="16.2" customHeight="1" x14ac:dyDescent="0.3">
      <c r="A52" s="129"/>
      <c r="B52" s="60"/>
      <c r="C52" s="55"/>
      <c r="D52" s="60"/>
      <c r="E52" s="103">
        <f>_xlfn.XLOOKUP(enrollment_table[[#This Row],[*Subject]], classes_table[*Subject], classes_table[Fee])</f>
        <v>0</v>
      </c>
      <c r="F52" s="58"/>
      <c r="G52" s="60"/>
      <c r="H52" s="55"/>
      <c r="I52" s="176">
        <f>_xlfn.XLOOKUP(enrollment_table[[#This Row],[*Teacher Name]], teachers_table[*Teacher Name], teachers_table[*Teacher ID])</f>
        <v>0</v>
      </c>
      <c r="J52" s="60"/>
      <c r="K52" s="60"/>
      <c r="L52" s="55"/>
      <c r="M52" s="60"/>
      <c r="N52" s="60"/>
      <c r="O52" s="55"/>
      <c r="P52" s="161"/>
      <c r="Q52" s="160" t="str">
        <f>IF(enrollment_table[[#This Row],[Enrollment Date]]="","",TEXT(enrollment_table[[#This Row],[Enrollment Date]],"mmmm"))</f>
        <v/>
      </c>
      <c r="R52" s="60"/>
      <c r="T52" s="167"/>
      <c r="U52" s="91"/>
      <c r="V52" s="91"/>
      <c r="W52" s="91"/>
      <c r="X52" s="170"/>
      <c r="Y52" s="22"/>
      <c r="Z52" s="91"/>
      <c r="AA52" s="91"/>
      <c r="AB52" s="22"/>
      <c r="AC52" s="91"/>
      <c r="AD52" s="91"/>
      <c r="AE52" s="91"/>
      <c r="AF52" s="91"/>
      <c r="AG52" s="91"/>
      <c r="AH52" s="91"/>
      <c r="AI52" s="173"/>
      <c r="AJ52" s="22"/>
      <c r="AK52" s="91"/>
    </row>
    <row r="53" spans="1:37" ht="16.2" customHeight="1" x14ac:dyDescent="0.3">
      <c r="A53" s="129"/>
      <c r="B53" s="60"/>
      <c r="C53" s="55"/>
      <c r="D53" s="60"/>
      <c r="E53" s="103">
        <f>_xlfn.XLOOKUP(enrollment_table[[#This Row],[*Subject]], classes_table[*Subject], classes_table[Fee])</f>
        <v>0</v>
      </c>
      <c r="F53" s="58"/>
      <c r="G53" s="60"/>
      <c r="H53" s="55"/>
      <c r="I53" s="176">
        <f>_xlfn.XLOOKUP(enrollment_table[[#This Row],[*Teacher Name]], teachers_table[*Teacher Name], teachers_table[*Teacher ID])</f>
        <v>0</v>
      </c>
      <c r="J53" s="60"/>
      <c r="K53" s="60"/>
      <c r="L53" s="55"/>
      <c r="M53" s="60"/>
      <c r="N53" s="60"/>
      <c r="O53" s="55"/>
      <c r="P53" s="161"/>
      <c r="Q53" s="160" t="str">
        <f>IF(enrollment_table[[#This Row],[Enrollment Date]]="","",TEXT(enrollment_table[[#This Row],[Enrollment Date]],"mmmm"))</f>
        <v/>
      </c>
      <c r="R53" s="60"/>
    </row>
    <row r="54" spans="1:37" ht="16.2" customHeight="1" x14ac:dyDescent="0.3">
      <c r="A54" s="129"/>
      <c r="B54" s="60"/>
      <c r="C54" s="55"/>
      <c r="D54" s="60"/>
      <c r="E54" s="103">
        <f>_xlfn.XLOOKUP(enrollment_table[[#This Row],[*Subject]], classes_table[*Subject], classes_table[Fee])</f>
        <v>0</v>
      </c>
      <c r="F54" s="58"/>
      <c r="G54" s="60"/>
      <c r="H54" s="55"/>
      <c r="I54" s="176">
        <f>_xlfn.XLOOKUP(enrollment_table[[#This Row],[*Teacher Name]], teachers_table[*Teacher Name], teachers_table[*Teacher ID])</f>
        <v>0</v>
      </c>
      <c r="J54" s="60"/>
      <c r="K54" s="60"/>
      <c r="L54" s="55"/>
      <c r="M54" s="60"/>
      <c r="N54" s="60"/>
      <c r="O54" s="55"/>
      <c r="P54" s="161"/>
      <c r="Q54" s="160" t="str">
        <f>IF(enrollment_table[[#This Row],[Enrollment Date]]="","",TEXT(enrollment_table[[#This Row],[Enrollment Date]],"mmmm"))</f>
        <v/>
      </c>
      <c r="R54" s="60"/>
    </row>
    <row r="55" spans="1:37" ht="16.2" customHeight="1" x14ac:dyDescent="0.3">
      <c r="A55" s="129"/>
      <c r="B55" s="60"/>
      <c r="C55" s="55"/>
      <c r="D55" s="60"/>
      <c r="E55" s="103">
        <f>_xlfn.XLOOKUP(enrollment_table[[#This Row],[*Subject]], classes_table[*Subject], classes_table[Fee])</f>
        <v>0</v>
      </c>
      <c r="F55" s="58"/>
      <c r="G55" s="60"/>
      <c r="H55" s="55"/>
      <c r="I55" s="176">
        <f>_xlfn.XLOOKUP(enrollment_table[[#This Row],[*Teacher Name]], teachers_table[*Teacher Name], teachers_table[*Teacher ID])</f>
        <v>0</v>
      </c>
      <c r="J55" s="60"/>
      <c r="K55" s="60"/>
      <c r="L55" s="55"/>
      <c r="M55" s="60"/>
      <c r="N55" s="60"/>
      <c r="O55" s="55"/>
      <c r="P55" s="161"/>
      <c r="Q55" s="160" t="str">
        <f>IF(enrollment_table[[#This Row],[Enrollment Date]]="","",TEXT(enrollment_table[[#This Row],[Enrollment Date]],"mmmm"))</f>
        <v/>
      </c>
      <c r="R55" s="60"/>
    </row>
    <row r="56" spans="1:37" ht="16.2" customHeight="1" x14ac:dyDescent="0.3">
      <c r="A56" s="129"/>
      <c r="B56" s="60"/>
      <c r="C56" s="55"/>
      <c r="D56" s="60"/>
      <c r="E56" s="103">
        <f>_xlfn.XLOOKUP(enrollment_table[[#This Row],[*Subject]], classes_table[*Subject], classes_table[Fee])</f>
        <v>0</v>
      </c>
      <c r="F56" s="58"/>
      <c r="G56" s="60"/>
      <c r="H56" s="55"/>
      <c r="I56" s="176">
        <f>_xlfn.XLOOKUP(enrollment_table[[#This Row],[*Teacher Name]], teachers_table[*Teacher Name], teachers_table[*Teacher ID])</f>
        <v>0</v>
      </c>
      <c r="J56" s="60"/>
      <c r="K56" s="60"/>
      <c r="L56" s="55"/>
      <c r="M56" s="60"/>
      <c r="N56" s="60"/>
      <c r="O56" s="55"/>
      <c r="P56" s="161"/>
      <c r="Q56" s="160" t="str">
        <f>IF(enrollment_table[[#This Row],[Enrollment Date]]="","",TEXT(enrollment_table[[#This Row],[Enrollment Date]],"mmmm"))</f>
        <v/>
      </c>
      <c r="R56" s="60"/>
    </row>
    <row r="57" spans="1:37" ht="16.2" customHeight="1" x14ac:dyDescent="0.3">
      <c r="A57" s="129"/>
      <c r="B57" s="60"/>
      <c r="C57" s="55"/>
      <c r="D57" s="60"/>
      <c r="E57" s="103">
        <f>_xlfn.XLOOKUP(enrollment_table[[#This Row],[*Subject]], classes_table[*Subject], classes_table[Fee])</f>
        <v>0</v>
      </c>
      <c r="F57" s="58"/>
      <c r="G57" s="60"/>
      <c r="H57" s="55"/>
      <c r="I57" s="176">
        <f>_xlfn.XLOOKUP(enrollment_table[[#This Row],[*Teacher Name]], teachers_table[*Teacher Name], teachers_table[*Teacher ID])</f>
        <v>0</v>
      </c>
      <c r="J57" s="60"/>
      <c r="K57" s="60"/>
      <c r="L57" s="55"/>
      <c r="M57" s="60"/>
      <c r="N57" s="60"/>
      <c r="O57" s="55"/>
      <c r="P57" s="161"/>
      <c r="Q57" s="160" t="str">
        <f>IF(enrollment_table[[#This Row],[Enrollment Date]]="","",TEXT(enrollment_table[[#This Row],[Enrollment Date]],"mmmm"))</f>
        <v/>
      </c>
      <c r="R57" s="60"/>
    </row>
    <row r="58" spans="1:37" ht="16.2" customHeight="1" x14ac:dyDescent="0.3">
      <c r="A58" s="129"/>
      <c r="B58" s="60"/>
      <c r="C58" s="55"/>
      <c r="D58" s="60"/>
      <c r="E58" s="103">
        <f>_xlfn.XLOOKUP(enrollment_table[[#This Row],[*Subject]], classes_table[*Subject], classes_table[Fee])</f>
        <v>0</v>
      </c>
      <c r="F58" s="58"/>
      <c r="G58" s="60"/>
      <c r="H58" s="55"/>
      <c r="I58" s="176">
        <f>_xlfn.XLOOKUP(enrollment_table[[#This Row],[*Teacher Name]], teachers_table[*Teacher Name], teachers_table[*Teacher ID])</f>
        <v>0</v>
      </c>
      <c r="J58" s="60"/>
      <c r="K58" s="60"/>
      <c r="L58" s="55"/>
      <c r="M58" s="60"/>
      <c r="N58" s="60"/>
      <c r="O58" s="55"/>
      <c r="P58" s="161"/>
      <c r="Q58" s="160" t="str">
        <f>IF(enrollment_table[[#This Row],[Enrollment Date]]="","",TEXT(enrollment_table[[#This Row],[Enrollment Date]],"mmmm"))</f>
        <v/>
      </c>
      <c r="R58" s="60"/>
    </row>
    <row r="59" spans="1:37" ht="16.2" customHeight="1" x14ac:dyDescent="0.3">
      <c r="A59" s="129"/>
      <c r="B59" s="60"/>
      <c r="C59" s="55"/>
      <c r="D59" s="60"/>
      <c r="E59" s="103">
        <f>_xlfn.XLOOKUP(enrollment_table[[#This Row],[*Subject]], classes_table[*Subject], classes_table[Fee])</f>
        <v>0</v>
      </c>
      <c r="F59" s="58"/>
      <c r="G59" s="60"/>
      <c r="H59" s="55"/>
      <c r="I59" s="176">
        <f>_xlfn.XLOOKUP(enrollment_table[[#This Row],[*Teacher Name]], teachers_table[*Teacher Name], teachers_table[*Teacher ID])</f>
        <v>0</v>
      </c>
      <c r="J59" s="60"/>
      <c r="K59" s="60"/>
      <c r="L59" s="55"/>
      <c r="M59" s="60"/>
      <c r="N59" s="60"/>
      <c r="O59" s="55"/>
      <c r="P59" s="161"/>
      <c r="Q59" s="160" t="str">
        <f>IF(enrollment_table[[#This Row],[Enrollment Date]]="","",TEXT(enrollment_table[[#This Row],[Enrollment Date]],"mmmm"))</f>
        <v/>
      </c>
      <c r="R59" s="60"/>
    </row>
    <row r="60" spans="1:37" ht="16.2" customHeight="1" x14ac:dyDescent="0.3">
      <c r="A60" s="129"/>
      <c r="B60" s="60"/>
      <c r="C60" s="55"/>
      <c r="D60" s="60"/>
      <c r="E60" s="103">
        <f>_xlfn.XLOOKUP(enrollment_table[[#This Row],[*Subject]], classes_table[*Subject], classes_table[Fee])</f>
        <v>0</v>
      </c>
      <c r="F60" s="58"/>
      <c r="G60" s="60"/>
      <c r="H60" s="55"/>
      <c r="I60" s="176">
        <f>_xlfn.XLOOKUP(enrollment_table[[#This Row],[*Teacher Name]], teachers_table[*Teacher Name], teachers_table[*Teacher ID])</f>
        <v>0</v>
      </c>
      <c r="J60" s="60"/>
      <c r="K60" s="60"/>
      <c r="L60" s="55"/>
      <c r="M60" s="60"/>
      <c r="N60" s="60"/>
      <c r="O60" s="55"/>
      <c r="P60" s="161"/>
      <c r="Q60" s="160" t="str">
        <f>IF(enrollment_table[[#This Row],[Enrollment Date]]="","",TEXT(enrollment_table[[#This Row],[Enrollment Date]],"mmmm"))</f>
        <v/>
      </c>
      <c r="R60" s="60"/>
    </row>
    <row r="61" spans="1:37" ht="16.2" customHeight="1" x14ac:dyDescent="0.3">
      <c r="A61" s="129"/>
      <c r="B61" s="60"/>
      <c r="C61" s="55"/>
      <c r="D61" s="60"/>
      <c r="E61" s="103">
        <f>_xlfn.XLOOKUP(enrollment_table[[#This Row],[*Subject]], classes_table[*Subject], classes_table[Fee])</f>
        <v>0</v>
      </c>
      <c r="F61" s="58"/>
      <c r="G61" s="60"/>
      <c r="H61" s="55"/>
      <c r="I61" s="176">
        <f>_xlfn.XLOOKUP(enrollment_table[[#This Row],[*Teacher Name]], teachers_table[*Teacher Name], teachers_table[*Teacher ID])</f>
        <v>0</v>
      </c>
      <c r="J61" s="60"/>
      <c r="K61" s="60"/>
      <c r="L61" s="55"/>
      <c r="M61" s="60"/>
      <c r="N61" s="60"/>
      <c r="O61" s="55"/>
      <c r="P61" s="161"/>
      <c r="Q61" s="160" t="str">
        <f>IF(enrollment_table[[#This Row],[Enrollment Date]]="","",TEXT(enrollment_table[[#This Row],[Enrollment Date]],"mmmm"))</f>
        <v/>
      </c>
      <c r="R61" s="60"/>
    </row>
    <row r="62" spans="1:37" ht="16.2" customHeight="1" x14ac:dyDescent="0.3">
      <c r="A62" s="129"/>
      <c r="B62" s="60"/>
      <c r="C62" s="55"/>
      <c r="D62" s="60"/>
      <c r="E62" s="103">
        <f>_xlfn.XLOOKUP(enrollment_table[[#This Row],[*Subject]], classes_table[*Subject], classes_table[Fee])</f>
        <v>0</v>
      </c>
      <c r="F62" s="58"/>
      <c r="G62" s="60"/>
      <c r="H62" s="55"/>
      <c r="I62" s="176">
        <f>_xlfn.XLOOKUP(enrollment_table[[#This Row],[*Teacher Name]], teachers_table[*Teacher Name], teachers_table[*Teacher ID])</f>
        <v>0</v>
      </c>
      <c r="J62" s="60"/>
      <c r="K62" s="60"/>
      <c r="L62" s="55"/>
      <c r="M62" s="60"/>
      <c r="N62" s="60"/>
      <c r="O62" s="55"/>
      <c r="P62" s="161"/>
      <c r="Q62" s="160" t="str">
        <f>IF(enrollment_table[[#This Row],[Enrollment Date]]="","",TEXT(enrollment_table[[#This Row],[Enrollment Date]],"mmmm"))</f>
        <v/>
      </c>
      <c r="R62" s="60"/>
    </row>
    <row r="63" spans="1:37" ht="16.2" customHeight="1" x14ac:dyDescent="0.3">
      <c r="A63" s="129"/>
      <c r="B63" s="60"/>
      <c r="C63" s="55"/>
      <c r="D63" s="60"/>
      <c r="E63" s="103">
        <f>_xlfn.XLOOKUP(enrollment_table[[#This Row],[*Subject]], classes_table[*Subject], classes_table[Fee])</f>
        <v>0</v>
      </c>
      <c r="F63" s="58"/>
      <c r="G63" s="60"/>
      <c r="H63" s="55"/>
      <c r="I63" s="176">
        <f>_xlfn.XLOOKUP(enrollment_table[[#This Row],[*Teacher Name]], teachers_table[*Teacher Name], teachers_table[*Teacher ID])</f>
        <v>0</v>
      </c>
      <c r="J63" s="60"/>
      <c r="K63" s="60"/>
      <c r="L63" s="55"/>
      <c r="M63" s="60"/>
      <c r="N63" s="60"/>
      <c r="O63" s="55"/>
      <c r="P63" s="161"/>
      <c r="Q63" s="160" t="str">
        <f>IF(enrollment_table[[#This Row],[Enrollment Date]]="","",TEXT(enrollment_table[[#This Row],[Enrollment Date]],"mmmm"))</f>
        <v/>
      </c>
      <c r="R63" s="60"/>
    </row>
    <row r="64" spans="1:37" ht="16.2" customHeight="1" x14ac:dyDescent="0.3">
      <c r="A64" s="129"/>
      <c r="B64" s="60"/>
      <c r="C64" s="55"/>
      <c r="D64" s="60"/>
      <c r="E64" s="103">
        <f>_xlfn.XLOOKUP(enrollment_table[[#This Row],[*Subject]], classes_table[*Subject], classes_table[Fee])</f>
        <v>0</v>
      </c>
      <c r="F64" s="58"/>
      <c r="G64" s="60"/>
      <c r="H64" s="55"/>
      <c r="I64" s="176">
        <f>_xlfn.XLOOKUP(enrollment_table[[#This Row],[*Teacher Name]], teachers_table[*Teacher Name], teachers_table[*Teacher ID])</f>
        <v>0</v>
      </c>
      <c r="J64" s="60"/>
      <c r="K64" s="60"/>
      <c r="L64" s="55"/>
      <c r="M64" s="60"/>
      <c r="N64" s="60"/>
      <c r="O64" s="55"/>
      <c r="P64" s="161"/>
      <c r="Q64" s="160" t="str">
        <f>IF(enrollment_table[[#This Row],[Enrollment Date]]="","",TEXT(enrollment_table[[#This Row],[Enrollment Date]],"mmmm"))</f>
        <v/>
      </c>
      <c r="R64" s="60"/>
    </row>
    <row r="65" spans="1:18" ht="16.2" customHeight="1" x14ac:dyDescent="0.3">
      <c r="A65" s="129"/>
      <c r="B65" s="60"/>
      <c r="C65" s="55"/>
      <c r="D65" s="60"/>
      <c r="E65" s="103">
        <f>_xlfn.XLOOKUP(enrollment_table[[#This Row],[*Subject]], classes_table[*Subject], classes_table[Fee])</f>
        <v>0</v>
      </c>
      <c r="F65" s="58"/>
      <c r="G65" s="60"/>
      <c r="H65" s="55"/>
      <c r="I65" s="176">
        <f>_xlfn.XLOOKUP(enrollment_table[[#This Row],[*Teacher Name]], teachers_table[*Teacher Name], teachers_table[*Teacher ID])</f>
        <v>0</v>
      </c>
      <c r="J65" s="60"/>
      <c r="K65" s="60"/>
      <c r="L65" s="55"/>
      <c r="M65" s="60"/>
      <c r="N65" s="60"/>
      <c r="O65" s="55"/>
      <c r="P65" s="161"/>
      <c r="Q65" s="160" t="str">
        <f>IF(enrollment_table[[#This Row],[Enrollment Date]]="","",TEXT(enrollment_table[[#This Row],[Enrollment Date]],"mmmm"))</f>
        <v/>
      </c>
      <c r="R65" s="60"/>
    </row>
    <row r="66" spans="1:18" ht="16.2" customHeight="1" x14ac:dyDescent="0.3">
      <c r="A66" s="129"/>
      <c r="B66" s="60"/>
      <c r="C66" s="55"/>
      <c r="D66" s="60"/>
      <c r="E66" s="103">
        <f>_xlfn.XLOOKUP(enrollment_table[[#This Row],[*Subject]], classes_table[*Subject], classes_table[Fee])</f>
        <v>0</v>
      </c>
      <c r="F66" s="58"/>
      <c r="G66" s="60"/>
      <c r="H66" s="55"/>
      <c r="I66" s="176">
        <f>_xlfn.XLOOKUP(enrollment_table[[#This Row],[*Teacher Name]], teachers_table[*Teacher Name], teachers_table[*Teacher ID])</f>
        <v>0</v>
      </c>
      <c r="J66" s="60"/>
      <c r="K66" s="60"/>
      <c r="L66" s="55"/>
      <c r="M66" s="60"/>
      <c r="N66" s="60"/>
      <c r="O66" s="55"/>
      <c r="P66" s="161"/>
      <c r="Q66" s="160" t="str">
        <f>IF(enrollment_table[[#This Row],[Enrollment Date]]="","",TEXT(enrollment_table[[#This Row],[Enrollment Date]],"mmmm"))</f>
        <v/>
      </c>
      <c r="R66" s="60"/>
    </row>
    <row r="67" spans="1:18" ht="16.2" customHeight="1" x14ac:dyDescent="0.3">
      <c r="A67" s="129"/>
      <c r="B67" s="60"/>
      <c r="C67" s="55"/>
      <c r="D67" s="60"/>
      <c r="E67" s="103">
        <f>_xlfn.XLOOKUP(enrollment_table[[#This Row],[*Subject]], classes_table[*Subject], classes_table[Fee])</f>
        <v>0</v>
      </c>
      <c r="F67" s="58"/>
      <c r="G67" s="60"/>
      <c r="H67" s="55"/>
      <c r="I67" s="176">
        <f>_xlfn.XLOOKUP(enrollment_table[[#This Row],[*Teacher Name]], teachers_table[*Teacher Name], teachers_table[*Teacher ID])</f>
        <v>0</v>
      </c>
      <c r="J67" s="60"/>
      <c r="K67" s="60"/>
      <c r="L67" s="55"/>
      <c r="M67" s="60"/>
      <c r="N67" s="60"/>
      <c r="O67" s="55"/>
      <c r="P67" s="161"/>
      <c r="Q67" s="160" t="str">
        <f>IF(enrollment_table[[#This Row],[Enrollment Date]]="","",TEXT(enrollment_table[[#This Row],[Enrollment Date]],"mmmm"))</f>
        <v/>
      </c>
      <c r="R67" s="60"/>
    </row>
    <row r="68" spans="1:18" ht="16.2" customHeight="1" x14ac:dyDescent="0.3">
      <c r="A68" s="129"/>
      <c r="B68" s="60"/>
      <c r="C68" s="55"/>
      <c r="D68" s="60"/>
      <c r="E68" s="103">
        <f>_xlfn.XLOOKUP(enrollment_table[[#This Row],[*Subject]], classes_table[*Subject], classes_table[Fee])</f>
        <v>0</v>
      </c>
      <c r="F68" s="58"/>
      <c r="G68" s="60"/>
      <c r="H68" s="55"/>
      <c r="I68" s="176">
        <f>_xlfn.XLOOKUP(enrollment_table[[#This Row],[*Teacher Name]], teachers_table[*Teacher Name], teachers_table[*Teacher ID])</f>
        <v>0</v>
      </c>
      <c r="J68" s="60"/>
      <c r="K68" s="60"/>
      <c r="L68" s="55"/>
      <c r="M68" s="60"/>
      <c r="N68" s="60"/>
      <c r="O68" s="55"/>
      <c r="P68" s="161"/>
      <c r="Q68" s="160" t="str">
        <f>IF(enrollment_table[[#This Row],[Enrollment Date]]="","",TEXT(enrollment_table[[#This Row],[Enrollment Date]],"mmmm"))</f>
        <v/>
      </c>
      <c r="R68" s="60"/>
    </row>
    <row r="69" spans="1:18" ht="16.2" customHeight="1" x14ac:dyDescent="0.3">
      <c r="A69" s="129"/>
      <c r="B69" s="60"/>
      <c r="C69" s="55"/>
      <c r="D69" s="60"/>
      <c r="E69" s="103">
        <f>_xlfn.XLOOKUP(enrollment_table[[#This Row],[*Subject]], classes_table[*Subject], classes_table[Fee])</f>
        <v>0</v>
      </c>
      <c r="F69" s="58"/>
      <c r="G69" s="60"/>
      <c r="H69" s="55"/>
      <c r="I69" s="176">
        <f>_xlfn.XLOOKUP(enrollment_table[[#This Row],[*Teacher Name]], teachers_table[*Teacher Name], teachers_table[*Teacher ID])</f>
        <v>0</v>
      </c>
      <c r="J69" s="60"/>
      <c r="K69" s="60"/>
      <c r="L69" s="55"/>
      <c r="M69" s="60"/>
      <c r="N69" s="60"/>
      <c r="O69" s="55"/>
      <c r="P69" s="161"/>
      <c r="Q69" s="160" t="str">
        <f>IF(enrollment_table[[#This Row],[Enrollment Date]]="","",TEXT(enrollment_table[[#This Row],[Enrollment Date]],"mmmm"))</f>
        <v/>
      </c>
      <c r="R69" s="60"/>
    </row>
    <row r="70" spans="1:18" ht="16.2" customHeight="1" x14ac:dyDescent="0.3">
      <c r="A70" s="129"/>
      <c r="B70" s="60"/>
      <c r="C70" s="55"/>
      <c r="D70" s="60"/>
      <c r="E70" s="103">
        <f>_xlfn.XLOOKUP(enrollment_table[[#This Row],[*Subject]], classes_table[*Subject], classes_table[Fee])</f>
        <v>0</v>
      </c>
      <c r="F70" s="58"/>
      <c r="G70" s="60"/>
      <c r="H70" s="55"/>
      <c r="I70" s="176">
        <f>_xlfn.XLOOKUP(enrollment_table[[#This Row],[*Teacher Name]], teachers_table[*Teacher Name], teachers_table[*Teacher ID])</f>
        <v>0</v>
      </c>
      <c r="J70" s="60"/>
      <c r="K70" s="60"/>
      <c r="L70" s="55"/>
      <c r="M70" s="60"/>
      <c r="N70" s="60"/>
      <c r="O70" s="55"/>
      <c r="P70" s="161"/>
      <c r="Q70" s="160" t="str">
        <f>IF(enrollment_table[[#This Row],[Enrollment Date]]="","",TEXT(enrollment_table[[#This Row],[Enrollment Date]],"mmmm"))</f>
        <v/>
      </c>
      <c r="R70" s="60"/>
    </row>
    <row r="71" spans="1:18" ht="16.2" customHeight="1" x14ac:dyDescent="0.3">
      <c r="A71" s="129"/>
      <c r="B71" s="60"/>
      <c r="C71" s="55"/>
      <c r="D71" s="60"/>
      <c r="E71" s="103">
        <f>_xlfn.XLOOKUP(enrollment_table[[#This Row],[*Subject]], classes_table[*Subject], classes_table[Fee])</f>
        <v>0</v>
      </c>
      <c r="F71" s="58"/>
      <c r="G71" s="60"/>
      <c r="H71" s="55"/>
      <c r="I71" s="176">
        <f>_xlfn.XLOOKUP(enrollment_table[[#This Row],[*Teacher Name]], teachers_table[*Teacher Name], teachers_table[*Teacher ID])</f>
        <v>0</v>
      </c>
      <c r="J71" s="60"/>
      <c r="K71" s="60"/>
      <c r="L71" s="55"/>
      <c r="M71" s="60"/>
      <c r="N71" s="60"/>
      <c r="O71" s="55"/>
      <c r="P71" s="161"/>
      <c r="Q71" s="160" t="str">
        <f>IF(enrollment_table[[#This Row],[Enrollment Date]]="","",TEXT(enrollment_table[[#This Row],[Enrollment Date]],"mmmm"))</f>
        <v/>
      </c>
      <c r="R71" s="60"/>
    </row>
    <row r="72" spans="1:18" ht="16.2" customHeight="1" x14ac:dyDescent="0.3">
      <c r="A72" s="129"/>
      <c r="B72" s="60"/>
      <c r="C72" s="55"/>
      <c r="D72" s="60"/>
      <c r="E72" s="103">
        <f>_xlfn.XLOOKUP(enrollment_table[[#This Row],[*Subject]], classes_table[*Subject], classes_table[Fee])</f>
        <v>0</v>
      </c>
      <c r="F72" s="58"/>
      <c r="G72" s="60"/>
      <c r="H72" s="55"/>
      <c r="I72" s="176">
        <f>_xlfn.XLOOKUP(enrollment_table[[#This Row],[*Teacher Name]], teachers_table[*Teacher Name], teachers_table[*Teacher ID])</f>
        <v>0</v>
      </c>
      <c r="J72" s="60"/>
      <c r="K72" s="60"/>
      <c r="L72" s="55"/>
      <c r="M72" s="60"/>
      <c r="N72" s="60"/>
      <c r="O72" s="55"/>
      <c r="P72" s="161"/>
      <c r="Q72" s="160" t="str">
        <f>IF(enrollment_table[[#This Row],[Enrollment Date]]="","",TEXT(enrollment_table[[#This Row],[Enrollment Date]],"mmmm"))</f>
        <v/>
      </c>
      <c r="R72" s="60"/>
    </row>
    <row r="73" spans="1:18" ht="16.2" customHeight="1" x14ac:dyDescent="0.3">
      <c r="A73" s="129"/>
      <c r="B73" s="60"/>
      <c r="C73" s="55"/>
      <c r="D73" s="60"/>
      <c r="E73" s="103">
        <f>_xlfn.XLOOKUP(enrollment_table[[#This Row],[*Subject]], classes_table[*Subject], classes_table[Fee])</f>
        <v>0</v>
      </c>
      <c r="F73" s="58"/>
      <c r="G73" s="60"/>
      <c r="H73" s="55"/>
      <c r="I73" s="176">
        <f>_xlfn.XLOOKUP(enrollment_table[[#This Row],[*Teacher Name]], teachers_table[*Teacher Name], teachers_table[*Teacher ID])</f>
        <v>0</v>
      </c>
      <c r="J73" s="60"/>
      <c r="K73" s="60"/>
      <c r="L73" s="55"/>
      <c r="M73" s="60"/>
      <c r="N73" s="60"/>
      <c r="O73" s="55"/>
      <c r="P73" s="161"/>
      <c r="Q73" s="160" t="str">
        <f>IF(enrollment_table[[#This Row],[Enrollment Date]]="","",TEXT(enrollment_table[[#This Row],[Enrollment Date]],"mmmm"))</f>
        <v/>
      </c>
      <c r="R73" s="60"/>
    </row>
    <row r="74" spans="1:18" ht="16.2" customHeight="1" x14ac:dyDescent="0.3">
      <c r="A74" s="129"/>
      <c r="B74" s="60"/>
      <c r="C74" s="55"/>
      <c r="D74" s="60"/>
      <c r="E74" s="103">
        <f>_xlfn.XLOOKUP(enrollment_table[[#This Row],[*Subject]], classes_table[*Subject], classes_table[Fee])</f>
        <v>0</v>
      </c>
      <c r="F74" s="58"/>
      <c r="G74" s="60"/>
      <c r="H74" s="55"/>
      <c r="I74" s="176">
        <f>_xlfn.XLOOKUP(enrollment_table[[#This Row],[*Teacher Name]], teachers_table[*Teacher Name], teachers_table[*Teacher ID])</f>
        <v>0</v>
      </c>
      <c r="J74" s="60"/>
      <c r="K74" s="60"/>
      <c r="L74" s="55"/>
      <c r="M74" s="60"/>
      <c r="N74" s="60"/>
      <c r="O74" s="55"/>
      <c r="P74" s="161"/>
      <c r="Q74" s="160" t="str">
        <f>IF(enrollment_table[[#This Row],[Enrollment Date]]="","",TEXT(enrollment_table[[#This Row],[Enrollment Date]],"mmmm"))</f>
        <v/>
      </c>
      <c r="R74" s="60"/>
    </row>
    <row r="75" spans="1:18" ht="16.2" customHeight="1" x14ac:dyDescent="0.3">
      <c r="A75" s="129"/>
      <c r="B75" s="60"/>
      <c r="C75" s="55"/>
      <c r="D75" s="60"/>
      <c r="E75" s="103">
        <f>_xlfn.XLOOKUP(enrollment_table[[#This Row],[*Subject]], classes_table[*Subject], classes_table[Fee])</f>
        <v>0</v>
      </c>
      <c r="F75" s="58"/>
      <c r="G75" s="60"/>
      <c r="H75" s="55"/>
      <c r="I75" s="176">
        <f>_xlfn.XLOOKUP(enrollment_table[[#This Row],[*Teacher Name]], teachers_table[*Teacher Name], teachers_table[*Teacher ID])</f>
        <v>0</v>
      </c>
      <c r="J75" s="60"/>
      <c r="K75" s="60"/>
      <c r="L75" s="55"/>
      <c r="M75" s="60"/>
      <c r="N75" s="60"/>
      <c r="O75" s="55"/>
      <c r="P75" s="161"/>
      <c r="Q75" s="160" t="str">
        <f>IF(enrollment_table[[#This Row],[Enrollment Date]]="","",TEXT(enrollment_table[[#This Row],[Enrollment Date]],"mmmm"))</f>
        <v/>
      </c>
      <c r="R75" s="60"/>
    </row>
    <row r="76" spans="1:18" ht="16.2" customHeight="1" x14ac:dyDescent="0.3">
      <c r="A76" s="129"/>
      <c r="B76" s="60"/>
      <c r="C76" s="55"/>
      <c r="D76" s="60"/>
      <c r="E76" s="103">
        <f>_xlfn.XLOOKUP(enrollment_table[[#This Row],[*Subject]], classes_table[*Subject], classes_table[Fee])</f>
        <v>0</v>
      </c>
      <c r="F76" s="58"/>
      <c r="G76" s="60"/>
      <c r="H76" s="55"/>
      <c r="I76" s="176">
        <f>_xlfn.XLOOKUP(enrollment_table[[#This Row],[*Teacher Name]], teachers_table[*Teacher Name], teachers_table[*Teacher ID])</f>
        <v>0</v>
      </c>
      <c r="J76" s="60"/>
      <c r="K76" s="60"/>
      <c r="L76" s="55"/>
      <c r="M76" s="60"/>
      <c r="N76" s="60"/>
      <c r="O76" s="55"/>
      <c r="P76" s="161"/>
      <c r="Q76" s="160" t="str">
        <f>IF(enrollment_table[[#This Row],[Enrollment Date]]="","",TEXT(enrollment_table[[#This Row],[Enrollment Date]],"mmmm"))</f>
        <v/>
      </c>
      <c r="R76" s="60"/>
    </row>
    <row r="77" spans="1:18" ht="16.2" customHeight="1" x14ac:dyDescent="0.3">
      <c r="A77" s="129"/>
      <c r="B77" s="60"/>
      <c r="C77" s="55"/>
      <c r="D77" s="60"/>
      <c r="E77" s="103">
        <f>_xlfn.XLOOKUP(enrollment_table[[#This Row],[*Subject]], classes_table[*Subject], classes_table[Fee])</f>
        <v>0</v>
      </c>
      <c r="F77" s="58"/>
      <c r="G77" s="60"/>
      <c r="H77" s="55"/>
      <c r="I77" s="176">
        <f>_xlfn.XLOOKUP(enrollment_table[[#This Row],[*Teacher Name]], teachers_table[*Teacher Name], teachers_table[*Teacher ID])</f>
        <v>0</v>
      </c>
      <c r="J77" s="60"/>
      <c r="K77" s="60"/>
      <c r="L77" s="55"/>
      <c r="M77" s="60"/>
      <c r="N77" s="60"/>
      <c r="O77" s="55"/>
      <c r="P77" s="161"/>
      <c r="Q77" s="160" t="str">
        <f>IF(enrollment_table[[#This Row],[Enrollment Date]]="","",TEXT(enrollment_table[[#This Row],[Enrollment Date]],"mmmm"))</f>
        <v/>
      </c>
      <c r="R77" s="60"/>
    </row>
    <row r="78" spans="1:18" ht="16.2" customHeight="1" x14ac:dyDescent="0.3">
      <c r="A78" s="129"/>
      <c r="B78" s="60"/>
      <c r="C78" s="55"/>
      <c r="D78" s="60"/>
      <c r="E78" s="103">
        <f>_xlfn.XLOOKUP(enrollment_table[[#This Row],[*Subject]], classes_table[*Subject], classes_table[Fee])</f>
        <v>0</v>
      </c>
      <c r="F78" s="58"/>
      <c r="G78" s="60"/>
      <c r="H78" s="55"/>
      <c r="I78" s="176">
        <f>_xlfn.XLOOKUP(enrollment_table[[#This Row],[*Teacher Name]], teachers_table[*Teacher Name], teachers_table[*Teacher ID])</f>
        <v>0</v>
      </c>
      <c r="J78" s="60"/>
      <c r="K78" s="60"/>
      <c r="L78" s="55"/>
      <c r="M78" s="60"/>
      <c r="N78" s="60"/>
      <c r="O78" s="55"/>
      <c r="P78" s="161"/>
      <c r="Q78" s="160" t="str">
        <f>IF(enrollment_table[[#This Row],[Enrollment Date]]="","",TEXT(enrollment_table[[#This Row],[Enrollment Date]],"mmmm"))</f>
        <v/>
      </c>
      <c r="R78" s="60"/>
    </row>
    <row r="79" spans="1:18" ht="16.2" customHeight="1" x14ac:dyDescent="0.3">
      <c r="A79" s="129"/>
      <c r="B79" s="60"/>
      <c r="C79" s="55"/>
      <c r="D79" s="60"/>
      <c r="E79" s="103">
        <f>_xlfn.XLOOKUP(enrollment_table[[#This Row],[*Subject]], classes_table[*Subject], classes_table[Fee])</f>
        <v>0</v>
      </c>
      <c r="F79" s="58"/>
      <c r="G79" s="60"/>
      <c r="H79" s="55"/>
      <c r="I79" s="176">
        <f>_xlfn.XLOOKUP(enrollment_table[[#This Row],[*Teacher Name]], teachers_table[*Teacher Name], teachers_table[*Teacher ID])</f>
        <v>0</v>
      </c>
      <c r="J79" s="60"/>
      <c r="K79" s="60"/>
      <c r="L79" s="55"/>
      <c r="M79" s="60"/>
      <c r="N79" s="60"/>
      <c r="O79" s="55"/>
      <c r="P79" s="161"/>
      <c r="Q79" s="160" t="str">
        <f>IF(enrollment_table[[#This Row],[Enrollment Date]]="","",TEXT(enrollment_table[[#This Row],[Enrollment Date]],"mmmm"))</f>
        <v/>
      </c>
      <c r="R79" s="60"/>
    </row>
    <row r="80" spans="1:18" ht="16.2" customHeight="1" x14ac:dyDescent="0.3">
      <c r="A80" s="129"/>
      <c r="B80" s="60"/>
      <c r="C80" s="55"/>
      <c r="D80" s="60"/>
      <c r="E80" s="103">
        <f>_xlfn.XLOOKUP(enrollment_table[[#This Row],[*Subject]], classes_table[*Subject], classes_table[Fee])</f>
        <v>0</v>
      </c>
      <c r="F80" s="58"/>
      <c r="G80" s="60"/>
      <c r="H80" s="55"/>
      <c r="I80" s="176">
        <f>_xlfn.XLOOKUP(enrollment_table[[#This Row],[*Teacher Name]], teachers_table[*Teacher Name], teachers_table[*Teacher ID])</f>
        <v>0</v>
      </c>
      <c r="J80" s="60"/>
      <c r="K80" s="60"/>
      <c r="L80" s="55"/>
      <c r="M80" s="60"/>
      <c r="N80" s="60"/>
      <c r="O80" s="55"/>
      <c r="P80" s="161"/>
      <c r="Q80" s="160" t="str">
        <f>IF(enrollment_table[[#This Row],[Enrollment Date]]="","",TEXT(enrollment_table[[#This Row],[Enrollment Date]],"mmmm"))</f>
        <v/>
      </c>
      <c r="R80" s="60"/>
    </row>
    <row r="81" spans="1:18" ht="16.2" customHeight="1" x14ac:dyDescent="0.3">
      <c r="A81" s="129"/>
      <c r="B81" s="60"/>
      <c r="C81" s="55"/>
      <c r="D81" s="60"/>
      <c r="E81" s="103">
        <f>_xlfn.XLOOKUP(enrollment_table[[#This Row],[*Subject]], classes_table[*Subject], classes_table[Fee])</f>
        <v>0</v>
      </c>
      <c r="F81" s="58"/>
      <c r="G81" s="60"/>
      <c r="H81" s="55"/>
      <c r="I81" s="176">
        <f>_xlfn.XLOOKUP(enrollment_table[[#This Row],[*Teacher Name]], teachers_table[*Teacher Name], teachers_table[*Teacher ID])</f>
        <v>0</v>
      </c>
      <c r="J81" s="60"/>
      <c r="K81" s="60"/>
      <c r="L81" s="55"/>
      <c r="M81" s="60"/>
      <c r="N81" s="60"/>
      <c r="O81" s="55"/>
      <c r="P81" s="161"/>
      <c r="Q81" s="160" t="str">
        <f>IF(enrollment_table[[#This Row],[Enrollment Date]]="","",TEXT(enrollment_table[[#This Row],[Enrollment Date]],"mmmm"))</f>
        <v/>
      </c>
      <c r="R81" s="60"/>
    </row>
    <row r="82" spans="1:18" ht="16.2" customHeight="1" x14ac:dyDescent="0.3">
      <c r="A82" s="129"/>
      <c r="B82" s="60"/>
      <c r="C82" s="55"/>
      <c r="D82" s="60"/>
      <c r="E82" s="103">
        <f>_xlfn.XLOOKUP(enrollment_table[[#This Row],[*Subject]], classes_table[*Subject], classes_table[Fee])</f>
        <v>0</v>
      </c>
      <c r="F82" s="58"/>
      <c r="G82" s="60"/>
      <c r="H82" s="55"/>
      <c r="I82" s="176">
        <f>_xlfn.XLOOKUP(enrollment_table[[#This Row],[*Teacher Name]], teachers_table[*Teacher Name], teachers_table[*Teacher ID])</f>
        <v>0</v>
      </c>
      <c r="J82" s="60"/>
      <c r="K82" s="60"/>
      <c r="L82" s="55"/>
      <c r="M82" s="60"/>
      <c r="N82" s="60"/>
      <c r="O82" s="55"/>
      <c r="P82" s="161"/>
      <c r="Q82" s="160" t="str">
        <f>IF(enrollment_table[[#This Row],[Enrollment Date]]="","",TEXT(enrollment_table[[#This Row],[Enrollment Date]],"mmmm"))</f>
        <v/>
      </c>
      <c r="R82" s="60"/>
    </row>
    <row r="83" spans="1:18" ht="16.2" customHeight="1" x14ac:dyDescent="0.3">
      <c r="A83" s="129"/>
      <c r="B83" s="60"/>
      <c r="C83" s="55"/>
      <c r="D83" s="60"/>
      <c r="E83" s="103">
        <f>_xlfn.XLOOKUP(enrollment_table[[#This Row],[*Subject]], classes_table[*Subject], classes_table[Fee])</f>
        <v>0</v>
      </c>
      <c r="F83" s="58"/>
      <c r="G83" s="60"/>
      <c r="H83" s="55"/>
      <c r="I83" s="176">
        <f>_xlfn.XLOOKUP(enrollment_table[[#This Row],[*Teacher Name]], teachers_table[*Teacher Name], teachers_table[*Teacher ID])</f>
        <v>0</v>
      </c>
      <c r="J83" s="60"/>
      <c r="K83" s="60"/>
      <c r="L83" s="55"/>
      <c r="M83" s="60"/>
      <c r="N83" s="60"/>
      <c r="O83" s="55"/>
      <c r="P83" s="161"/>
      <c r="Q83" s="160" t="str">
        <f>IF(enrollment_table[[#This Row],[Enrollment Date]]="","",TEXT(enrollment_table[[#This Row],[Enrollment Date]],"mmmm"))</f>
        <v/>
      </c>
      <c r="R83" s="60"/>
    </row>
    <row r="84" spans="1:18" ht="16.2" customHeight="1" x14ac:dyDescent="0.3">
      <c r="A84" s="129"/>
      <c r="B84" s="60"/>
      <c r="C84" s="55"/>
      <c r="D84" s="60"/>
      <c r="E84" s="103">
        <f>_xlfn.XLOOKUP(enrollment_table[[#This Row],[*Subject]], classes_table[*Subject], classes_table[Fee])</f>
        <v>0</v>
      </c>
      <c r="F84" s="58"/>
      <c r="G84" s="60"/>
      <c r="H84" s="55"/>
      <c r="I84" s="176">
        <f>_xlfn.XLOOKUP(enrollment_table[[#This Row],[*Teacher Name]], teachers_table[*Teacher Name], teachers_table[*Teacher ID])</f>
        <v>0</v>
      </c>
      <c r="J84" s="60"/>
      <c r="K84" s="60"/>
      <c r="L84" s="55"/>
      <c r="M84" s="60"/>
      <c r="N84" s="60"/>
      <c r="O84" s="55"/>
      <c r="P84" s="161"/>
      <c r="Q84" s="160" t="str">
        <f>IF(enrollment_table[[#This Row],[Enrollment Date]]="","",TEXT(enrollment_table[[#This Row],[Enrollment Date]],"mmmm"))</f>
        <v/>
      </c>
      <c r="R84" s="60"/>
    </row>
    <row r="85" spans="1:18" ht="16.2" customHeight="1" x14ac:dyDescent="0.3">
      <c r="A85" s="129"/>
      <c r="B85" s="60"/>
      <c r="C85" s="55"/>
      <c r="D85" s="60"/>
      <c r="E85" s="103">
        <f>_xlfn.XLOOKUP(enrollment_table[[#This Row],[*Subject]], classes_table[*Subject], classes_table[Fee])</f>
        <v>0</v>
      </c>
      <c r="F85" s="58"/>
      <c r="G85" s="60"/>
      <c r="H85" s="55"/>
      <c r="I85" s="176">
        <f>_xlfn.XLOOKUP(enrollment_table[[#This Row],[*Teacher Name]], teachers_table[*Teacher Name], teachers_table[*Teacher ID])</f>
        <v>0</v>
      </c>
      <c r="J85" s="60"/>
      <c r="K85" s="60"/>
      <c r="L85" s="55"/>
      <c r="M85" s="60"/>
      <c r="N85" s="60"/>
      <c r="O85" s="55"/>
      <c r="P85" s="161"/>
      <c r="Q85" s="160" t="str">
        <f>IF(enrollment_table[[#This Row],[Enrollment Date]]="","",TEXT(enrollment_table[[#This Row],[Enrollment Date]],"mmmm"))</f>
        <v/>
      </c>
      <c r="R85" s="60"/>
    </row>
    <row r="86" spans="1:18" ht="16.2" customHeight="1" x14ac:dyDescent="0.3">
      <c r="A86" s="129"/>
      <c r="B86" s="60"/>
      <c r="C86" s="55"/>
      <c r="D86" s="60"/>
      <c r="E86" s="103">
        <f>_xlfn.XLOOKUP(enrollment_table[[#This Row],[*Subject]], classes_table[*Subject], classes_table[Fee])</f>
        <v>0</v>
      </c>
      <c r="F86" s="58"/>
      <c r="G86" s="60"/>
      <c r="H86" s="55"/>
      <c r="I86" s="176">
        <f>_xlfn.XLOOKUP(enrollment_table[[#This Row],[*Teacher Name]], teachers_table[*Teacher Name], teachers_table[*Teacher ID])</f>
        <v>0</v>
      </c>
      <c r="J86" s="60"/>
      <c r="K86" s="60"/>
      <c r="L86" s="55"/>
      <c r="M86" s="60"/>
      <c r="N86" s="60"/>
      <c r="O86" s="55"/>
      <c r="P86" s="161"/>
      <c r="Q86" s="160" t="str">
        <f>IF(enrollment_table[[#This Row],[Enrollment Date]]="","",TEXT(enrollment_table[[#This Row],[Enrollment Date]],"mmmm"))</f>
        <v/>
      </c>
      <c r="R86" s="60"/>
    </row>
    <row r="87" spans="1:18" ht="16.2" customHeight="1" x14ac:dyDescent="0.3">
      <c r="A87" s="129"/>
      <c r="B87" s="60"/>
      <c r="C87" s="55"/>
      <c r="D87" s="60"/>
      <c r="E87" s="103">
        <f>_xlfn.XLOOKUP(enrollment_table[[#This Row],[*Subject]], classes_table[*Subject], classes_table[Fee])</f>
        <v>0</v>
      </c>
      <c r="F87" s="58"/>
      <c r="G87" s="60"/>
      <c r="H87" s="55"/>
      <c r="I87" s="176">
        <f>_xlfn.XLOOKUP(enrollment_table[[#This Row],[*Teacher Name]], teachers_table[*Teacher Name], teachers_table[*Teacher ID])</f>
        <v>0</v>
      </c>
      <c r="J87" s="60"/>
      <c r="K87" s="60"/>
      <c r="L87" s="55"/>
      <c r="M87" s="60"/>
      <c r="N87" s="60"/>
      <c r="O87" s="55"/>
      <c r="P87" s="161"/>
      <c r="Q87" s="160" t="str">
        <f>IF(enrollment_table[[#This Row],[Enrollment Date]]="","",TEXT(enrollment_table[[#This Row],[Enrollment Date]],"mmmm"))</f>
        <v/>
      </c>
      <c r="R87" s="60"/>
    </row>
    <row r="88" spans="1:18" ht="16.2" customHeight="1" x14ac:dyDescent="0.3">
      <c r="A88" s="129"/>
      <c r="B88" s="60"/>
      <c r="C88" s="55"/>
      <c r="D88" s="60"/>
      <c r="E88" s="103">
        <f>_xlfn.XLOOKUP(enrollment_table[[#This Row],[*Subject]], classes_table[*Subject], classes_table[Fee])</f>
        <v>0</v>
      </c>
      <c r="F88" s="58"/>
      <c r="G88" s="60"/>
      <c r="H88" s="55"/>
      <c r="I88" s="176">
        <f>_xlfn.XLOOKUP(enrollment_table[[#This Row],[*Teacher Name]], teachers_table[*Teacher Name], teachers_table[*Teacher ID])</f>
        <v>0</v>
      </c>
      <c r="J88" s="60"/>
      <c r="K88" s="60"/>
      <c r="L88" s="55"/>
      <c r="M88" s="60"/>
      <c r="N88" s="60"/>
      <c r="O88" s="55"/>
      <c r="P88" s="161"/>
      <c r="Q88" s="160" t="str">
        <f>IF(enrollment_table[[#This Row],[Enrollment Date]]="","",TEXT(enrollment_table[[#This Row],[Enrollment Date]],"mmmm"))</f>
        <v/>
      </c>
      <c r="R88" s="60"/>
    </row>
    <row r="89" spans="1:18" ht="16.2" customHeight="1" x14ac:dyDescent="0.3">
      <c r="A89" s="129"/>
      <c r="B89" s="60"/>
      <c r="C89" s="55"/>
      <c r="D89" s="60"/>
      <c r="E89" s="103">
        <f>_xlfn.XLOOKUP(enrollment_table[[#This Row],[*Subject]], classes_table[*Subject], classes_table[Fee])</f>
        <v>0</v>
      </c>
      <c r="F89" s="58"/>
      <c r="G89" s="60"/>
      <c r="H89" s="55"/>
      <c r="I89" s="176">
        <f>_xlfn.XLOOKUP(enrollment_table[[#This Row],[*Teacher Name]], teachers_table[*Teacher Name], teachers_table[*Teacher ID])</f>
        <v>0</v>
      </c>
      <c r="J89" s="60"/>
      <c r="K89" s="60"/>
      <c r="L89" s="55"/>
      <c r="M89" s="60"/>
      <c r="N89" s="60"/>
      <c r="O89" s="55"/>
      <c r="P89" s="161"/>
      <c r="Q89" s="160" t="str">
        <f>IF(enrollment_table[[#This Row],[Enrollment Date]]="","",TEXT(enrollment_table[[#This Row],[Enrollment Date]],"mmmm"))</f>
        <v/>
      </c>
      <c r="R89" s="60"/>
    </row>
    <row r="90" spans="1:18" ht="16.2" customHeight="1" x14ac:dyDescent="0.3">
      <c r="A90" s="129"/>
      <c r="B90" s="60"/>
      <c r="C90" s="55"/>
      <c r="D90" s="60"/>
      <c r="E90" s="103">
        <f>_xlfn.XLOOKUP(enrollment_table[[#This Row],[*Subject]], classes_table[*Subject], classes_table[Fee])</f>
        <v>0</v>
      </c>
      <c r="F90" s="58"/>
      <c r="G90" s="60"/>
      <c r="H90" s="55"/>
      <c r="I90" s="176">
        <f>_xlfn.XLOOKUP(enrollment_table[[#This Row],[*Teacher Name]], teachers_table[*Teacher Name], teachers_table[*Teacher ID])</f>
        <v>0</v>
      </c>
      <c r="J90" s="60"/>
      <c r="K90" s="60"/>
      <c r="L90" s="55"/>
      <c r="M90" s="60"/>
      <c r="N90" s="60"/>
      <c r="O90" s="55"/>
      <c r="P90" s="161"/>
      <c r="Q90" s="160" t="str">
        <f>IF(enrollment_table[[#This Row],[Enrollment Date]]="","",TEXT(enrollment_table[[#This Row],[Enrollment Date]],"mmmm"))</f>
        <v/>
      </c>
      <c r="R90" s="60"/>
    </row>
    <row r="91" spans="1:18" ht="16.2" customHeight="1" x14ac:dyDescent="0.3">
      <c r="A91" s="129"/>
      <c r="B91" s="60"/>
      <c r="C91" s="55"/>
      <c r="D91" s="60"/>
      <c r="E91" s="103">
        <f>_xlfn.XLOOKUP(enrollment_table[[#This Row],[*Subject]], classes_table[*Subject], classes_table[Fee])</f>
        <v>0</v>
      </c>
      <c r="F91" s="58"/>
      <c r="G91" s="60"/>
      <c r="H91" s="55"/>
      <c r="I91" s="176">
        <f>_xlfn.XLOOKUP(enrollment_table[[#This Row],[*Teacher Name]], teachers_table[*Teacher Name], teachers_table[*Teacher ID])</f>
        <v>0</v>
      </c>
      <c r="J91" s="60"/>
      <c r="K91" s="60"/>
      <c r="L91" s="55"/>
      <c r="M91" s="60"/>
      <c r="N91" s="60"/>
      <c r="O91" s="55"/>
      <c r="P91" s="161"/>
      <c r="Q91" s="160" t="str">
        <f>IF(enrollment_table[[#This Row],[Enrollment Date]]="","",TEXT(enrollment_table[[#This Row],[Enrollment Date]],"mmmm"))</f>
        <v/>
      </c>
      <c r="R91" s="60"/>
    </row>
    <row r="92" spans="1:18" ht="16.2" customHeight="1" x14ac:dyDescent="0.3">
      <c r="A92" s="129"/>
      <c r="B92" s="60"/>
      <c r="C92" s="55"/>
      <c r="D92" s="60"/>
      <c r="E92" s="103">
        <f>_xlfn.XLOOKUP(enrollment_table[[#This Row],[*Subject]], classes_table[*Subject], classes_table[Fee])</f>
        <v>0</v>
      </c>
      <c r="F92" s="58"/>
      <c r="G92" s="60"/>
      <c r="H92" s="55"/>
      <c r="I92" s="176">
        <f>_xlfn.XLOOKUP(enrollment_table[[#This Row],[*Teacher Name]], teachers_table[*Teacher Name], teachers_table[*Teacher ID])</f>
        <v>0</v>
      </c>
      <c r="J92" s="60"/>
      <c r="K92" s="60"/>
      <c r="L92" s="55"/>
      <c r="M92" s="60"/>
      <c r="N92" s="60"/>
      <c r="O92" s="55"/>
      <c r="P92" s="161"/>
      <c r="Q92" s="160" t="str">
        <f>IF(enrollment_table[[#This Row],[Enrollment Date]]="","",TEXT(enrollment_table[[#This Row],[Enrollment Date]],"mmmm"))</f>
        <v/>
      </c>
      <c r="R92" s="60"/>
    </row>
    <row r="93" spans="1:18" ht="16.2" customHeight="1" x14ac:dyDescent="0.3">
      <c r="A93" s="129"/>
      <c r="B93" s="60"/>
      <c r="C93" s="55"/>
      <c r="D93" s="60"/>
      <c r="E93" s="103">
        <f>_xlfn.XLOOKUP(enrollment_table[[#This Row],[*Subject]], classes_table[*Subject], classes_table[Fee])</f>
        <v>0</v>
      </c>
      <c r="F93" s="58"/>
      <c r="G93" s="60"/>
      <c r="H93" s="55"/>
      <c r="I93" s="176">
        <f>_xlfn.XLOOKUP(enrollment_table[[#This Row],[*Teacher Name]], teachers_table[*Teacher Name], teachers_table[*Teacher ID])</f>
        <v>0</v>
      </c>
      <c r="J93" s="60"/>
      <c r="K93" s="60"/>
      <c r="L93" s="55"/>
      <c r="M93" s="60"/>
      <c r="N93" s="60"/>
      <c r="O93" s="55"/>
      <c r="P93" s="161"/>
      <c r="Q93" s="160" t="str">
        <f>IF(enrollment_table[[#This Row],[Enrollment Date]]="","",TEXT(enrollment_table[[#This Row],[Enrollment Date]],"mmmm"))</f>
        <v/>
      </c>
      <c r="R93" s="60"/>
    </row>
    <row r="94" spans="1:18" ht="16.2" customHeight="1" x14ac:dyDescent="0.3">
      <c r="A94" s="129"/>
      <c r="B94" s="60"/>
      <c r="C94" s="55"/>
      <c r="D94" s="60"/>
      <c r="E94" s="103">
        <f>_xlfn.XLOOKUP(enrollment_table[[#This Row],[*Subject]], classes_table[*Subject], classes_table[Fee])</f>
        <v>0</v>
      </c>
      <c r="F94" s="58"/>
      <c r="G94" s="60"/>
      <c r="H94" s="55"/>
      <c r="I94" s="176">
        <f>_xlfn.XLOOKUP(enrollment_table[[#This Row],[*Teacher Name]], teachers_table[*Teacher Name], teachers_table[*Teacher ID])</f>
        <v>0</v>
      </c>
      <c r="J94" s="60"/>
      <c r="K94" s="60"/>
      <c r="L94" s="55"/>
      <c r="M94" s="60"/>
      <c r="N94" s="60"/>
      <c r="O94" s="55"/>
      <c r="P94" s="161"/>
      <c r="Q94" s="160" t="str">
        <f>IF(enrollment_table[[#This Row],[Enrollment Date]]="","",TEXT(enrollment_table[[#This Row],[Enrollment Date]],"mmmm"))</f>
        <v/>
      </c>
      <c r="R94" s="60"/>
    </row>
    <row r="95" spans="1:18" ht="16.2" customHeight="1" x14ac:dyDescent="0.3">
      <c r="A95" s="129"/>
      <c r="B95" s="60"/>
      <c r="C95" s="55"/>
      <c r="D95" s="60"/>
      <c r="E95" s="103">
        <f>_xlfn.XLOOKUP(enrollment_table[[#This Row],[*Subject]], classes_table[*Subject], classes_table[Fee])</f>
        <v>0</v>
      </c>
      <c r="F95" s="58"/>
      <c r="G95" s="60"/>
      <c r="H95" s="55"/>
      <c r="I95" s="176">
        <f>_xlfn.XLOOKUP(enrollment_table[[#This Row],[*Teacher Name]], teachers_table[*Teacher Name], teachers_table[*Teacher ID])</f>
        <v>0</v>
      </c>
      <c r="J95" s="60"/>
      <c r="K95" s="60"/>
      <c r="L95" s="55"/>
      <c r="M95" s="60"/>
      <c r="N95" s="60"/>
      <c r="O95" s="55"/>
      <c r="P95" s="161"/>
      <c r="Q95" s="160" t="str">
        <f>IF(enrollment_table[[#This Row],[Enrollment Date]]="","",TEXT(enrollment_table[[#This Row],[Enrollment Date]],"mmmm"))</f>
        <v/>
      </c>
      <c r="R95" s="60"/>
    </row>
    <row r="96" spans="1:18" ht="16.2" customHeight="1" x14ac:dyDescent="0.3">
      <c r="A96" s="129"/>
      <c r="B96" s="60"/>
      <c r="C96" s="55"/>
      <c r="D96" s="60"/>
      <c r="E96" s="103">
        <f>_xlfn.XLOOKUP(enrollment_table[[#This Row],[*Subject]], classes_table[*Subject], classes_table[Fee])</f>
        <v>0</v>
      </c>
      <c r="F96" s="58"/>
      <c r="G96" s="60"/>
      <c r="H96" s="55"/>
      <c r="I96" s="176">
        <f>_xlfn.XLOOKUP(enrollment_table[[#This Row],[*Teacher Name]], teachers_table[*Teacher Name], teachers_table[*Teacher ID])</f>
        <v>0</v>
      </c>
      <c r="J96" s="60"/>
      <c r="K96" s="60"/>
      <c r="L96" s="55"/>
      <c r="M96" s="60"/>
      <c r="N96" s="60"/>
      <c r="O96" s="55"/>
      <c r="P96" s="161"/>
      <c r="Q96" s="160" t="str">
        <f>IF(enrollment_table[[#This Row],[Enrollment Date]]="","",TEXT(enrollment_table[[#This Row],[Enrollment Date]],"mmmm"))</f>
        <v/>
      </c>
      <c r="R96" s="60"/>
    </row>
    <row r="97" spans="1:18" ht="16.2" customHeight="1" x14ac:dyDescent="0.3">
      <c r="A97" s="129"/>
      <c r="B97" s="60"/>
      <c r="C97" s="55"/>
      <c r="D97" s="60"/>
      <c r="E97" s="103">
        <f>_xlfn.XLOOKUP(enrollment_table[[#This Row],[*Subject]], classes_table[*Subject], classes_table[Fee])</f>
        <v>0</v>
      </c>
      <c r="F97" s="58"/>
      <c r="G97" s="60"/>
      <c r="H97" s="55"/>
      <c r="I97" s="176">
        <f>_xlfn.XLOOKUP(enrollment_table[[#This Row],[*Teacher Name]], teachers_table[*Teacher Name], teachers_table[*Teacher ID])</f>
        <v>0</v>
      </c>
      <c r="J97" s="60"/>
      <c r="K97" s="60"/>
      <c r="L97" s="55"/>
      <c r="M97" s="60"/>
      <c r="N97" s="60"/>
      <c r="O97" s="55"/>
      <c r="P97" s="161"/>
      <c r="Q97" s="160" t="str">
        <f>IF(enrollment_table[[#This Row],[Enrollment Date]]="","",TEXT(enrollment_table[[#This Row],[Enrollment Date]],"mmmm"))</f>
        <v/>
      </c>
      <c r="R97" s="60"/>
    </row>
    <row r="98" spans="1:18" ht="16.2" customHeight="1" x14ac:dyDescent="0.3">
      <c r="A98" s="129"/>
      <c r="B98" s="60"/>
      <c r="C98" s="55"/>
      <c r="D98" s="60"/>
      <c r="E98" s="103">
        <f>_xlfn.XLOOKUP(enrollment_table[[#This Row],[*Subject]], classes_table[*Subject], classes_table[Fee])</f>
        <v>0</v>
      </c>
      <c r="F98" s="58"/>
      <c r="G98" s="60"/>
      <c r="H98" s="55"/>
      <c r="I98" s="176">
        <f>_xlfn.XLOOKUP(enrollment_table[[#This Row],[*Teacher Name]], teachers_table[*Teacher Name], teachers_table[*Teacher ID])</f>
        <v>0</v>
      </c>
      <c r="J98" s="60"/>
      <c r="K98" s="60"/>
      <c r="L98" s="55"/>
      <c r="M98" s="60"/>
      <c r="N98" s="60"/>
      <c r="O98" s="55"/>
      <c r="P98" s="161"/>
      <c r="Q98" s="160" t="str">
        <f>IF(enrollment_table[[#This Row],[Enrollment Date]]="","",TEXT(enrollment_table[[#This Row],[Enrollment Date]],"mmmm"))</f>
        <v/>
      </c>
      <c r="R98" s="60"/>
    </row>
    <row r="99" spans="1:18" ht="16.2" customHeight="1" x14ac:dyDescent="0.3">
      <c r="A99" s="129"/>
      <c r="B99" s="60"/>
      <c r="C99" s="55"/>
      <c r="D99" s="60"/>
      <c r="E99" s="103">
        <f>_xlfn.XLOOKUP(enrollment_table[[#This Row],[*Subject]], classes_table[*Subject], classes_table[Fee])</f>
        <v>0</v>
      </c>
      <c r="F99" s="58"/>
      <c r="G99" s="60"/>
      <c r="H99" s="55"/>
      <c r="I99" s="176">
        <f>_xlfn.XLOOKUP(enrollment_table[[#This Row],[*Teacher Name]], teachers_table[*Teacher Name], teachers_table[*Teacher ID])</f>
        <v>0</v>
      </c>
      <c r="J99" s="60"/>
      <c r="K99" s="60"/>
      <c r="L99" s="55"/>
      <c r="M99" s="60"/>
      <c r="N99" s="60"/>
      <c r="O99" s="55"/>
      <c r="P99" s="161"/>
      <c r="Q99" s="160" t="str">
        <f>IF(enrollment_table[[#This Row],[Enrollment Date]]="","",TEXT(enrollment_table[[#This Row],[Enrollment Date]],"mmmm"))</f>
        <v/>
      </c>
      <c r="R99" s="60"/>
    </row>
    <row r="100" spans="1:18" ht="16.2" customHeight="1" x14ac:dyDescent="0.3">
      <c r="A100" s="129"/>
      <c r="B100" s="60"/>
      <c r="C100" s="55"/>
      <c r="D100" s="60"/>
      <c r="E100" s="103">
        <f>_xlfn.XLOOKUP(enrollment_table[[#This Row],[*Subject]], classes_table[*Subject], classes_table[Fee])</f>
        <v>0</v>
      </c>
      <c r="F100" s="58"/>
      <c r="G100" s="60"/>
      <c r="H100" s="55"/>
      <c r="I100" s="176">
        <f>_xlfn.XLOOKUP(enrollment_table[[#This Row],[*Teacher Name]], teachers_table[*Teacher Name], teachers_table[*Teacher ID])</f>
        <v>0</v>
      </c>
      <c r="J100" s="60"/>
      <c r="K100" s="60"/>
      <c r="L100" s="55"/>
      <c r="M100" s="60"/>
      <c r="N100" s="60"/>
      <c r="O100" s="55"/>
      <c r="P100" s="161"/>
      <c r="Q100" s="160" t="str">
        <f>IF(enrollment_table[[#This Row],[Enrollment Date]]="","",TEXT(enrollment_table[[#This Row],[Enrollment Date]],"mmmm"))</f>
        <v/>
      </c>
      <c r="R100" s="60"/>
    </row>
    <row r="101" spans="1:18" ht="16.2" customHeight="1" x14ac:dyDescent="0.3">
      <c r="A101" s="129"/>
      <c r="B101" s="60"/>
      <c r="C101" s="55"/>
      <c r="D101" s="60"/>
      <c r="E101" s="103">
        <f>_xlfn.XLOOKUP(enrollment_table[[#This Row],[*Subject]], classes_table[*Subject], classes_table[Fee])</f>
        <v>0</v>
      </c>
      <c r="F101" s="58"/>
      <c r="G101" s="60"/>
      <c r="H101" s="55"/>
      <c r="I101" s="176">
        <f>_xlfn.XLOOKUP(enrollment_table[[#This Row],[*Teacher Name]], teachers_table[*Teacher Name], teachers_table[*Teacher ID])</f>
        <v>0</v>
      </c>
      <c r="J101" s="60"/>
      <c r="K101" s="60"/>
      <c r="L101" s="55"/>
      <c r="M101" s="60"/>
      <c r="N101" s="60"/>
      <c r="O101" s="55"/>
      <c r="P101" s="161"/>
      <c r="Q101" s="160" t="str">
        <f>IF(enrollment_table[[#This Row],[Enrollment Date]]="","",TEXT(enrollment_table[[#This Row],[Enrollment Date]],"mmmm"))</f>
        <v/>
      </c>
      <c r="R101" s="60"/>
    </row>
    <row r="102" spans="1:18" ht="16.2" customHeight="1" x14ac:dyDescent="0.3">
      <c r="A102" s="129"/>
      <c r="B102" s="60"/>
      <c r="C102" s="55"/>
      <c r="D102" s="60"/>
      <c r="E102" s="103">
        <f>_xlfn.XLOOKUP(enrollment_table[[#This Row],[*Subject]], classes_table[*Subject], classes_table[Fee])</f>
        <v>0</v>
      </c>
      <c r="F102" s="58"/>
      <c r="G102" s="60"/>
      <c r="H102" s="55"/>
      <c r="I102" s="176">
        <f>_xlfn.XLOOKUP(enrollment_table[[#This Row],[*Teacher Name]], teachers_table[*Teacher Name], teachers_table[*Teacher ID])</f>
        <v>0</v>
      </c>
      <c r="J102" s="60"/>
      <c r="K102" s="60"/>
      <c r="L102" s="55"/>
      <c r="M102" s="60"/>
      <c r="N102" s="60"/>
      <c r="O102" s="55"/>
      <c r="P102" s="161"/>
      <c r="Q102" s="160" t="str">
        <f>IF(enrollment_table[[#This Row],[Enrollment Date]]="","",TEXT(enrollment_table[[#This Row],[Enrollment Date]],"mmmm"))</f>
        <v/>
      </c>
      <c r="R102" s="60"/>
    </row>
    <row r="103" spans="1:18" ht="16.2" customHeight="1" x14ac:dyDescent="0.3">
      <c r="A103" s="129"/>
      <c r="B103" s="60"/>
      <c r="C103" s="55"/>
      <c r="D103" s="60"/>
      <c r="E103" s="103">
        <f>_xlfn.XLOOKUP(enrollment_table[[#This Row],[*Subject]], classes_table[*Subject], classes_table[Fee])</f>
        <v>0</v>
      </c>
      <c r="F103" s="58"/>
      <c r="G103" s="60"/>
      <c r="H103" s="55"/>
      <c r="I103" s="176">
        <f>_xlfn.XLOOKUP(enrollment_table[[#This Row],[*Teacher Name]], teachers_table[*Teacher Name], teachers_table[*Teacher ID])</f>
        <v>0</v>
      </c>
      <c r="J103" s="60"/>
      <c r="K103" s="60"/>
      <c r="L103" s="55"/>
      <c r="M103" s="60"/>
      <c r="N103" s="60"/>
      <c r="O103" s="55"/>
      <c r="P103" s="161"/>
      <c r="Q103" s="160" t="str">
        <f>IF(enrollment_table[[#This Row],[Enrollment Date]]="","",TEXT(enrollment_table[[#This Row],[Enrollment Date]],"mmmm"))</f>
        <v/>
      </c>
      <c r="R103" s="60"/>
    </row>
    <row r="104" spans="1:18" ht="16.2" customHeight="1" x14ac:dyDescent="0.3">
      <c r="A104" s="129"/>
      <c r="B104" s="60"/>
      <c r="C104" s="55"/>
      <c r="D104" s="60"/>
      <c r="E104" s="103">
        <f>_xlfn.XLOOKUP(enrollment_table[[#This Row],[*Subject]], classes_table[*Subject], classes_table[Fee])</f>
        <v>0</v>
      </c>
      <c r="F104" s="58"/>
      <c r="G104" s="60"/>
      <c r="H104" s="55"/>
      <c r="I104" s="176">
        <f>_xlfn.XLOOKUP(enrollment_table[[#This Row],[*Teacher Name]], teachers_table[*Teacher Name], teachers_table[*Teacher ID])</f>
        <v>0</v>
      </c>
      <c r="J104" s="60"/>
      <c r="K104" s="60"/>
      <c r="L104" s="55"/>
      <c r="M104" s="60"/>
      <c r="N104" s="60"/>
      <c r="O104" s="55"/>
      <c r="P104" s="161"/>
      <c r="Q104" s="160" t="str">
        <f>IF(enrollment_table[[#This Row],[Enrollment Date]]="","",TEXT(enrollment_table[[#This Row],[Enrollment Date]],"mmmm"))</f>
        <v/>
      </c>
      <c r="R104" s="60"/>
    </row>
    <row r="105" spans="1:18" ht="16.2" customHeight="1" x14ac:dyDescent="0.3">
      <c r="A105" s="129"/>
      <c r="B105" s="60"/>
      <c r="C105" s="55"/>
      <c r="D105" s="60"/>
      <c r="E105" s="103">
        <f>_xlfn.XLOOKUP(enrollment_table[[#This Row],[*Subject]], classes_table[*Subject], classes_table[Fee])</f>
        <v>0</v>
      </c>
      <c r="F105" s="58"/>
      <c r="G105" s="60"/>
      <c r="H105" s="55"/>
      <c r="I105" s="176">
        <f>_xlfn.XLOOKUP(enrollment_table[[#This Row],[*Teacher Name]], teachers_table[*Teacher Name], teachers_table[*Teacher ID])</f>
        <v>0</v>
      </c>
      <c r="J105" s="60"/>
      <c r="K105" s="60"/>
      <c r="L105" s="55"/>
      <c r="M105" s="60"/>
      <c r="N105" s="60"/>
      <c r="O105" s="55"/>
      <c r="P105" s="161"/>
      <c r="Q105" s="160" t="str">
        <f>IF(enrollment_table[[#This Row],[Enrollment Date]]="","",TEXT(enrollment_table[[#This Row],[Enrollment Date]],"mmmm"))</f>
        <v/>
      </c>
      <c r="R105" s="60"/>
    </row>
    <row r="106" spans="1:18" ht="16.2" customHeight="1" x14ac:dyDescent="0.3">
      <c r="A106" s="129"/>
      <c r="B106" s="60"/>
      <c r="C106" s="55"/>
      <c r="D106" s="60"/>
      <c r="E106" s="103">
        <f>_xlfn.XLOOKUP(enrollment_table[[#This Row],[*Subject]], classes_table[*Subject], classes_table[Fee])</f>
        <v>0</v>
      </c>
      <c r="F106" s="58"/>
      <c r="G106" s="60"/>
      <c r="H106" s="55"/>
      <c r="I106" s="176">
        <f>_xlfn.XLOOKUP(enrollment_table[[#This Row],[*Teacher Name]], teachers_table[*Teacher Name], teachers_table[*Teacher ID])</f>
        <v>0</v>
      </c>
      <c r="J106" s="60"/>
      <c r="K106" s="60"/>
      <c r="L106" s="55"/>
      <c r="M106" s="60"/>
      <c r="N106" s="60"/>
      <c r="O106" s="55"/>
      <c r="P106" s="161"/>
      <c r="Q106" s="160" t="str">
        <f>IF(enrollment_table[[#This Row],[Enrollment Date]]="","",TEXT(enrollment_table[[#This Row],[Enrollment Date]],"mmmm"))</f>
        <v/>
      </c>
      <c r="R106" s="60"/>
    </row>
    <row r="107" spans="1:18" ht="16.2" customHeight="1" x14ac:dyDescent="0.3">
      <c r="A107" s="129"/>
      <c r="B107" s="60"/>
      <c r="C107" s="55"/>
      <c r="D107" s="60"/>
      <c r="E107" s="103">
        <f>_xlfn.XLOOKUP(enrollment_table[[#This Row],[*Subject]], classes_table[*Subject], classes_table[Fee])</f>
        <v>0</v>
      </c>
      <c r="F107" s="58"/>
      <c r="G107" s="60"/>
      <c r="H107" s="55"/>
      <c r="I107" s="176">
        <f>_xlfn.XLOOKUP(enrollment_table[[#This Row],[*Teacher Name]], teachers_table[*Teacher Name], teachers_table[*Teacher ID])</f>
        <v>0</v>
      </c>
      <c r="J107" s="60"/>
      <c r="K107" s="60"/>
      <c r="L107" s="55"/>
      <c r="M107" s="60"/>
      <c r="N107" s="60"/>
      <c r="O107" s="55"/>
      <c r="P107" s="161"/>
      <c r="Q107" s="160" t="str">
        <f>IF(enrollment_table[[#This Row],[Enrollment Date]]="","",TEXT(enrollment_table[[#This Row],[Enrollment Date]],"mmmm"))</f>
        <v/>
      </c>
      <c r="R107" s="60"/>
    </row>
    <row r="108" spans="1:18" ht="16.2" customHeight="1" x14ac:dyDescent="0.3">
      <c r="A108" s="129"/>
      <c r="B108" s="60"/>
      <c r="C108" s="55"/>
      <c r="D108" s="60"/>
      <c r="E108" s="103">
        <f>_xlfn.XLOOKUP(enrollment_table[[#This Row],[*Subject]], classes_table[*Subject], classes_table[Fee])</f>
        <v>0</v>
      </c>
      <c r="F108" s="58"/>
      <c r="G108" s="60"/>
      <c r="H108" s="55"/>
      <c r="I108" s="176">
        <f>_xlfn.XLOOKUP(enrollment_table[[#This Row],[*Teacher Name]], teachers_table[*Teacher Name], teachers_table[*Teacher ID])</f>
        <v>0</v>
      </c>
      <c r="J108" s="60"/>
      <c r="K108" s="60"/>
      <c r="L108" s="55"/>
      <c r="M108" s="60"/>
      <c r="N108" s="60"/>
      <c r="O108" s="55"/>
      <c r="P108" s="161"/>
      <c r="Q108" s="160" t="str">
        <f>IF(enrollment_table[[#This Row],[Enrollment Date]]="","",TEXT(enrollment_table[[#This Row],[Enrollment Date]],"mmmm"))</f>
        <v/>
      </c>
      <c r="R108" s="60"/>
    </row>
    <row r="109" spans="1:18" ht="16.2" customHeight="1" x14ac:dyDescent="0.3">
      <c r="A109" s="129"/>
      <c r="B109" s="60"/>
      <c r="C109" s="55"/>
      <c r="D109" s="60"/>
      <c r="E109" s="103">
        <f>_xlfn.XLOOKUP(enrollment_table[[#This Row],[*Subject]], classes_table[*Subject], classes_table[Fee])</f>
        <v>0</v>
      </c>
      <c r="F109" s="58"/>
      <c r="G109" s="60"/>
      <c r="H109" s="55"/>
      <c r="I109" s="176">
        <f>_xlfn.XLOOKUP(enrollment_table[[#This Row],[*Teacher Name]], teachers_table[*Teacher Name], teachers_table[*Teacher ID])</f>
        <v>0</v>
      </c>
      <c r="J109" s="60"/>
      <c r="K109" s="60"/>
      <c r="L109" s="55"/>
      <c r="M109" s="60"/>
      <c r="N109" s="60"/>
      <c r="O109" s="55"/>
      <c r="P109" s="161"/>
      <c r="Q109" s="160" t="str">
        <f>IF(enrollment_table[[#This Row],[Enrollment Date]]="","",TEXT(enrollment_table[[#This Row],[Enrollment Date]],"mmmm"))</f>
        <v/>
      </c>
      <c r="R109" s="60"/>
    </row>
    <row r="110" spans="1:18" ht="16.2" customHeight="1" x14ac:dyDescent="0.3">
      <c r="A110" s="129"/>
      <c r="B110" s="60"/>
      <c r="C110" s="55"/>
      <c r="D110" s="60"/>
      <c r="E110" s="103">
        <f>_xlfn.XLOOKUP(enrollment_table[[#This Row],[*Subject]], classes_table[*Subject], classes_table[Fee])</f>
        <v>0</v>
      </c>
      <c r="F110" s="58"/>
      <c r="G110" s="60"/>
      <c r="H110" s="55"/>
      <c r="I110" s="176">
        <f>_xlfn.XLOOKUP(enrollment_table[[#This Row],[*Teacher Name]], teachers_table[*Teacher Name], teachers_table[*Teacher ID])</f>
        <v>0</v>
      </c>
      <c r="J110" s="60"/>
      <c r="K110" s="60"/>
      <c r="L110" s="55"/>
      <c r="M110" s="60"/>
      <c r="N110" s="60"/>
      <c r="O110" s="55"/>
      <c r="P110" s="161"/>
      <c r="Q110" s="160" t="str">
        <f>IF(enrollment_table[[#This Row],[Enrollment Date]]="","",TEXT(enrollment_table[[#This Row],[Enrollment Date]],"mmmm"))</f>
        <v/>
      </c>
      <c r="R110" s="60"/>
    </row>
    <row r="111" spans="1:18" ht="16.2" customHeight="1" x14ac:dyDescent="0.3">
      <c r="A111" s="129"/>
      <c r="B111" s="60"/>
      <c r="C111" s="55"/>
      <c r="D111" s="60"/>
      <c r="E111" s="103">
        <f>_xlfn.XLOOKUP(enrollment_table[[#This Row],[*Subject]], classes_table[*Subject], classes_table[Fee])</f>
        <v>0</v>
      </c>
      <c r="F111" s="58"/>
      <c r="G111" s="60"/>
      <c r="H111" s="55"/>
      <c r="I111" s="176">
        <f>_xlfn.XLOOKUP(enrollment_table[[#This Row],[*Teacher Name]], teachers_table[*Teacher Name], teachers_table[*Teacher ID])</f>
        <v>0</v>
      </c>
      <c r="J111" s="60"/>
      <c r="K111" s="60"/>
      <c r="L111" s="55"/>
      <c r="M111" s="60"/>
      <c r="N111" s="60"/>
      <c r="O111" s="55"/>
      <c r="P111" s="161"/>
      <c r="Q111" s="160" t="str">
        <f>IF(enrollment_table[[#This Row],[Enrollment Date]]="","",TEXT(enrollment_table[[#This Row],[Enrollment Date]],"mmmm"))</f>
        <v/>
      </c>
      <c r="R111" s="60"/>
    </row>
    <row r="112" spans="1:18" ht="16.2" customHeight="1" x14ac:dyDescent="0.3">
      <c r="A112" s="129"/>
      <c r="B112" s="60"/>
      <c r="C112" s="55"/>
      <c r="D112" s="60"/>
      <c r="E112" s="103">
        <f>_xlfn.XLOOKUP(enrollment_table[[#This Row],[*Subject]], classes_table[*Subject], classes_table[Fee])</f>
        <v>0</v>
      </c>
      <c r="F112" s="58"/>
      <c r="G112" s="60"/>
      <c r="H112" s="55"/>
      <c r="I112" s="176">
        <f>_xlfn.XLOOKUP(enrollment_table[[#This Row],[*Teacher Name]], teachers_table[*Teacher Name], teachers_table[*Teacher ID])</f>
        <v>0</v>
      </c>
      <c r="J112" s="60"/>
      <c r="K112" s="60"/>
      <c r="L112" s="55"/>
      <c r="M112" s="60"/>
      <c r="N112" s="60"/>
      <c r="O112" s="55"/>
      <c r="P112" s="161"/>
      <c r="Q112" s="160" t="str">
        <f>IF(enrollment_table[[#This Row],[Enrollment Date]]="","",TEXT(enrollment_table[[#This Row],[Enrollment Date]],"mmmm"))</f>
        <v/>
      </c>
      <c r="R112" s="60"/>
    </row>
    <row r="113" spans="1:18" ht="16.2" customHeight="1" x14ac:dyDescent="0.3">
      <c r="A113" s="129"/>
      <c r="B113" s="60"/>
      <c r="C113" s="55"/>
      <c r="D113" s="60"/>
      <c r="E113" s="103">
        <f>_xlfn.XLOOKUP(enrollment_table[[#This Row],[*Subject]], classes_table[*Subject], classes_table[Fee])</f>
        <v>0</v>
      </c>
      <c r="F113" s="58"/>
      <c r="G113" s="60"/>
      <c r="H113" s="55"/>
      <c r="I113" s="176">
        <f>_xlfn.XLOOKUP(enrollment_table[[#This Row],[*Teacher Name]], teachers_table[*Teacher Name], teachers_table[*Teacher ID])</f>
        <v>0</v>
      </c>
      <c r="J113" s="60"/>
      <c r="K113" s="60"/>
      <c r="L113" s="55"/>
      <c r="M113" s="60"/>
      <c r="N113" s="60"/>
      <c r="O113" s="55"/>
      <c r="P113" s="161"/>
      <c r="Q113" s="160" t="str">
        <f>IF(enrollment_table[[#This Row],[Enrollment Date]]="","",TEXT(enrollment_table[[#This Row],[Enrollment Date]],"mmmm"))</f>
        <v/>
      </c>
      <c r="R113" s="60"/>
    </row>
    <row r="114" spans="1:18" ht="16.2" customHeight="1" x14ac:dyDescent="0.3">
      <c r="A114" s="129"/>
      <c r="B114" s="60"/>
      <c r="C114" s="55"/>
      <c r="D114" s="60"/>
      <c r="E114" s="103">
        <f>_xlfn.XLOOKUP(enrollment_table[[#This Row],[*Subject]], classes_table[*Subject], classes_table[Fee])</f>
        <v>0</v>
      </c>
      <c r="F114" s="58"/>
      <c r="G114" s="60"/>
      <c r="H114" s="55"/>
      <c r="I114" s="176">
        <f>_xlfn.XLOOKUP(enrollment_table[[#This Row],[*Teacher Name]], teachers_table[*Teacher Name], teachers_table[*Teacher ID])</f>
        <v>0</v>
      </c>
      <c r="J114" s="60"/>
      <c r="K114" s="60"/>
      <c r="L114" s="55"/>
      <c r="M114" s="60"/>
      <c r="N114" s="60"/>
      <c r="O114" s="55"/>
      <c r="P114" s="161"/>
      <c r="Q114" s="160" t="str">
        <f>IF(enrollment_table[[#This Row],[Enrollment Date]]="","",TEXT(enrollment_table[[#This Row],[Enrollment Date]],"mmmm"))</f>
        <v/>
      </c>
      <c r="R114" s="60"/>
    </row>
    <row r="115" spans="1:18" ht="16.2" customHeight="1" x14ac:dyDescent="0.3">
      <c r="A115" s="129"/>
      <c r="B115" s="60"/>
      <c r="C115" s="55"/>
      <c r="D115" s="60"/>
      <c r="E115" s="103">
        <f>_xlfn.XLOOKUP(enrollment_table[[#This Row],[*Subject]], classes_table[*Subject], classes_table[Fee])</f>
        <v>0</v>
      </c>
      <c r="F115" s="58"/>
      <c r="G115" s="60"/>
      <c r="H115" s="55"/>
      <c r="I115" s="176">
        <f>_xlfn.XLOOKUP(enrollment_table[[#This Row],[*Teacher Name]], teachers_table[*Teacher Name], teachers_table[*Teacher ID])</f>
        <v>0</v>
      </c>
      <c r="J115" s="60"/>
      <c r="K115" s="60"/>
      <c r="L115" s="55"/>
      <c r="M115" s="60"/>
      <c r="N115" s="60"/>
      <c r="O115" s="55"/>
      <c r="P115" s="161"/>
      <c r="Q115" s="160" t="str">
        <f>IF(enrollment_table[[#This Row],[Enrollment Date]]="","",TEXT(enrollment_table[[#This Row],[Enrollment Date]],"mmmm"))</f>
        <v/>
      </c>
      <c r="R115" s="60"/>
    </row>
    <row r="116" spans="1:18" ht="16.2" customHeight="1" x14ac:dyDescent="0.3">
      <c r="A116" s="129"/>
      <c r="B116" s="60"/>
      <c r="C116" s="55"/>
      <c r="D116" s="60"/>
      <c r="E116" s="103">
        <f>_xlfn.XLOOKUP(enrollment_table[[#This Row],[*Subject]], classes_table[*Subject], classes_table[Fee])</f>
        <v>0</v>
      </c>
      <c r="F116" s="58"/>
      <c r="G116" s="60"/>
      <c r="H116" s="55"/>
      <c r="I116" s="176">
        <f>_xlfn.XLOOKUP(enrollment_table[[#This Row],[*Teacher Name]], teachers_table[*Teacher Name], teachers_table[*Teacher ID])</f>
        <v>0</v>
      </c>
      <c r="J116" s="60"/>
      <c r="K116" s="60"/>
      <c r="L116" s="55"/>
      <c r="M116" s="60"/>
      <c r="N116" s="60"/>
      <c r="O116" s="55"/>
      <c r="P116" s="161"/>
      <c r="Q116" s="160" t="str">
        <f>IF(enrollment_table[[#This Row],[Enrollment Date]]="","",TEXT(enrollment_table[[#This Row],[Enrollment Date]],"mmmm"))</f>
        <v/>
      </c>
      <c r="R116" s="60"/>
    </row>
    <row r="117" spans="1:18" ht="16.2" customHeight="1" x14ac:dyDescent="0.3">
      <c r="A117" s="129"/>
      <c r="B117" s="60"/>
      <c r="C117" s="55"/>
      <c r="D117" s="60"/>
      <c r="E117" s="103">
        <f>_xlfn.XLOOKUP(enrollment_table[[#This Row],[*Subject]], classes_table[*Subject], classes_table[Fee])</f>
        <v>0</v>
      </c>
      <c r="F117" s="58"/>
      <c r="G117" s="60"/>
      <c r="H117" s="55"/>
      <c r="I117" s="176">
        <f>_xlfn.XLOOKUP(enrollment_table[[#This Row],[*Teacher Name]], teachers_table[*Teacher Name], teachers_table[*Teacher ID])</f>
        <v>0</v>
      </c>
      <c r="J117" s="60"/>
      <c r="K117" s="60"/>
      <c r="L117" s="55"/>
      <c r="M117" s="60"/>
      <c r="N117" s="60"/>
      <c r="O117" s="55"/>
      <c r="P117" s="161"/>
      <c r="Q117" s="160" t="str">
        <f>IF(enrollment_table[[#This Row],[Enrollment Date]]="","",TEXT(enrollment_table[[#This Row],[Enrollment Date]],"mmmm"))</f>
        <v/>
      </c>
      <c r="R117" s="60"/>
    </row>
    <row r="118" spans="1:18" ht="16.2" customHeight="1" x14ac:dyDescent="0.3">
      <c r="A118" s="129"/>
      <c r="B118" s="60"/>
      <c r="C118" s="55"/>
      <c r="D118" s="60"/>
      <c r="E118" s="103">
        <f>_xlfn.XLOOKUP(enrollment_table[[#This Row],[*Subject]], classes_table[*Subject], classes_table[Fee])</f>
        <v>0</v>
      </c>
      <c r="F118" s="58"/>
      <c r="G118" s="60"/>
      <c r="H118" s="55"/>
      <c r="I118" s="176">
        <f>_xlfn.XLOOKUP(enrollment_table[[#This Row],[*Teacher Name]], teachers_table[*Teacher Name], teachers_table[*Teacher ID])</f>
        <v>0</v>
      </c>
      <c r="J118" s="60"/>
      <c r="K118" s="60"/>
      <c r="L118" s="55"/>
      <c r="M118" s="60"/>
      <c r="N118" s="60"/>
      <c r="O118" s="55"/>
      <c r="P118" s="161"/>
      <c r="Q118" s="160" t="str">
        <f>IF(enrollment_table[[#This Row],[Enrollment Date]]="","",TEXT(enrollment_table[[#This Row],[Enrollment Date]],"mmmm"))</f>
        <v/>
      </c>
      <c r="R118" s="60"/>
    </row>
    <row r="119" spans="1:18" ht="16.2" customHeight="1" x14ac:dyDescent="0.3">
      <c r="A119" s="129"/>
      <c r="B119" s="60"/>
      <c r="C119" s="55"/>
      <c r="D119" s="60"/>
      <c r="E119" s="103">
        <f>_xlfn.XLOOKUP(enrollment_table[[#This Row],[*Subject]], classes_table[*Subject], classes_table[Fee])</f>
        <v>0</v>
      </c>
      <c r="F119" s="58"/>
      <c r="G119" s="60"/>
      <c r="H119" s="55"/>
      <c r="I119" s="176">
        <f>_xlfn.XLOOKUP(enrollment_table[[#This Row],[*Teacher Name]], teachers_table[*Teacher Name], teachers_table[*Teacher ID])</f>
        <v>0</v>
      </c>
      <c r="J119" s="60"/>
      <c r="K119" s="60"/>
      <c r="L119" s="55"/>
      <c r="M119" s="60"/>
      <c r="N119" s="60"/>
      <c r="O119" s="55"/>
      <c r="P119" s="161"/>
      <c r="Q119" s="160" t="str">
        <f>IF(enrollment_table[[#This Row],[Enrollment Date]]="","",TEXT(enrollment_table[[#This Row],[Enrollment Date]],"mmmm"))</f>
        <v/>
      </c>
      <c r="R119" s="60"/>
    </row>
    <row r="120" spans="1:18" ht="16.2" customHeight="1" x14ac:dyDescent="0.3">
      <c r="A120" s="129"/>
      <c r="B120" s="60"/>
      <c r="C120" s="55"/>
      <c r="D120" s="60"/>
      <c r="E120" s="103">
        <f>_xlfn.XLOOKUP(enrollment_table[[#This Row],[*Subject]], classes_table[*Subject], classes_table[Fee])</f>
        <v>0</v>
      </c>
      <c r="F120" s="58"/>
      <c r="G120" s="60"/>
      <c r="H120" s="55"/>
      <c r="I120" s="176">
        <f>_xlfn.XLOOKUP(enrollment_table[[#This Row],[*Teacher Name]], teachers_table[*Teacher Name], teachers_table[*Teacher ID])</f>
        <v>0</v>
      </c>
      <c r="J120" s="60"/>
      <c r="K120" s="60"/>
      <c r="L120" s="55"/>
      <c r="M120" s="60"/>
      <c r="N120" s="60"/>
      <c r="O120" s="55"/>
      <c r="P120" s="161"/>
      <c r="Q120" s="160" t="str">
        <f>IF(enrollment_table[[#This Row],[Enrollment Date]]="","",TEXT(enrollment_table[[#This Row],[Enrollment Date]],"mmmm"))</f>
        <v/>
      </c>
      <c r="R120" s="60"/>
    </row>
    <row r="121" spans="1:18" ht="16.2" customHeight="1" x14ac:dyDescent="0.3">
      <c r="A121" s="129"/>
      <c r="B121" s="60"/>
      <c r="C121" s="55"/>
      <c r="D121" s="60"/>
      <c r="E121" s="103">
        <f>_xlfn.XLOOKUP(enrollment_table[[#This Row],[*Subject]], classes_table[*Subject], classes_table[Fee])</f>
        <v>0</v>
      </c>
      <c r="F121" s="58"/>
      <c r="G121" s="60"/>
      <c r="H121" s="55"/>
      <c r="I121" s="176">
        <f>_xlfn.XLOOKUP(enrollment_table[[#This Row],[*Teacher Name]], teachers_table[*Teacher Name], teachers_table[*Teacher ID])</f>
        <v>0</v>
      </c>
      <c r="J121" s="60"/>
      <c r="K121" s="60"/>
      <c r="L121" s="55"/>
      <c r="M121" s="60"/>
      <c r="N121" s="60"/>
      <c r="O121" s="55"/>
      <c r="P121" s="161"/>
      <c r="Q121" s="160" t="str">
        <f>IF(enrollment_table[[#This Row],[Enrollment Date]]="","",TEXT(enrollment_table[[#This Row],[Enrollment Date]],"mmmm"))</f>
        <v/>
      </c>
      <c r="R121" s="60"/>
    </row>
    <row r="122" spans="1:18" ht="16.2" customHeight="1" x14ac:dyDescent="0.3">
      <c r="A122" s="129"/>
      <c r="B122" s="60"/>
      <c r="C122" s="55"/>
      <c r="D122" s="60"/>
      <c r="E122" s="103">
        <f>_xlfn.XLOOKUP(enrollment_table[[#This Row],[*Subject]], classes_table[*Subject], classes_table[Fee])</f>
        <v>0</v>
      </c>
      <c r="F122" s="58"/>
      <c r="G122" s="60"/>
      <c r="H122" s="55"/>
      <c r="I122" s="176">
        <f>_xlfn.XLOOKUP(enrollment_table[[#This Row],[*Teacher Name]], teachers_table[*Teacher Name], teachers_table[*Teacher ID])</f>
        <v>0</v>
      </c>
      <c r="J122" s="60"/>
      <c r="K122" s="60"/>
      <c r="L122" s="55"/>
      <c r="M122" s="60"/>
      <c r="N122" s="60"/>
      <c r="O122" s="55"/>
      <c r="P122" s="161"/>
      <c r="Q122" s="160" t="str">
        <f>IF(enrollment_table[[#This Row],[Enrollment Date]]="","",TEXT(enrollment_table[[#This Row],[Enrollment Date]],"mmmm"))</f>
        <v/>
      </c>
      <c r="R122" s="60"/>
    </row>
    <row r="123" spans="1:18" ht="16.2" customHeight="1" x14ac:dyDescent="0.3">
      <c r="A123" s="129"/>
      <c r="B123" s="60"/>
      <c r="C123" s="55"/>
      <c r="D123" s="60"/>
      <c r="E123" s="103">
        <f>_xlfn.XLOOKUP(enrollment_table[[#This Row],[*Subject]], classes_table[*Subject], classes_table[Fee])</f>
        <v>0</v>
      </c>
      <c r="F123" s="58"/>
      <c r="G123" s="60"/>
      <c r="H123" s="55"/>
      <c r="I123" s="176">
        <f>_xlfn.XLOOKUP(enrollment_table[[#This Row],[*Teacher Name]], teachers_table[*Teacher Name], teachers_table[*Teacher ID])</f>
        <v>0</v>
      </c>
      <c r="J123" s="60"/>
      <c r="K123" s="60"/>
      <c r="L123" s="55"/>
      <c r="M123" s="60"/>
      <c r="N123" s="60"/>
      <c r="O123" s="55"/>
      <c r="P123" s="161"/>
      <c r="Q123" s="160" t="str">
        <f>IF(enrollment_table[[#This Row],[Enrollment Date]]="","",TEXT(enrollment_table[[#This Row],[Enrollment Date]],"mmmm"))</f>
        <v/>
      </c>
      <c r="R123" s="60"/>
    </row>
    <row r="124" spans="1:18" ht="16.2" customHeight="1" x14ac:dyDescent="0.3">
      <c r="A124" s="129"/>
      <c r="B124" s="60"/>
      <c r="C124" s="55"/>
      <c r="D124" s="60"/>
      <c r="E124" s="103">
        <f>_xlfn.XLOOKUP(enrollment_table[[#This Row],[*Subject]], classes_table[*Subject], classes_table[Fee])</f>
        <v>0</v>
      </c>
      <c r="F124" s="58"/>
      <c r="G124" s="60"/>
      <c r="H124" s="55"/>
      <c r="I124" s="176">
        <f>_xlfn.XLOOKUP(enrollment_table[[#This Row],[*Teacher Name]], teachers_table[*Teacher Name], teachers_table[*Teacher ID])</f>
        <v>0</v>
      </c>
      <c r="J124" s="60"/>
      <c r="K124" s="60"/>
      <c r="L124" s="55"/>
      <c r="M124" s="60"/>
      <c r="N124" s="60"/>
      <c r="O124" s="55"/>
      <c r="P124" s="161"/>
      <c r="Q124" s="160" t="str">
        <f>IF(enrollment_table[[#This Row],[Enrollment Date]]="","",TEXT(enrollment_table[[#This Row],[Enrollment Date]],"mmmm"))</f>
        <v/>
      </c>
      <c r="R124" s="60"/>
    </row>
    <row r="125" spans="1:18" ht="16.2" customHeight="1" x14ac:dyDescent="0.3">
      <c r="A125" s="129"/>
      <c r="B125" s="60"/>
      <c r="C125" s="55"/>
      <c r="D125" s="60"/>
      <c r="E125" s="103">
        <f>_xlfn.XLOOKUP(enrollment_table[[#This Row],[*Subject]], classes_table[*Subject], classes_table[Fee])</f>
        <v>0</v>
      </c>
      <c r="F125" s="58"/>
      <c r="G125" s="60"/>
      <c r="H125" s="55"/>
      <c r="I125" s="176">
        <f>_xlfn.XLOOKUP(enrollment_table[[#This Row],[*Teacher Name]], teachers_table[*Teacher Name], teachers_table[*Teacher ID])</f>
        <v>0</v>
      </c>
      <c r="J125" s="60"/>
      <c r="K125" s="60"/>
      <c r="L125" s="55"/>
      <c r="M125" s="60"/>
      <c r="N125" s="60"/>
      <c r="O125" s="55"/>
      <c r="P125" s="161"/>
      <c r="Q125" s="160" t="str">
        <f>IF(enrollment_table[[#This Row],[Enrollment Date]]="","",TEXT(enrollment_table[[#This Row],[Enrollment Date]],"mmmm"))</f>
        <v/>
      </c>
      <c r="R125" s="60"/>
    </row>
    <row r="126" spans="1:18" ht="16.2" customHeight="1" x14ac:dyDescent="0.3">
      <c r="A126" s="129"/>
      <c r="B126" s="60"/>
      <c r="C126" s="55"/>
      <c r="D126" s="60"/>
      <c r="E126" s="103">
        <f>_xlfn.XLOOKUP(enrollment_table[[#This Row],[*Subject]], classes_table[*Subject], classes_table[Fee])</f>
        <v>0</v>
      </c>
      <c r="F126" s="58"/>
      <c r="G126" s="60"/>
      <c r="H126" s="55"/>
      <c r="I126" s="176">
        <f>_xlfn.XLOOKUP(enrollment_table[[#This Row],[*Teacher Name]], teachers_table[*Teacher Name], teachers_table[*Teacher ID])</f>
        <v>0</v>
      </c>
      <c r="J126" s="60"/>
      <c r="K126" s="60"/>
      <c r="L126" s="55"/>
      <c r="M126" s="60"/>
      <c r="N126" s="60"/>
      <c r="O126" s="55"/>
      <c r="P126" s="161"/>
      <c r="Q126" s="160" t="str">
        <f>IF(enrollment_table[[#This Row],[Enrollment Date]]="","",TEXT(enrollment_table[[#This Row],[Enrollment Date]],"mmmm"))</f>
        <v/>
      </c>
      <c r="R126" s="60"/>
    </row>
    <row r="127" spans="1:18" ht="16.2" customHeight="1" x14ac:dyDescent="0.3">
      <c r="A127" s="129"/>
      <c r="B127" s="60"/>
      <c r="C127" s="55"/>
      <c r="D127" s="60"/>
      <c r="E127" s="103">
        <f>_xlfn.XLOOKUP(enrollment_table[[#This Row],[*Subject]], classes_table[*Subject], classes_table[Fee])</f>
        <v>0</v>
      </c>
      <c r="F127" s="58"/>
      <c r="G127" s="60"/>
      <c r="H127" s="55"/>
      <c r="I127" s="176">
        <f>_xlfn.XLOOKUP(enrollment_table[[#This Row],[*Teacher Name]], teachers_table[*Teacher Name], teachers_table[*Teacher ID])</f>
        <v>0</v>
      </c>
      <c r="J127" s="60"/>
      <c r="K127" s="60"/>
      <c r="L127" s="55"/>
      <c r="M127" s="60"/>
      <c r="N127" s="60"/>
      <c r="O127" s="55"/>
      <c r="P127" s="161"/>
      <c r="Q127" s="160" t="str">
        <f>IF(enrollment_table[[#This Row],[Enrollment Date]]="","",TEXT(enrollment_table[[#This Row],[Enrollment Date]],"mmmm"))</f>
        <v/>
      </c>
      <c r="R127" s="60"/>
    </row>
    <row r="128" spans="1:18" ht="16.2" customHeight="1" x14ac:dyDescent="0.3">
      <c r="A128" s="129"/>
      <c r="B128" s="60"/>
      <c r="C128" s="55"/>
      <c r="D128" s="60"/>
      <c r="E128" s="103">
        <f>_xlfn.XLOOKUP(enrollment_table[[#This Row],[*Subject]], classes_table[*Subject], classes_table[Fee])</f>
        <v>0</v>
      </c>
      <c r="F128" s="58"/>
      <c r="G128" s="60"/>
      <c r="H128" s="55"/>
      <c r="I128" s="176">
        <f>_xlfn.XLOOKUP(enrollment_table[[#This Row],[*Teacher Name]], teachers_table[*Teacher Name], teachers_table[*Teacher ID])</f>
        <v>0</v>
      </c>
      <c r="J128" s="60"/>
      <c r="K128" s="60"/>
      <c r="L128" s="55"/>
      <c r="M128" s="60"/>
      <c r="N128" s="60"/>
      <c r="O128" s="55"/>
      <c r="P128" s="161"/>
      <c r="Q128" s="160" t="str">
        <f>IF(enrollment_table[[#This Row],[Enrollment Date]]="","",TEXT(enrollment_table[[#This Row],[Enrollment Date]],"mmmm"))</f>
        <v/>
      </c>
      <c r="R128" s="60"/>
    </row>
    <row r="129" spans="1:18" ht="16.2" customHeight="1" x14ac:dyDescent="0.3">
      <c r="A129" s="129"/>
      <c r="B129" s="60"/>
      <c r="C129" s="55"/>
      <c r="D129" s="60"/>
      <c r="E129" s="103">
        <f>_xlfn.XLOOKUP(enrollment_table[[#This Row],[*Subject]], classes_table[*Subject], classes_table[Fee])</f>
        <v>0</v>
      </c>
      <c r="F129" s="58"/>
      <c r="G129" s="60"/>
      <c r="H129" s="55"/>
      <c r="I129" s="176">
        <f>_xlfn.XLOOKUP(enrollment_table[[#This Row],[*Teacher Name]], teachers_table[*Teacher Name], teachers_table[*Teacher ID])</f>
        <v>0</v>
      </c>
      <c r="J129" s="60"/>
      <c r="K129" s="60"/>
      <c r="L129" s="55"/>
      <c r="M129" s="60"/>
      <c r="N129" s="60"/>
      <c r="O129" s="55"/>
      <c r="P129" s="161"/>
      <c r="Q129" s="160" t="str">
        <f>IF(enrollment_table[[#This Row],[Enrollment Date]]="","",TEXT(enrollment_table[[#This Row],[Enrollment Date]],"mmmm"))</f>
        <v/>
      </c>
      <c r="R129" s="60"/>
    </row>
    <row r="130" spans="1:18" ht="16.2" customHeight="1" x14ac:dyDescent="0.3">
      <c r="A130" s="129"/>
      <c r="B130" s="60"/>
      <c r="C130" s="55"/>
      <c r="D130" s="60"/>
      <c r="E130" s="103">
        <f>_xlfn.XLOOKUP(enrollment_table[[#This Row],[*Subject]], classes_table[*Subject], classes_table[Fee])</f>
        <v>0</v>
      </c>
      <c r="F130" s="58"/>
      <c r="G130" s="60"/>
      <c r="H130" s="55"/>
      <c r="I130" s="176">
        <f>_xlfn.XLOOKUP(enrollment_table[[#This Row],[*Teacher Name]], teachers_table[*Teacher Name], teachers_table[*Teacher ID])</f>
        <v>0</v>
      </c>
      <c r="J130" s="60"/>
      <c r="K130" s="60"/>
      <c r="L130" s="55"/>
      <c r="M130" s="60"/>
      <c r="N130" s="60"/>
      <c r="O130" s="55"/>
      <c r="P130" s="161"/>
      <c r="Q130" s="160" t="str">
        <f>IF(enrollment_table[[#This Row],[Enrollment Date]]="","",TEXT(enrollment_table[[#This Row],[Enrollment Date]],"mmmm"))</f>
        <v/>
      </c>
      <c r="R130" s="60"/>
    </row>
    <row r="131" spans="1:18" ht="16.2" customHeight="1" x14ac:dyDescent="0.3">
      <c r="A131" s="129"/>
      <c r="B131" s="60"/>
      <c r="C131" s="55"/>
      <c r="D131" s="60"/>
      <c r="E131" s="103">
        <f>_xlfn.XLOOKUP(enrollment_table[[#This Row],[*Subject]], classes_table[*Subject], classes_table[Fee])</f>
        <v>0</v>
      </c>
      <c r="F131" s="58"/>
      <c r="G131" s="60"/>
      <c r="H131" s="55"/>
      <c r="I131" s="176">
        <f>_xlfn.XLOOKUP(enrollment_table[[#This Row],[*Teacher Name]], teachers_table[*Teacher Name], teachers_table[*Teacher ID])</f>
        <v>0</v>
      </c>
      <c r="J131" s="60"/>
      <c r="K131" s="60"/>
      <c r="L131" s="55"/>
      <c r="M131" s="60"/>
      <c r="N131" s="60"/>
      <c r="O131" s="55"/>
      <c r="P131" s="161"/>
      <c r="Q131" s="160" t="str">
        <f>IF(enrollment_table[[#This Row],[Enrollment Date]]="","",TEXT(enrollment_table[[#This Row],[Enrollment Date]],"mmmm"))</f>
        <v/>
      </c>
      <c r="R131" s="60"/>
    </row>
    <row r="132" spans="1:18" ht="16.2" customHeight="1" x14ac:dyDescent="0.3">
      <c r="A132" s="129"/>
      <c r="B132" s="60"/>
      <c r="C132" s="55"/>
      <c r="D132" s="60"/>
      <c r="E132" s="103">
        <f>_xlfn.XLOOKUP(enrollment_table[[#This Row],[*Subject]], classes_table[*Subject], classes_table[Fee])</f>
        <v>0</v>
      </c>
      <c r="F132" s="58"/>
      <c r="G132" s="60"/>
      <c r="H132" s="55"/>
      <c r="I132" s="176">
        <f>_xlfn.XLOOKUP(enrollment_table[[#This Row],[*Teacher Name]], teachers_table[*Teacher Name], teachers_table[*Teacher ID])</f>
        <v>0</v>
      </c>
      <c r="J132" s="60"/>
      <c r="K132" s="60"/>
      <c r="L132" s="55"/>
      <c r="M132" s="60"/>
      <c r="N132" s="60"/>
      <c r="O132" s="55"/>
      <c r="P132" s="161"/>
      <c r="Q132" s="160" t="str">
        <f>IF(enrollment_table[[#This Row],[Enrollment Date]]="","",TEXT(enrollment_table[[#This Row],[Enrollment Date]],"mmmm"))</f>
        <v/>
      </c>
      <c r="R132" s="60"/>
    </row>
    <row r="133" spans="1:18" ht="16.2" customHeight="1" x14ac:dyDescent="0.3">
      <c r="A133" s="129"/>
      <c r="B133" s="60"/>
      <c r="C133" s="55"/>
      <c r="D133" s="60"/>
      <c r="E133" s="103">
        <f>_xlfn.XLOOKUP(enrollment_table[[#This Row],[*Subject]], classes_table[*Subject], classes_table[Fee])</f>
        <v>0</v>
      </c>
      <c r="F133" s="58"/>
      <c r="G133" s="60"/>
      <c r="H133" s="55"/>
      <c r="I133" s="176">
        <f>_xlfn.XLOOKUP(enrollment_table[[#This Row],[*Teacher Name]], teachers_table[*Teacher Name], teachers_table[*Teacher ID])</f>
        <v>0</v>
      </c>
      <c r="J133" s="60"/>
      <c r="K133" s="60"/>
      <c r="L133" s="55"/>
      <c r="M133" s="60"/>
      <c r="N133" s="60"/>
      <c r="O133" s="55"/>
      <c r="P133" s="161"/>
      <c r="Q133" s="160" t="str">
        <f>IF(enrollment_table[[#This Row],[Enrollment Date]]="","",TEXT(enrollment_table[[#This Row],[Enrollment Date]],"mmmm"))</f>
        <v/>
      </c>
      <c r="R133" s="60"/>
    </row>
    <row r="134" spans="1:18" ht="16.2" customHeight="1" x14ac:dyDescent="0.3">
      <c r="A134" s="129"/>
      <c r="B134" s="60"/>
      <c r="C134" s="55"/>
      <c r="D134" s="60"/>
      <c r="E134" s="103">
        <f>_xlfn.XLOOKUP(enrollment_table[[#This Row],[*Subject]], classes_table[*Subject], classes_table[Fee])</f>
        <v>0</v>
      </c>
      <c r="F134" s="58"/>
      <c r="G134" s="60"/>
      <c r="H134" s="55"/>
      <c r="I134" s="176">
        <f>_xlfn.XLOOKUP(enrollment_table[[#This Row],[*Teacher Name]], teachers_table[*Teacher Name], teachers_table[*Teacher ID])</f>
        <v>0</v>
      </c>
      <c r="J134" s="60"/>
      <c r="K134" s="60"/>
      <c r="L134" s="55"/>
      <c r="M134" s="60"/>
      <c r="N134" s="60"/>
      <c r="O134" s="55"/>
      <c r="P134" s="161"/>
      <c r="Q134" s="160" t="str">
        <f>IF(enrollment_table[[#This Row],[Enrollment Date]]="","",TEXT(enrollment_table[[#This Row],[Enrollment Date]],"mmmm"))</f>
        <v/>
      </c>
      <c r="R134" s="60"/>
    </row>
    <row r="135" spans="1:18" ht="16.2" customHeight="1" x14ac:dyDescent="0.3">
      <c r="A135" s="129"/>
      <c r="B135" s="60"/>
      <c r="C135" s="55"/>
      <c r="D135" s="60"/>
      <c r="E135" s="103">
        <f>_xlfn.XLOOKUP(enrollment_table[[#This Row],[*Subject]], classes_table[*Subject], classes_table[Fee])</f>
        <v>0</v>
      </c>
      <c r="F135" s="58"/>
      <c r="G135" s="60"/>
      <c r="H135" s="55"/>
      <c r="I135" s="176">
        <f>_xlfn.XLOOKUP(enrollment_table[[#This Row],[*Teacher Name]], teachers_table[*Teacher Name], teachers_table[*Teacher ID])</f>
        <v>0</v>
      </c>
      <c r="J135" s="60"/>
      <c r="K135" s="60"/>
      <c r="L135" s="55"/>
      <c r="M135" s="60"/>
      <c r="N135" s="60"/>
      <c r="O135" s="55"/>
      <c r="P135" s="161"/>
      <c r="Q135" s="160" t="str">
        <f>IF(enrollment_table[[#This Row],[Enrollment Date]]="","",TEXT(enrollment_table[[#This Row],[Enrollment Date]],"mmmm"))</f>
        <v/>
      </c>
      <c r="R135" s="60"/>
    </row>
    <row r="136" spans="1:18" ht="16.2" customHeight="1" x14ac:dyDescent="0.3">
      <c r="A136" s="129"/>
      <c r="B136" s="60"/>
      <c r="C136" s="55"/>
      <c r="D136" s="60"/>
      <c r="E136" s="103">
        <f>_xlfn.XLOOKUP(enrollment_table[[#This Row],[*Subject]], classes_table[*Subject], classes_table[Fee])</f>
        <v>0</v>
      </c>
      <c r="F136" s="58"/>
      <c r="G136" s="60"/>
      <c r="H136" s="55"/>
      <c r="I136" s="176">
        <f>_xlfn.XLOOKUP(enrollment_table[[#This Row],[*Teacher Name]], teachers_table[*Teacher Name], teachers_table[*Teacher ID])</f>
        <v>0</v>
      </c>
      <c r="J136" s="60"/>
      <c r="K136" s="60"/>
      <c r="L136" s="55"/>
      <c r="M136" s="60"/>
      <c r="N136" s="60"/>
      <c r="O136" s="55"/>
      <c r="P136" s="161"/>
      <c r="Q136" s="160" t="str">
        <f>IF(enrollment_table[[#This Row],[Enrollment Date]]="","",TEXT(enrollment_table[[#This Row],[Enrollment Date]],"mmmm"))</f>
        <v/>
      </c>
      <c r="R136" s="60"/>
    </row>
    <row r="137" spans="1:18" ht="16.2" customHeight="1" x14ac:dyDescent="0.3">
      <c r="A137" s="129"/>
      <c r="B137" s="60"/>
      <c r="C137" s="55"/>
      <c r="D137" s="60"/>
      <c r="E137" s="103">
        <f>_xlfn.XLOOKUP(enrollment_table[[#This Row],[*Subject]], classes_table[*Subject], classes_table[Fee])</f>
        <v>0</v>
      </c>
      <c r="F137" s="58"/>
      <c r="G137" s="60"/>
      <c r="H137" s="55"/>
      <c r="I137" s="176">
        <f>_xlfn.XLOOKUP(enrollment_table[[#This Row],[*Teacher Name]], teachers_table[*Teacher Name], teachers_table[*Teacher ID])</f>
        <v>0</v>
      </c>
      <c r="J137" s="60"/>
      <c r="K137" s="60"/>
      <c r="L137" s="55"/>
      <c r="M137" s="60"/>
      <c r="N137" s="60"/>
      <c r="O137" s="55"/>
      <c r="P137" s="161"/>
      <c r="Q137" s="160" t="str">
        <f>IF(enrollment_table[[#This Row],[Enrollment Date]]="","",TEXT(enrollment_table[[#This Row],[Enrollment Date]],"mmmm"))</f>
        <v/>
      </c>
      <c r="R137" s="60"/>
    </row>
    <row r="138" spans="1:18" ht="16.2" customHeight="1" x14ac:dyDescent="0.3">
      <c r="A138" s="129"/>
      <c r="B138" s="60"/>
      <c r="C138" s="55"/>
      <c r="D138" s="60"/>
      <c r="E138" s="103">
        <f>_xlfn.XLOOKUP(enrollment_table[[#This Row],[*Subject]], classes_table[*Subject], classes_table[Fee])</f>
        <v>0</v>
      </c>
      <c r="F138" s="58"/>
      <c r="G138" s="60"/>
      <c r="H138" s="55"/>
      <c r="I138" s="176">
        <f>_xlfn.XLOOKUP(enrollment_table[[#This Row],[*Teacher Name]], teachers_table[*Teacher Name], teachers_table[*Teacher ID])</f>
        <v>0</v>
      </c>
      <c r="J138" s="60"/>
      <c r="K138" s="60"/>
      <c r="L138" s="55"/>
      <c r="M138" s="60"/>
      <c r="N138" s="60"/>
      <c r="O138" s="55"/>
      <c r="P138" s="161"/>
      <c r="Q138" s="160" t="str">
        <f>IF(enrollment_table[[#This Row],[Enrollment Date]]="","",TEXT(enrollment_table[[#This Row],[Enrollment Date]],"mmmm"))</f>
        <v/>
      </c>
      <c r="R138" s="60"/>
    </row>
    <row r="139" spans="1:18" ht="16.2" customHeight="1" x14ac:dyDescent="0.3">
      <c r="A139" s="129"/>
      <c r="B139" s="60"/>
      <c r="C139" s="55"/>
      <c r="D139" s="60"/>
      <c r="E139" s="103">
        <f>_xlfn.XLOOKUP(enrollment_table[[#This Row],[*Subject]], classes_table[*Subject], classes_table[Fee])</f>
        <v>0</v>
      </c>
      <c r="F139" s="58"/>
      <c r="G139" s="60"/>
      <c r="H139" s="55"/>
      <c r="I139" s="176">
        <f>_xlfn.XLOOKUP(enrollment_table[[#This Row],[*Teacher Name]], teachers_table[*Teacher Name], teachers_table[*Teacher ID])</f>
        <v>0</v>
      </c>
      <c r="J139" s="60"/>
      <c r="K139" s="60"/>
      <c r="L139" s="55"/>
      <c r="M139" s="60"/>
      <c r="N139" s="60"/>
      <c r="O139" s="55"/>
      <c r="P139" s="161"/>
      <c r="Q139" s="160" t="str">
        <f>IF(enrollment_table[[#This Row],[Enrollment Date]]="","",TEXT(enrollment_table[[#This Row],[Enrollment Date]],"mmmm"))</f>
        <v/>
      </c>
      <c r="R139" s="60"/>
    </row>
    <row r="140" spans="1:18" ht="16.2" customHeight="1" x14ac:dyDescent="0.3">
      <c r="A140" s="129"/>
      <c r="B140" s="60"/>
      <c r="C140" s="55"/>
      <c r="D140" s="60"/>
      <c r="E140" s="103">
        <f>_xlfn.XLOOKUP(enrollment_table[[#This Row],[*Subject]], classes_table[*Subject], classes_table[Fee])</f>
        <v>0</v>
      </c>
      <c r="F140" s="58"/>
      <c r="G140" s="60"/>
      <c r="H140" s="55"/>
      <c r="I140" s="176">
        <f>_xlfn.XLOOKUP(enrollment_table[[#This Row],[*Teacher Name]], teachers_table[*Teacher Name], teachers_table[*Teacher ID])</f>
        <v>0</v>
      </c>
      <c r="J140" s="60"/>
      <c r="K140" s="60"/>
      <c r="L140" s="55"/>
      <c r="M140" s="60"/>
      <c r="N140" s="60"/>
      <c r="O140" s="55"/>
      <c r="P140" s="161"/>
      <c r="Q140" s="160" t="str">
        <f>IF(enrollment_table[[#This Row],[Enrollment Date]]="","",TEXT(enrollment_table[[#This Row],[Enrollment Date]],"mmmm"))</f>
        <v/>
      </c>
      <c r="R140" s="60"/>
    </row>
    <row r="141" spans="1:18" ht="16.2" customHeight="1" x14ac:dyDescent="0.3">
      <c r="A141" s="129"/>
      <c r="B141" s="60"/>
      <c r="C141" s="55"/>
      <c r="D141" s="60"/>
      <c r="E141" s="103">
        <f>_xlfn.XLOOKUP(enrollment_table[[#This Row],[*Subject]], classes_table[*Subject], classes_table[Fee])</f>
        <v>0</v>
      </c>
      <c r="F141" s="58"/>
      <c r="G141" s="60"/>
      <c r="H141" s="55"/>
      <c r="I141" s="176">
        <f>_xlfn.XLOOKUP(enrollment_table[[#This Row],[*Teacher Name]], teachers_table[*Teacher Name], teachers_table[*Teacher ID])</f>
        <v>0</v>
      </c>
      <c r="J141" s="60"/>
      <c r="K141" s="60"/>
      <c r="L141" s="55"/>
      <c r="M141" s="60"/>
      <c r="N141" s="60"/>
      <c r="O141" s="55"/>
      <c r="P141" s="161"/>
      <c r="Q141" s="160" t="str">
        <f>IF(enrollment_table[[#This Row],[Enrollment Date]]="","",TEXT(enrollment_table[[#This Row],[Enrollment Date]],"mmmm"))</f>
        <v/>
      </c>
      <c r="R141" s="60"/>
    </row>
    <row r="142" spans="1:18" ht="16.2" customHeight="1" x14ac:dyDescent="0.3">
      <c r="A142" s="129"/>
      <c r="B142" s="60"/>
      <c r="C142" s="55"/>
      <c r="D142" s="60"/>
      <c r="E142" s="103">
        <f>_xlfn.XLOOKUP(enrollment_table[[#This Row],[*Subject]], classes_table[*Subject], classes_table[Fee])</f>
        <v>0</v>
      </c>
      <c r="F142" s="58"/>
      <c r="G142" s="60"/>
      <c r="H142" s="55"/>
      <c r="I142" s="176">
        <f>_xlfn.XLOOKUP(enrollment_table[[#This Row],[*Teacher Name]], teachers_table[*Teacher Name], teachers_table[*Teacher ID])</f>
        <v>0</v>
      </c>
      <c r="J142" s="60"/>
      <c r="K142" s="60"/>
      <c r="L142" s="55"/>
      <c r="M142" s="60"/>
      <c r="N142" s="60"/>
      <c r="O142" s="55"/>
      <c r="P142" s="161"/>
      <c r="Q142" s="160" t="str">
        <f>IF(enrollment_table[[#This Row],[Enrollment Date]]="","",TEXT(enrollment_table[[#This Row],[Enrollment Date]],"mmmm"))</f>
        <v/>
      </c>
      <c r="R142" s="60"/>
    </row>
    <row r="143" spans="1:18" ht="16.2" customHeight="1" x14ac:dyDescent="0.3">
      <c r="A143" s="129"/>
      <c r="B143" s="60"/>
      <c r="C143" s="55"/>
      <c r="D143" s="60"/>
      <c r="E143" s="103">
        <f>_xlfn.XLOOKUP(enrollment_table[[#This Row],[*Subject]], classes_table[*Subject], classes_table[Fee])</f>
        <v>0</v>
      </c>
      <c r="F143" s="58"/>
      <c r="G143" s="60"/>
      <c r="H143" s="55"/>
      <c r="I143" s="176">
        <f>_xlfn.XLOOKUP(enrollment_table[[#This Row],[*Teacher Name]], teachers_table[*Teacher Name], teachers_table[*Teacher ID])</f>
        <v>0</v>
      </c>
      <c r="J143" s="60"/>
      <c r="K143" s="60"/>
      <c r="L143" s="55"/>
      <c r="M143" s="60"/>
      <c r="N143" s="60"/>
      <c r="O143" s="55"/>
      <c r="P143" s="161"/>
      <c r="Q143" s="160" t="str">
        <f>IF(enrollment_table[[#This Row],[Enrollment Date]]="","",TEXT(enrollment_table[[#This Row],[Enrollment Date]],"mmmm"))</f>
        <v/>
      </c>
      <c r="R143" s="60"/>
    </row>
    <row r="144" spans="1:18" ht="16.2" customHeight="1" x14ac:dyDescent="0.3">
      <c r="A144" s="129"/>
      <c r="B144" s="60"/>
      <c r="C144" s="55"/>
      <c r="D144" s="60"/>
      <c r="E144" s="103">
        <f>_xlfn.XLOOKUP(enrollment_table[[#This Row],[*Subject]], classes_table[*Subject], classes_table[Fee])</f>
        <v>0</v>
      </c>
      <c r="F144" s="58"/>
      <c r="G144" s="60"/>
      <c r="H144" s="55"/>
      <c r="I144" s="176">
        <f>_xlfn.XLOOKUP(enrollment_table[[#This Row],[*Teacher Name]], teachers_table[*Teacher Name], teachers_table[*Teacher ID])</f>
        <v>0</v>
      </c>
      <c r="J144" s="60"/>
      <c r="K144" s="60"/>
      <c r="L144" s="55"/>
      <c r="M144" s="60"/>
      <c r="N144" s="60"/>
      <c r="O144" s="55"/>
      <c r="P144" s="161"/>
      <c r="Q144" s="160" t="str">
        <f>IF(enrollment_table[[#This Row],[Enrollment Date]]="","",TEXT(enrollment_table[[#This Row],[Enrollment Date]],"mmmm"))</f>
        <v/>
      </c>
      <c r="R144" s="60"/>
    </row>
    <row r="145" spans="1:18" ht="16.2" customHeight="1" x14ac:dyDescent="0.3">
      <c r="A145" s="129"/>
      <c r="B145" s="60"/>
      <c r="C145" s="55"/>
      <c r="D145" s="60"/>
      <c r="E145" s="103">
        <f>_xlfn.XLOOKUP(enrollment_table[[#This Row],[*Subject]], classes_table[*Subject], classes_table[Fee])</f>
        <v>0</v>
      </c>
      <c r="F145" s="58"/>
      <c r="G145" s="60"/>
      <c r="H145" s="55"/>
      <c r="I145" s="176">
        <f>_xlfn.XLOOKUP(enrollment_table[[#This Row],[*Teacher Name]], teachers_table[*Teacher Name], teachers_table[*Teacher ID])</f>
        <v>0</v>
      </c>
      <c r="J145" s="60"/>
      <c r="K145" s="60"/>
      <c r="L145" s="55"/>
      <c r="M145" s="60"/>
      <c r="N145" s="60"/>
      <c r="O145" s="55"/>
      <c r="P145" s="161"/>
      <c r="Q145" s="160" t="str">
        <f>IF(enrollment_table[[#This Row],[Enrollment Date]]="","",TEXT(enrollment_table[[#This Row],[Enrollment Date]],"mmmm"))</f>
        <v/>
      </c>
      <c r="R145" s="60"/>
    </row>
    <row r="146" spans="1:18" ht="16.2" customHeight="1" x14ac:dyDescent="0.3">
      <c r="A146" s="129"/>
      <c r="B146" s="60"/>
      <c r="C146" s="55"/>
      <c r="D146" s="60"/>
      <c r="E146" s="103">
        <f>_xlfn.XLOOKUP(enrollment_table[[#This Row],[*Subject]], classes_table[*Subject], classes_table[Fee])</f>
        <v>0</v>
      </c>
      <c r="F146" s="58"/>
      <c r="G146" s="60"/>
      <c r="H146" s="55"/>
      <c r="I146" s="176">
        <f>_xlfn.XLOOKUP(enrollment_table[[#This Row],[*Teacher Name]], teachers_table[*Teacher Name], teachers_table[*Teacher ID])</f>
        <v>0</v>
      </c>
      <c r="J146" s="60"/>
      <c r="K146" s="60"/>
      <c r="L146" s="55"/>
      <c r="M146" s="60"/>
      <c r="N146" s="60"/>
      <c r="O146" s="55"/>
      <c r="P146" s="161"/>
      <c r="Q146" s="160" t="str">
        <f>IF(enrollment_table[[#This Row],[Enrollment Date]]="","",TEXT(enrollment_table[[#This Row],[Enrollment Date]],"mmmm"))</f>
        <v/>
      </c>
      <c r="R146" s="60"/>
    </row>
    <row r="147" spans="1:18" ht="16.2" customHeight="1" x14ac:dyDescent="0.3">
      <c r="A147" s="129"/>
      <c r="B147" s="60"/>
      <c r="C147" s="55"/>
      <c r="D147" s="60"/>
      <c r="E147" s="103">
        <f>_xlfn.XLOOKUP(enrollment_table[[#This Row],[*Subject]], classes_table[*Subject], classes_table[Fee])</f>
        <v>0</v>
      </c>
      <c r="F147" s="58"/>
      <c r="G147" s="60"/>
      <c r="H147" s="55"/>
      <c r="I147" s="176">
        <f>_xlfn.XLOOKUP(enrollment_table[[#This Row],[*Teacher Name]], teachers_table[*Teacher Name], teachers_table[*Teacher ID])</f>
        <v>0</v>
      </c>
      <c r="J147" s="60"/>
      <c r="K147" s="60"/>
      <c r="L147" s="55"/>
      <c r="M147" s="60"/>
      <c r="N147" s="60"/>
      <c r="O147" s="55"/>
      <c r="P147" s="161"/>
      <c r="Q147" s="160" t="str">
        <f>IF(enrollment_table[[#This Row],[Enrollment Date]]="","",TEXT(enrollment_table[[#This Row],[Enrollment Date]],"mmmm"))</f>
        <v/>
      </c>
      <c r="R147" s="60"/>
    </row>
    <row r="148" spans="1:18" ht="16.2" customHeight="1" x14ac:dyDescent="0.3">
      <c r="A148" s="129"/>
      <c r="B148" s="60"/>
      <c r="C148" s="55"/>
      <c r="D148" s="60"/>
      <c r="E148" s="103">
        <f>_xlfn.XLOOKUP(enrollment_table[[#This Row],[*Subject]], classes_table[*Subject], classes_table[Fee])</f>
        <v>0</v>
      </c>
      <c r="F148" s="58"/>
      <c r="G148" s="60"/>
      <c r="H148" s="55"/>
      <c r="I148" s="176">
        <f>_xlfn.XLOOKUP(enrollment_table[[#This Row],[*Teacher Name]], teachers_table[*Teacher Name], teachers_table[*Teacher ID])</f>
        <v>0</v>
      </c>
      <c r="J148" s="60"/>
      <c r="K148" s="60"/>
      <c r="L148" s="55"/>
      <c r="M148" s="60"/>
      <c r="N148" s="60"/>
      <c r="O148" s="55"/>
      <c r="P148" s="161"/>
      <c r="Q148" s="160" t="str">
        <f>IF(enrollment_table[[#This Row],[Enrollment Date]]="","",TEXT(enrollment_table[[#This Row],[Enrollment Date]],"mmmm"))</f>
        <v/>
      </c>
      <c r="R148" s="60"/>
    </row>
    <row r="149" spans="1:18" ht="16.2" customHeight="1" x14ac:dyDescent="0.3">
      <c r="A149" s="129"/>
      <c r="B149" s="60"/>
      <c r="C149" s="55"/>
      <c r="D149" s="60"/>
      <c r="E149" s="103">
        <f>_xlfn.XLOOKUP(enrollment_table[[#This Row],[*Subject]], classes_table[*Subject], classes_table[Fee])</f>
        <v>0</v>
      </c>
      <c r="F149" s="58"/>
      <c r="G149" s="60"/>
      <c r="H149" s="55"/>
      <c r="I149" s="176">
        <f>_xlfn.XLOOKUP(enrollment_table[[#This Row],[*Teacher Name]], teachers_table[*Teacher Name], teachers_table[*Teacher ID])</f>
        <v>0</v>
      </c>
      <c r="J149" s="60"/>
      <c r="K149" s="60"/>
      <c r="L149" s="55"/>
      <c r="M149" s="60"/>
      <c r="N149" s="60"/>
      <c r="O149" s="55"/>
      <c r="P149" s="161"/>
      <c r="Q149" s="160" t="str">
        <f>IF(enrollment_table[[#This Row],[Enrollment Date]]="","",TEXT(enrollment_table[[#This Row],[Enrollment Date]],"mmmm"))</f>
        <v/>
      </c>
      <c r="R149" s="60"/>
    </row>
    <row r="150" spans="1:18" ht="16.2" customHeight="1" x14ac:dyDescent="0.3">
      <c r="A150" s="129"/>
      <c r="B150" s="60"/>
      <c r="C150" s="55"/>
      <c r="D150" s="60"/>
      <c r="E150" s="103">
        <f>_xlfn.XLOOKUP(enrollment_table[[#This Row],[*Subject]], classes_table[*Subject], classes_table[Fee])</f>
        <v>0</v>
      </c>
      <c r="F150" s="58"/>
      <c r="G150" s="60"/>
      <c r="H150" s="55"/>
      <c r="I150" s="176">
        <f>_xlfn.XLOOKUP(enrollment_table[[#This Row],[*Teacher Name]], teachers_table[*Teacher Name], teachers_table[*Teacher ID])</f>
        <v>0</v>
      </c>
      <c r="J150" s="60"/>
      <c r="K150" s="60"/>
      <c r="L150" s="55"/>
      <c r="M150" s="60"/>
      <c r="N150" s="60"/>
      <c r="O150" s="55"/>
      <c r="P150" s="161"/>
      <c r="Q150" s="160" t="str">
        <f>IF(enrollment_table[[#This Row],[Enrollment Date]]="","",TEXT(enrollment_table[[#This Row],[Enrollment Date]],"mmmm"))</f>
        <v/>
      </c>
      <c r="R150" s="60"/>
    </row>
    <row r="151" spans="1:18" ht="16.2" customHeight="1" x14ac:dyDescent="0.3">
      <c r="A151" s="129"/>
      <c r="B151" s="60"/>
      <c r="C151" s="55"/>
      <c r="D151" s="60"/>
      <c r="E151" s="103">
        <f>_xlfn.XLOOKUP(enrollment_table[[#This Row],[*Subject]], classes_table[*Subject], classes_table[Fee])</f>
        <v>0</v>
      </c>
      <c r="F151" s="58"/>
      <c r="G151" s="60"/>
      <c r="H151" s="55"/>
      <c r="I151" s="176">
        <f>_xlfn.XLOOKUP(enrollment_table[[#This Row],[*Teacher Name]], teachers_table[*Teacher Name], teachers_table[*Teacher ID])</f>
        <v>0</v>
      </c>
      <c r="J151" s="60"/>
      <c r="K151" s="60"/>
      <c r="L151" s="55"/>
      <c r="M151" s="60"/>
      <c r="N151" s="60"/>
      <c r="O151" s="55"/>
      <c r="P151" s="161"/>
      <c r="Q151" s="160" t="str">
        <f>IF(enrollment_table[[#This Row],[Enrollment Date]]="","",TEXT(enrollment_table[[#This Row],[Enrollment Date]],"mmmm"))</f>
        <v/>
      </c>
      <c r="R151" s="60"/>
    </row>
    <row r="152" spans="1:18" ht="16.2" customHeight="1" x14ac:dyDescent="0.3">
      <c r="A152" s="129"/>
      <c r="B152" s="60"/>
      <c r="C152" s="55"/>
      <c r="D152" s="60"/>
      <c r="E152" s="103">
        <f>_xlfn.XLOOKUP(enrollment_table[[#This Row],[*Subject]], classes_table[*Subject], classes_table[Fee])</f>
        <v>0</v>
      </c>
      <c r="F152" s="58"/>
      <c r="G152" s="60"/>
      <c r="H152" s="55"/>
      <c r="I152" s="176">
        <f>_xlfn.XLOOKUP(enrollment_table[[#This Row],[*Teacher Name]], teachers_table[*Teacher Name], teachers_table[*Teacher ID])</f>
        <v>0</v>
      </c>
      <c r="J152" s="60"/>
      <c r="K152" s="60"/>
      <c r="L152" s="55"/>
      <c r="M152" s="60"/>
      <c r="N152" s="60"/>
      <c r="O152" s="55"/>
      <c r="P152" s="161"/>
      <c r="Q152" s="160" t="str">
        <f>IF(enrollment_table[[#This Row],[Enrollment Date]]="","",TEXT(enrollment_table[[#This Row],[Enrollment Date]],"mmmm"))</f>
        <v/>
      </c>
      <c r="R152" s="60"/>
    </row>
    <row r="153" spans="1:18" ht="16.2" customHeight="1" x14ac:dyDescent="0.3">
      <c r="A153" s="129"/>
      <c r="B153" s="60"/>
      <c r="C153" s="55"/>
      <c r="D153" s="60"/>
      <c r="E153" s="103">
        <f>_xlfn.XLOOKUP(enrollment_table[[#This Row],[*Subject]], classes_table[*Subject], classes_table[Fee])</f>
        <v>0</v>
      </c>
      <c r="F153" s="58"/>
      <c r="G153" s="60"/>
      <c r="H153" s="55"/>
      <c r="I153" s="176">
        <f>_xlfn.XLOOKUP(enrollment_table[[#This Row],[*Teacher Name]], teachers_table[*Teacher Name], teachers_table[*Teacher ID])</f>
        <v>0</v>
      </c>
      <c r="J153" s="60"/>
      <c r="K153" s="60"/>
      <c r="L153" s="55"/>
      <c r="M153" s="60"/>
      <c r="N153" s="60"/>
      <c r="O153" s="55"/>
      <c r="P153" s="161"/>
      <c r="Q153" s="160" t="str">
        <f>IF(enrollment_table[[#This Row],[Enrollment Date]]="","",TEXT(enrollment_table[[#This Row],[Enrollment Date]],"mmmm"))</f>
        <v/>
      </c>
      <c r="R153" s="60"/>
    </row>
    <row r="154" spans="1:18" ht="16.2" customHeight="1" x14ac:dyDescent="0.3">
      <c r="A154" s="129"/>
      <c r="B154" s="60"/>
      <c r="C154" s="55"/>
      <c r="D154" s="60"/>
      <c r="E154" s="103">
        <f>_xlfn.XLOOKUP(enrollment_table[[#This Row],[*Subject]], classes_table[*Subject], classes_table[Fee])</f>
        <v>0</v>
      </c>
      <c r="F154" s="58"/>
      <c r="G154" s="60"/>
      <c r="H154" s="55"/>
      <c r="I154" s="176">
        <f>_xlfn.XLOOKUP(enrollment_table[[#This Row],[*Teacher Name]], teachers_table[*Teacher Name], teachers_table[*Teacher ID])</f>
        <v>0</v>
      </c>
      <c r="J154" s="60"/>
      <c r="K154" s="60"/>
      <c r="L154" s="55"/>
      <c r="M154" s="60"/>
      <c r="N154" s="60"/>
      <c r="O154" s="55"/>
      <c r="P154" s="161"/>
      <c r="Q154" s="160" t="str">
        <f>IF(enrollment_table[[#This Row],[Enrollment Date]]="","",TEXT(enrollment_table[[#This Row],[Enrollment Date]],"mmmm"))</f>
        <v/>
      </c>
      <c r="R154" s="60"/>
    </row>
    <row r="155" spans="1:18" ht="16.2" customHeight="1" x14ac:dyDescent="0.3">
      <c r="A155" s="129"/>
      <c r="B155" s="60"/>
      <c r="C155" s="55"/>
      <c r="D155" s="60"/>
      <c r="E155" s="103">
        <f>_xlfn.XLOOKUP(enrollment_table[[#This Row],[*Subject]], classes_table[*Subject], classes_table[Fee])</f>
        <v>0</v>
      </c>
      <c r="F155" s="58"/>
      <c r="G155" s="60"/>
      <c r="H155" s="55"/>
      <c r="I155" s="176">
        <f>_xlfn.XLOOKUP(enrollment_table[[#This Row],[*Teacher Name]], teachers_table[*Teacher Name], teachers_table[*Teacher ID])</f>
        <v>0</v>
      </c>
      <c r="J155" s="60"/>
      <c r="K155" s="60"/>
      <c r="L155" s="55"/>
      <c r="M155" s="60"/>
      <c r="N155" s="60"/>
      <c r="O155" s="55"/>
      <c r="P155" s="161"/>
      <c r="Q155" s="160" t="str">
        <f>IF(enrollment_table[[#This Row],[Enrollment Date]]="","",TEXT(enrollment_table[[#This Row],[Enrollment Date]],"mmmm"))</f>
        <v/>
      </c>
      <c r="R155" s="60"/>
    </row>
    <row r="156" spans="1:18" ht="16.2" customHeight="1" x14ac:dyDescent="0.3">
      <c r="A156" s="129"/>
      <c r="B156" s="60"/>
      <c r="C156" s="55"/>
      <c r="D156" s="60"/>
      <c r="E156" s="103">
        <f>_xlfn.XLOOKUP(enrollment_table[[#This Row],[*Subject]], classes_table[*Subject], classes_table[Fee])</f>
        <v>0</v>
      </c>
      <c r="F156" s="58"/>
      <c r="G156" s="60"/>
      <c r="H156" s="55"/>
      <c r="I156" s="176">
        <f>_xlfn.XLOOKUP(enrollment_table[[#This Row],[*Teacher Name]], teachers_table[*Teacher Name], teachers_table[*Teacher ID])</f>
        <v>0</v>
      </c>
      <c r="J156" s="60"/>
      <c r="K156" s="60"/>
      <c r="L156" s="55"/>
      <c r="M156" s="60"/>
      <c r="N156" s="60"/>
      <c r="O156" s="55"/>
      <c r="P156" s="161"/>
      <c r="Q156" s="160" t="str">
        <f>IF(enrollment_table[[#This Row],[Enrollment Date]]="","",TEXT(enrollment_table[[#This Row],[Enrollment Date]],"mmmm"))</f>
        <v/>
      </c>
      <c r="R156" s="60"/>
    </row>
    <row r="157" spans="1:18" ht="16.2" customHeight="1" x14ac:dyDescent="0.3">
      <c r="A157" s="129"/>
      <c r="B157" s="60"/>
      <c r="C157" s="55"/>
      <c r="D157" s="60"/>
      <c r="E157" s="103">
        <f>_xlfn.XLOOKUP(enrollment_table[[#This Row],[*Subject]], classes_table[*Subject], classes_table[Fee])</f>
        <v>0</v>
      </c>
      <c r="F157" s="58"/>
      <c r="G157" s="60"/>
      <c r="H157" s="55"/>
      <c r="I157" s="176">
        <f>_xlfn.XLOOKUP(enrollment_table[[#This Row],[*Teacher Name]], teachers_table[*Teacher Name], teachers_table[*Teacher ID])</f>
        <v>0</v>
      </c>
      <c r="J157" s="60"/>
      <c r="K157" s="60"/>
      <c r="L157" s="55"/>
      <c r="M157" s="60"/>
      <c r="N157" s="60"/>
      <c r="O157" s="55"/>
      <c r="P157" s="161"/>
      <c r="Q157" s="160" t="str">
        <f>IF(enrollment_table[[#This Row],[Enrollment Date]]="","",TEXT(enrollment_table[[#This Row],[Enrollment Date]],"mmmm"))</f>
        <v/>
      </c>
      <c r="R157" s="60"/>
    </row>
    <row r="158" spans="1:18" ht="16.2" customHeight="1" x14ac:dyDescent="0.3">
      <c r="A158" s="129"/>
      <c r="B158" s="60"/>
      <c r="C158" s="55"/>
      <c r="D158" s="60"/>
      <c r="E158" s="103">
        <f>_xlfn.XLOOKUP(enrollment_table[[#This Row],[*Subject]], classes_table[*Subject], classes_table[Fee])</f>
        <v>0</v>
      </c>
      <c r="F158" s="58"/>
      <c r="G158" s="60"/>
      <c r="H158" s="55"/>
      <c r="I158" s="176">
        <f>_xlfn.XLOOKUP(enrollment_table[[#This Row],[*Teacher Name]], teachers_table[*Teacher Name], teachers_table[*Teacher ID])</f>
        <v>0</v>
      </c>
      <c r="J158" s="60"/>
      <c r="K158" s="60"/>
      <c r="L158" s="55"/>
      <c r="M158" s="60"/>
      <c r="N158" s="60"/>
      <c r="O158" s="55"/>
      <c r="P158" s="161"/>
      <c r="Q158" s="160" t="str">
        <f>IF(enrollment_table[[#This Row],[Enrollment Date]]="","",TEXT(enrollment_table[[#This Row],[Enrollment Date]],"mmmm"))</f>
        <v/>
      </c>
      <c r="R158" s="60"/>
    </row>
    <row r="159" spans="1:18" ht="16.2" customHeight="1" x14ac:dyDescent="0.3">
      <c r="A159" s="129"/>
      <c r="B159" s="60"/>
      <c r="C159" s="55"/>
      <c r="D159" s="60"/>
      <c r="E159" s="103">
        <f>_xlfn.XLOOKUP(enrollment_table[[#This Row],[*Subject]], classes_table[*Subject], classes_table[Fee])</f>
        <v>0</v>
      </c>
      <c r="F159" s="58"/>
      <c r="G159" s="60"/>
      <c r="H159" s="55"/>
      <c r="I159" s="176">
        <f>_xlfn.XLOOKUP(enrollment_table[[#This Row],[*Teacher Name]], teachers_table[*Teacher Name], teachers_table[*Teacher ID])</f>
        <v>0</v>
      </c>
      <c r="J159" s="60"/>
      <c r="K159" s="60"/>
      <c r="L159" s="55"/>
      <c r="M159" s="60"/>
      <c r="N159" s="60"/>
      <c r="O159" s="55"/>
      <c r="P159" s="161"/>
      <c r="Q159" s="160" t="str">
        <f>IF(enrollment_table[[#This Row],[Enrollment Date]]="","",TEXT(enrollment_table[[#This Row],[Enrollment Date]],"mmmm"))</f>
        <v/>
      </c>
      <c r="R159" s="60"/>
    </row>
    <row r="160" spans="1:18" ht="16.2" customHeight="1" x14ac:dyDescent="0.3">
      <c r="A160" s="129"/>
      <c r="B160" s="60"/>
      <c r="C160" s="55"/>
      <c r="D160" s="60"/>
      <c r="E160" s="103">
        <f>_xlfn.XLOOKUP(enrollment_table[[#This Row],[*Subject]], classes_table[*Subject], classes_table[Fee])</f>
        <v>0</v>
      </c>
      <c r="F160" s="58"/>
      <c r="G160" s="60"/>
      <c r="H160" s="55"/>
      <c r="I160" s="176">
        <f>_xlfn.XLOOKUP(enrollment_table[[#This Row],[*Teacher Name]], teachers_table[*Teacher Name], teachers_table[*Teacher ID])</f>
        <v>0</v>
      </c>
      <c r="J160" s="60"/>
      <c r="K160" s="60"/>
      <c r="L160" s="55"/>
      <c r="M160" s="60"/>
      <c r="N160" s="60"/>
      <c r="O160" s="55"/>
      <c r="P160" s="161"/>
      <c r="Q160" s="160" t="str">
        <f>IF(enrollment_table[[#This Row],[Enrollment Date]]="","",TEXT(enrollment_table[[#This Row],[Enrollment Date]],"mmmm"))</f>
        <v/>
      </c>
      <c r="R160" s="60"/>
    </row>
    <row r="161" spans="1:18" ht="16.2" customHeight="1" x14ac:dyDescent="0.3">
      <c r="A161" s="129"/>
      <c r="B161" s="60"/>
      <c r="C161" s="55"/>
      <c r="D161" s="60"/>
      <c r="E161" s="103">
        <f>_xlfn.XLOOKUP(enrollment_table[[#This Row],[*Subject]], classes_table[*Subject], classes_table[Fee])</f>
        <v>0</v>
      </c>
      <c r="F161" s="58"/>
      <c r="G161" s="60"/>
      <c r="H161" s="55"/>
      <c r="I161" s="176">
        <f>_xlfn.XLOOKUP(enrollment_table[[#This Row],[*Teacher Name]], teachers_table[*Teacher Name], teachers_table[*Teacher ID])</f>
        <v>0</v>
      </c>
      <c r="J161" s="60"/>
      <c r="K161" s="60"/>
      <c r="L161" s="55"/>
      <c r="M161" s="60"/>
      <c r="N161" s="60"/>
      <c r="O161" s="55"/>
      <c r="P161" s="161"/>
      <c r="Q161" s="160" t="str">
        <f>IF(enrollment_table[[#This Row],[Enrollment Date]]="","",TEXT(enrollment_table[[#This Row],[Enrollment Date]],"mmmm"))</f>
        <v/>
      </c>
      <c r="R161" s="60"/>
    </row>
    <row r="162" spans="1:18" ht="16.2" customHeight="1" x14ac:dyDescent="0.3">
      <c r="A162" s="129"/>
      <c r="B162" s="60"/>
      <c r="C162" s="55"/>
      <c r="D162" s="60"/>
      <c r="E162" s="103">
        <f>_xlfn.XLOOKUP(enrollment_table[[#This Row],[*Subject]], classes_table[*Subject], classes_table[Fee])</f>
        <v>0</v>
      </c>
      <c r="F162" s="58"/>
      <c r="G162" s="60"/>
      <c r="H162" s="55"/>
      <c r="I162" s="176">
        <f>_xlfn.XLOOKUP(enrollment_table[[#This Row],[*Teacher Name]], teachers_table[*Teacher Name], teachers_table[*Teacher ID])</f>
        <v>0</v>
      </c>
      <c r="J162" s="60"/>
      <c r="K162" s="60"/>
      <c r="L162" s="55"/>
      <c r="M162" s="60"/>
      <c r="N162" s="60"/>
      <c r="O162" s="55"/>
      <c r="P162" s="161"/>
      <c r="Q162" s="160" t="str">
        <f>IF(enrollment_table[[#This Row],[Enrollment Date]]="","",TEXT(enrollment_table[[#This Row],[Enrollment Date]],"mmmm"))</f>
        <v/>
      </c>
      <c r="R162" s="60"/>
    </row>
    <row r="163" spans="1:18" ht="16.2" customHeight="1" x14ac:dyDescent="0.3">
      <c r="A163" s="129"/>
      <c r="B163" s="60"/>
      <c r="C163" s="55"/>
      <c r="D163" s="60"/>
      <c r="E163" s="103">
        <f>_xlfn.XLOOKUP(enrollment_table[[#This Row],[*Subject]], classes_table[*Subject], classes_table[Fee])</f>
        <v>0</v>
      </c>
      <c r="F163" s="58"/>
      <c r="G163" s="60"/>
      <c r="H163" s="55"/>
      <c r="I163" s="176">
        <f>_xlfn.XLOOKUP(enrollment_table[[#This Row],[*Teacher Name]], teachers_table[*Teacher Name], teachers_table[*Teacher ID])</f>
        <v>0</v>
      </c>
      <c r="J163" s="60"/>
      <c r="K163" s="60"/>
      <c r="L163" s="55"/>
      <c r="M163" s="60"/>
      <c r="N163" s="60"/>
      <c r="O163" s="55"/>
      <c r="P163" s="161"/>
      <c r="Q163" s="160" t="str">
        <f>IF(enrollment_table[[#This Row],[Enrollment Date]]="","",TEXT(enrollment_table[[#This Row],[Enrollment Date]],"mmmm"))</f>
        <v/>
      </c>
      <c r="R163" s="60"/>
    </row>
    <row r="164" spans="1:18" ht="16.2" customHeight="1" x14ac:dyDescent="0.3">
      <c r="A164" s="129"/>
      <c r="B164" s="60"/>
      <c r="C164" s="55"/>
      <c r="D164" s="60"/>
      <c r="E164" s="103">
        <f>_xlfn.XLOOKUP(enrollment_table[[#This Row],[*Subject]], classes_table[*Subject], classes_table[Fee])</f>
        <v>0</v>
      </c>
      <c r="F164" s="58"/>
      <c r="G164" s="60"/>
      <c r="H164" s="55"/>
      <c r="I164" s="176">
        <f>_xlfn.XLOOKUP(enrollment_table[[#This Row],[*Teacher Name]], teachers_table[*Teacher Name], teachers_table[*Teacher ID])</f>
        <v>0</v>
      </c>
      <c r="J164" s="60"/>
      <c r="K164" s="60"/>
      <c r="L164" s="55"/>
      <c r="M164" s="60"/>
      <c r="N164" s="60"/>
      <c r="O164" s="55"/>
      <c r="P164" s="161"/>
      <c r="Q164" s="160" t="str">
        <f>IF(enrollment_table[[#This Row],[Enrollment Date]]="","",TEXT(enrollment_table[[#This Row],[Enrollment Date]],"mmmm"))</f>
        <v/>
      </c>
      <c r="R164" s="60"/>
    </row>
    <row r="165" spans="1:18" ht="16.2" customHeight="1" x14ac:dyDescent="0.3">
      <c r="A165" s="129"/>
      <c r="B165" s="60"/>
      <c r="C165" s="55"/>
      <c r="D165" s="60"/>
      <c r="E165" s="103">
        <f>_xlfn.XLOOKUP(enrollment_table[[#This Row],[*Subject]], classes_table[*Subject], classes_table[Fee])</f>
        <v>0</v>
      </c>
      <c r="F165" s="58"/>
      <c r="G165" s="60"/>
      <c r="H165" s="55"/>
      <c r="I165" s="176">
        <f>_xlfn.XLOOKUP(enrollment_table[[#This Row],[*Teacher Name]], teachers_table[*Teacher Name], teachers_table[*Teacher ID])</f>
        <v>0</v>
      </c>
      <c r="J165" s="60"/>
      <c r="K165" s="60"/>
      <c r="L165" s="55"/>
      <c r="M165" s="60"/>
      <c r="N165" s="60"/>
      <c r="O165" s="55"/>
      <c r="P165" s="161"/>
      <c r="Q165" s="160" t="str">
        <f>IF(enrollment_table[[#This Row],[Enrollment Date]]="","",TEXT(enrollment_table[[#This Row],[Enrollment Date]],"mmmm"))</f>
        <v/>
      </c>
      <c r="R165" s="60"/>
    </row>
    <row r="166" spans="1:18" ht="16.2" customHeight="1" x14ac:dyDescent="0.3">
      <c r="A166" s="129"/>
      <c r="B166" s="60"/>
      <c r="C166" s="55"/>
      <c r="D166" s="60"/>
      <c r="E166" s="103">
        <f>_xlfn.XLOOKUP(enrollment_table[[#This Row],[*Subject]], classes_table[*Subject], classes_table[Fee])</f>
        <v>0</v>
      </c>
      <c r="F166" s="58"/>
      <c r="G166" s="60"/>
      <c r="H166" s="55"/>
      <c r="I166" s="176">
        <f>_xlfn.XLOOKUP(enrollment_table[[#This Row],[*Teacher Name]], teachers_table[*Teacher Name], teachers_table[*Teacher ID])</f>
        <v>0</v>
      </c>
      <c r="J166" s="60"/>
      <c r="K166" s="60"/>
      <c r="L166" s="55"/>
      <c r="M166" s="60"/>
      <c r="N166" s="60"/>
      <c r="O166" s="55"/>
      <c r="P166" s="161"/>
      <c r="Q166" s="160" t="str">
        <f>IF(enrollment_table[[#This Row],[Enrollment Date]]="","",TEXT(enrollment_table[[#This Row],[Enrollment Date]],"mmmm"))</f>
        <v/>
      </c>
      <c r="R166" s="60"/>
    </row>
    <row r="167" spans="1:18" ht="16.2" customHeight="1" x14ac:dyDescent="0.3">
      <c r="A167" s="129"/>
      <c r="B167" s="60"/>
      <c r="C167" s="55"/>
      <c r="D167" s="60"/>
      <c r="E167" s="103">
        <f>_xlfn.XLOOKUP(enrollment_table[[#This Row],[*Subject]], classes_table[*Subject], classes_table[Fee])</f>
        <v>0</v>
      </c>
      <c r="F167" s="58"/>
      <c r="G167" s="60"/>
      <c r="H167" s="55"/>
      <c r="I167" s="176">
        <f>_xlfn.XLOOKUP(enrollment_table[[#This Row],[*Teacher Name]], teachers_table[*Teacher Name], teachers_table[*Teacher ID])</f>
        <v>0</v>
      </c>
      <c r="J167" s="60"/>
      <c r="K167" s="60"/>
      <c r="L167" s="55"/>
      <c r="M167" s="60"/>
      <c r="N167" s="60"/>
      <c r="O167" s="55"/>
      <c r="P167" s="161"/>
      <c r="Q167" s="160" t="str">
        <f>IF(enrollment_table[[#This Row],[Enrollment Date]]="","",TEXT(enrollment_table[[#This Row],[Enrollment Date]],"mmmm"))</f>
        <v/>
      </c>
      <c r="R167" s="60"/>
    </row>
    <row r="168" spans="1:18" ht="16.2" customHeight="1" x14ac:dyDescent="0.3">
      <c r="A168" s="129"/>
      <c r="B168" s="60"/>
      <c r="C168" s="55"/>
      <c r="D168" s="60"/>
      <c r="E168" s="103">
        <f>_xlfn.XLOOKUP(enrollment_table[[#This Row],[*Subject]], classes_table[*Subject], classes_table[Fee])</f>
        <v>0</v>
      </c>
      <c r="F168" s="58"/>
      <c r="G168" s="60"/>
      <c r="H168" s="55"/>
      <c r="I168" s="176">
        <f>_xlfn.XLOOKUP(enrollment_table[[#This Row],[*Teacher Name]], teachers_table[*Teacher Name], teachers_table[*Teacher ID])</f>
        <v>0</v>
      </c>
      <c r="J168" s="60"/>
      <c r="K168" s="60"/>
      <c r="L168" s="55"/>
      <c r="M168" s="60"/>
      <c r="N168" s="60"/>
      <c r="O168" s="55"/>
      <c r="P168" s="161"/>
      <c r="Q168" s="160" t="str">
        <f>IF(enrollment_table[[#This Row],[Enrollment Date]]="","",TEXT(enrollment_table[[#This Row],[Enrollment Date]],"mmmm"))</f>
        <v/>
      </c>
      <c r="R168" s="60"/>
    </row>
    <row r="169" spans="1:18" ht="16.2" customHeight="1" x14ac:dyDescent="0.3">
      <c r="A169" s="129"/>
      <c r="B169" s="60"/>
      <c r="C169" s="55"/>
      <c r="D169" s="60"/>
      <c r="E169" s="103">
        <f>_xlfn.XLOOKUP(enrollment_table[[#This Row],[*Subject]], classes_table[*Subject], classes_table[Fee])</f>
        <v>0</v>
      </c>
      <c r="F169" s="58"/>
      <c r="G169" s="60"/>
      <c r="H169" s="55"/>
      <c r="I169" s="176">
        <f>_xlfn.XLOOKUP(enrollment_table[[#This Row],[*Teacher Name]], teachers_table[*Teacher Name], teachers_table[*Teacher ID])</f>
        <v>0</v>
      </c>
      <c r="J169" s="60"/>
      <c r="K169" s="60"/>
      <c r="L169" s="55"/>
      <c r="M169" s="60"/>
      <c r="N169" s="60"/>
      <c r="O169" s="55"/>
      <c r="P169" s="161"/>
      <c r="Q169" s="160" t="str">
        <f>IF(enrollment_table[[#This Row],[Enrollment Date]]="","",TEXT(enrollment_table[[#This Row],[Enrollment Date]],"mmmm"))</f>
        <v/>
      </c>
      <c r="R169" s="60"/>
    </row>
    <row r="170" spans="1:18" ht="16.2" customHeight="1" x14ac:dyDescent="0.3">
      <c r="A170" s="129"/>
      <c r="B170" s="60"/>
      <c r="C170" s="55"/>
      <c r="D170" s="60"/>
      <c r="E170" s="103">
        <f>_xlfn.XLOOKUP(enrollment_table[[#This Row],[*Subject]], classes_table[*Subject], classes_table[Fee])</f>
        <v>0</v>
      </c>
      <c r="F170" s="58"/>
      <c r="G170" s="60"/>
      <c r="H170" s="55"/>
      <c r="I170" s="176">
        <f>_xlfn.XLOOKUP(enrollment_table[[#This Row],[*Teacher Name]], teachers_table[*Teacher Name], teachers_table[*Teacher ID])</f>
        <v>0</v>
      </c>
      <c r="J170" s="60"/>
      <c r="K170" s="60"/>
      <c r="L170" s="55"/>
      <c r="M170" s="60"/>
      <c r="N170" s="60"/>
      <c r="O170" s="55"/>
      <c r="P170" s="161"/>
      <c r="Q170" s="160" t="str">
        <f>IF(enrollment_table[[#This Row],[Enrollment Date]]="","",TEXT(enrollment_table[[#This Row],[Enrollment Date]],"mmmm"))</f>
        <v/>
      </c>
      <c r="R170" s="60"/>
    </row>
    <row r="171" spans="1:18" ht="16.2" customHeight="1" x14ac:dyDescent="0.3">
      <c r="A171" s="129"/>
      <c r="B171" s="60"/>
      <c r="C171" s="55"/>
      <c r="D171" s="60"/>
      <c r="E171" s="103">
        <f>_xlfn.XLOOKUP(enrollment_table[[#This Row],[*Subject]], classes_table[*Subject], classes_table[Fee])</f>
        <v>0</v>
      </c>
      <c r="F171" s="58"/>
      <c r="G171" s="60"/>
      <c r="H171" s="55"/>
      <c r="I171" s="176">
        <f>_xlfn.XLOOKUP(enrollment_table[[#This Row],[*Teacher Name]], teachers_table[*Teacher Name], teachers_table[*Teacher ID])</f>
        <v>0</v>
      </c>
      <c r="J171" s="60"/>
      <c r="K171" s="60"/>
      <c r="L171" s="55"/>
      <c r="M171" s="60"/>
      <c r="N171" s="60"/>
      <c r="O171" s="55"/>
      <c r="P171" s="161"/>
      <c r="Q171" s="160" t="str">
        <f>IF(enrollment_table[[#This Row],[Enrollment Date]]="","",TEXT(enrollment_table[[#This Row],[Enrollment Date]],"mmmm"))</f>
        <v/>
      </c>
      <c r="R171" s="60"/>
    </row>
    <row r="172" spans="1:18" ht="16.2" customHeight="1" x14ac:dyDescent="0.3">
      <c r="A172" s="129"/>
      <c r="B172" s="60"/>
      <c r="C172" s="55"/>
      <c r="D172" s="60"/>
      <c r="E172" s="103">
        <f>_xlfn.XLOOKUP(enrollment_table[[#This Row],[*Subject]], classes_table[*Subject], classes_table[Fee])</f>
        <v>0</v>
      </c>
      <c r="F172" s="58"/>
      <c r="G172" s="60"/>
      <c r="H172" s="55"/>
      <c r="I172" s="176">
        <f>_xlfn.XLOOKUP(enrollment_table[[#This Row],[*Teacher Name]], teachers_table[*Teacher Name], teachers_table[*Teacher ID])</f>
        <v>0</v>
      </c>
      <c r="J172" s="60"/>
      <c r="K172" s="60"/>
      <c r="L172" s="55"/>
      <c r="M172" s="60"/>
      <c r="N172" s="60"/>
      <c r="O172" s="55"/>
      <c r="P172" s="161"/>
      <c r="Q172" s="160" t="str">
        <f>IF(enrollment_table[[#This Row],[Enrollment Date]]="","",TEXT(enrollment_table[[#This Row],[Enrollment Date]],"mmmm"))</f>
        <v/>
      </c>
      <c r="R172" s="60"/>
    </row>
    <row r="173" spans="1:18" ht="16.2" customHeight="1" x14ac:dyDescent="0.3">
      <c r="A173" s="129"/>
      <c r="B173" s="60"/>
      <c r="C173" s="55"/>
      <c r="D173" s="60"/>
      <c r="E173" s="103">
        <f>_xlfn.XLOOKUP(enrollment_table[[#This Row],[*Subject]], classes_table[*Subject], classes_table[Fee])</f>
        <v>0</v>
      </c>
      <c r="F173" s="58"/>
      <c r="G173" s="60"/>
      <c r="H173" s="55"/>
      <c r="I173" s="176">
        <f>_xlfn.XLOOKUP(enrollment_table[[#This Row],[*Teacher Name]], teachers_table[*Teacher Name], teachers_table[*Teacher ID])</f>
        <v>0</v>
      </c>
      <c r="J173" s="60"/>
      <c r="K173" s="60"/>
      <c r="L173" s="55"/>
      <c r="M173" s="60"/>
      <c r="N173" s="60"/>
      <c r="O173" s="55"/>
      <c r="P173" s="161"/>
      <c r="Q173" s="160" t="str">
        <f>IF(enrollment_table[[#This Row],[Enrollment Date]]="","",TEXT(enrollment_table[[#This Row],[Enrollment Date]],"mmmm"))</f>
        <v/>
      </c>
      <c r="R173" s="60"/>
    </row>
    <row r="174" spans="1:18" ht="16.2" customHeight="1" x14ac:dyDescent="0.3">
      <c r="A174" s="129"/>
      <c r="B174" s="60"/>
      <c r="C174" s="55"/>
      <c r="D174" s="60"/>
      <c r="E174" s="103">
        <f>_xlfn.XLOOKUP(enrollment_table[[#This Row],[*Subject]], classes_table[*Subject], classes_table[Fee])</f>
        <v>0</v>
      </c>
      <c r="F174" s="58"/>
      <c r="G174" s="60"/>
      <c r="H174" s="55"/>
      <c r="I174" s="176">
        <f>_xlfn.XLOOKUP(enrollment_table[[#This Row],[*Teacher Name]], teachers_table[*Teacher Name], teachers_table[*Teacher ID])</f>
        <v>0</v>
      </c>
      <c r="J174" s="60"/>
      <c r="K174" s="60"/>
      <c r="L174" s="55"/>
      <c r="M174" s="60"/>
      <c r="N174" s="60"/>
      <c r="O174" s="55"/>
      <c r="P174" s="161"/>
      <c r="Q174" s="160" t="str">
        <f>IF(enrollment_table[[#This Row],[Enrollment Date]]="","",TEXT(enrollment_table[[#This Row],[Enrollment Date]],"mmmm"))</f>
        <v/>
      </c>
      <c r="R174" s="60"/>
    </row>
    <row r="175" spans="1:18" ht="16.2" customHeight="1" x14ac:dyDescent="0.3">
      <c r="A175" s="129"/>
      <c r="B175" s="60"/>
      <c r="C175" s="55"/>
      <c r="D175" s="60"/>
      <c r="E175" s="103">
        <f>_xlfn.XLOOKUP(enrollment_table[[#This Row],[*Subject]], classes_table[*Subject], classes_table[Fee])</f>
        <v>0</v>
      </c>
      <c r="F175" s="58"/>
      <c r="G175" s="60"/>
      <c r="H175" s="55"/>
      <c r="I175" s="176">
        <f>_xlfn.XLOOKUP(enrollment_table[[#This Row],[*Teacher Name]], teachers_table[*Teacher Name], teachers_table[*Teacher ID])</f>
        <v>0</v>
      </c>
      <c r="J175" s="60"/>
      <c r="K175" s="60"/>
      <c r="L175" s="55"/>
      <c r="M175" s="60"/>
      <c r="N175" s="60"/>
      <c r="O175" s="55"/>
      <c r="P175" s="161"/>
      <c r="Q175" s="160" t="str">
        <f>IF(enrollment_table[[#This Row],[Enrollment Date]]="","",TEXT(enrollment_table[[#This Row],[Enrollment Date]],"mmmm"))</f>
        <v/>
      </c>
      <c r="R175" s="60"/>
    </row>
    <row r="176" spans="1:18" ht="16.2" customHeight="1" x14ac:dyDescent="0.3">
      <c r="A176" s="129"/>
      <c r="B176" s="60"/>
      <c r="C176" s="55"/>
      <c r="D176" s="60"/>
      <c r="E176" s="103">
        <f>_xlfn.XLOOKUP(enrollment_table[[#This Row],[*Subject]], classes_table[*Subject], classes_table[Fee])</f>
        <v>0</v>
      </c>
      <c r="F176" s="58"/>
      <c r="G176" s="60"/>
      <c r="H176" s="55"/>
      <c r="I176" s="176">
        <f>_xlfn.XLOOKUP(enrollment_table[[#This Row],[*Teacher Name]], teachers_table[*Teacher Name], teachers_table[*Teacher ID])</f>
        <v>0</v>
      </c>
      <c r="J176" s="60"/>
      <c r="K176" s="60"/>
      <c r="L176" s="55"/>
      <c r="M176" s="60"/>
      <c r="N176" s="60"/>
      <c r="O176" s="55"/>
      <c r="P176" s="161"/>
      <c r="Q176" s="160" t="str">
        <f>IF(enrollment_table[[#This Row],[Enrollment Date]]="","",TEXT(enrollment_table[[#This Row],[Enrollment Date]],"mmmm"))</f>
        <v/>
      </c>
      <c r="R176" s="60"/>
    </row>
    <row r="177" spans="1:18" ht="16.2" customHeight="1" x14ac:dyDescent="0.3">
      <c r="A177" s="129"/>
      <c r="B177" s="60"/>
      <c r="C177" s="55"/>
      <c r="D177" s="60"/>
      <c r="E177" s="103">
        <f>_xlfn.XLOOKUP(enrollment_table[[#This Row],[*Subject]], classes_table[*Subject], classes_table[Fee])</f>
        <v>0</v>
      </c>
      <c r="F177" s="58"/>
      <c r="G177" s="60"/>
      <c r="H177" s="55"/>
      <c r="I177" s="176">
        <f>_xlfn.XLOOKUP(enrollment_table[[#This Row],[*Teacher Name]], teachers_table[*Teacher Name], teachers_table[*Teacher ID])</f>
        <v>0</v>
      </c>
      <c r="J177" s="60"/>
      <c r="K177" s="60"/>
      <c r="L177" s="55"/>
      <c r="M177" s="60"/>
      <c r="N177" s="60"/>
      <c r="O177" s="55"/>
      <c r="P177" s="161"/>
      <c r="Q177" s="160" t="str">
        <f>IF(enrollment_table[[#This Row],[Enrollment Date]]="","",TEXT(enrollment_table[[#This Row],[Enrollment Date]],"mmmm"))</f>
        <v/>
      </c>
      <c r="R177" s="60"/>
    </row>
    <row r="178" spans="1:18" ht="16.2" customHeight="1" x14ac:dyDescent="0.3">
      <c r="A178" s="129"/>
      <c r="B178" s="60"/>
      <c r="C178" s="55"/>
      <c r="D178" s="60"/>
      <c r="E178" s="103">
        <f>_xlfn.XLOOKUP(enrollment_table[[#This Row],[*Subject]], classes_table[*Subject], classes_table[Fee])</f>
        <v>0</v>
      </c>
      <c r="F178" s="58"/>
      <c r="G178" s="60"/>
      <c r="H178" s="55"/>
      <c r="I178" s="176">
        <f>_xlfn.XLOOKUP(enrollment_table[[#This Row],[*Teacher Name]], teachers_table[*Teacher Name], teachers_table[*Teacher ID])</f>
        <v>0</v>
      </c>
      <c r="J178" s="60"/>
      <c r="K178" s="60"/>
      <c r="L178" s="55"/>
      <c r="M178" s="60"/>
      <c r="N178" s="60"/>
      <c r="O178" s="55"/>
      <c r="P178" s="161"/>
      <c r="Q178" s="160" t="str">
        <f>IF(enrollment_table[[#This Row],[Enrollment Date]]="","",TEXT(enrollment_table[[#This Row],[Enrollment Date]],"mmmm"))</f>
        <v/>
      </c>
      <c r="R178" s="60"/>
    </row>
    <row r="179" spans="1:18" ht="16.2" customHeight="1" x14ac:dyDescent="0.3">
      <c r="A179" s="129"/>
      <c r="B179" s="60"/>
      <c r="C179" s="55"/>
      <c r="D179" s="60"/>
      <c r="E179" s="103">
        <f>_xlfn.XLOOKUP(enrollment_table[[#This Row],[*Subject]], classes_table[*Subject], classes_table[Fee])</f>
        <v>0</v>
      </c>
      <c r="F179" s="58"/>
      <c r="G179" s="60"/>
      <c r="H179" s="55"/>
      <c r="I179" s="176">
        <f>_xlfn.XLOOKUP(enrollment_table[[#This Row],[*Teacher Name]], teachers_table[*Teacher Name], teachers_table[*Teacher ID])</f>
        <v>0</v>
      </c>
      <c r="J179" s="60"/>
      <c r="K179" s="60"/>
      <c r="L179" s="55"/>
      <c r="M179" s="60"/>
      <c r="N179" s="60"/>
      <c r="O179" s="55"/>
      <c r="P179" s="161"/>
      <c r="Q179" s="160" t="str">
        <f>IF(enrollment_table[[#This Row],[Enrollment Date]]="","",TEXT(enrollment_table[[#This Row],[Enrollment Date]],"mmmm"))</f>
        <v/>
      </c>
      <c r="R179" s="60"/>
    </row>
    <row r="180" spans="1:18" ht="16.2" customHeight="1" x14ac:dyDescent="0.3">
      <c r="A180" s="129"/>
      <c r="B180" s="60"/>
      <c r="C180" s="55"/>
      <c r="D180" s="60"/>
      <c r="E180" s="103">
        <f>_xlfn.XLOOKUP(enrollment_table[[#This Row],[*Subject]], classes_table[*Subject], classes_table[Fee])</f>
        <v>0</v>
      </c>
      <c r="F180" s="58"/>
      <c r="G180" s="60"/>
      <c r="H180" s="55"/>
      <c r="I180" s="176">
        <f>_xlfn.XLOOKUP(enrollment_table[[#This Row],[*Teacher Name]], teachers_table[*Teacher Name], teachers_table[*Teacher ID])</f>
        <v>0</v>
      </c>
      <c r="J180" s="60"/>
      <c r="K180" s="60"/>
      <c r="L180" s="55"/>
      <c r="M180" s="60"/>
      <c r="N180" s="60"/>
      <c r="O180" s="55"/>
      <c r="P180" s="161"/>
      <c r="Q180" s="160" t="str">
        <f>IF(enrollment_table[[#This Row],[Enrollment Date]]="","",TEXT(enrollment_table[[#This Row],[Enrollment Date]],"mmmm"))</f>
        <v/>
      </c>
      <c r="R180" s="60"/>
    </row>
    <row r="181" spans="1:18" ht="16.2" customHeight="1" x14ac:dyDescent="0.3">
      <c r="A181" s="129"/>
      <c r="B181" s="60"/>
      <c r="C181" s="55"/>
      <c r="D181" s="60"/>
      <c r="E181" s="103">
        <f>_xlfn.XLOOKUP(enrollment_table[[#This Row],[*Subject]], classes_table[*Subject], classes_table[Fee])</f>
        <v>0</v>
      </c>
      <c r="F181" s="58"/>
      <c r="G181" s="60"/>
      <c r="H181" s="55"/>
      <c r="I181" s="176">
        <f>_xlfn.XLOOKUP(enrollment_table[[#This Row],[*Teacher Name]], teachers_table[*Teacher Name], teachers_table[*Teacher ID])</f>
        <v>0</v>
      </c>
      <c r="J181" s="60"/>
      <c r="K181" s="60"/>
      <c r="L181" s="55"/>
      <c r="M181" s="60"/>
      <c r="N181" s="60"/>
      <c r="O181" s="55"/>
      <c r="P181" s="161"/>
      <c r="Q181" s="160" t="str">
        <f>IF(enrollment_table[[#This Row],[Enrollment Date]]="","",TEXT(enrollment_table[[#This Row],[Enrollment Date]],"mmmm"))</f>
        <v/>
      </c>
      <c r="R181" s="60"/>
    </row>
    <row r="182" spans="1:18" ht="16.2" customHeight="1" x14ac:dyDescent="0.3">
      <c r="A182" s="129"/>
      <c r="B182" s="60"/>
      <c r="C182" s="55"/>
      <c r="D182" s="60"/>
      <c r="E182" s="103">
        <f>_xlfn.XLOOKUP(enrollment_table[[#This Row],[*Subject]], classes_table[*Subject], classes_table[Fee])</f>
        <v>0</v>
      </c>
      <c r="F182" s="58"/>
      <c r="G182" s="60"/>
      <c r="H182" s="55"/>
      <c r="I182" s="176">
        <f>_xlfn.XLOOKUP(enrollment_table[[#This Row],[*Teacher Name]], teachers_table[*Teacher Name], teachers_table[*Teacher ID])</f>
        <v>0</v>
      </c>
      <c r="J182" s="60"/>
      <c r="K182" s="60"/>
      <c r="L182" s="55"/>
      <c r="M182" s="60"/>
      <c r="N182" s="60"/>
      <c r="O182" s="55"/>
      <c r="P182" s="161"/>
      <c r="Q182" s="160" t="str">
        <f>IF(enrollment_table[[#This Row],[Enrollment Date]]="","",TEXT(enrollment_table[[#This Row],[Enrollment Date]],"mmmm"))</f>
        <v/>
      </c>
      <c r="R182" s="60"/>
    </row>
    <row r="183" spans="1:18" ht="16.2" customHeight="1" x14ac:dyDescent="0.3">
      <c r="A183" s="129"/>
      <c r="B183" s="60"/>
      <c r="C183" s="55"/>
      <c r="D183" s="60"/>
      <c r="E183" s="103">
        <f>_xlfn.XLOOKUP(enrollment_table[[#This Row],[*Subject]], classes_table[*Subject], classes_table[Fee])</f>
        <v>0</v>
      </c>
      <c r="F183" s="58"/>
      <c r="G183" s="60"/>
      <c r="H183" s="55"/>
      <c r="I183" s="176">
        <f>_xlfn.XLOOKUP(enrollment_table[[#This Row],[*Teacher Name]], teachers_table[*Teacher Name], teachers_table[*Teacher ID])</f>
        <v>0</v>
      </c>
      <c r="J183" s="60"/>
      <c r="K183" s="60"/>
      <c r="L183" s="55"/>
      <c r="M183" s="60"/>
      <c r="N183" s="60"/>
      <c r="O183" s="55"/>
      <c r="P183" s="161"/>
      <c r="Q183" s="160" t="str">
        <f>IF(enrollment_table[[#This Row],[Enrollment Date]]="","",TEXT(enrollment_table[[#This Row],[Enrollment Date]],"mmmm"))</f>
        <v/>
      </c>
      <c r="R183" s="60"/>
    </row>
    <row r="184" spans="1:18" ht="15" x14ac:dyDescent="0.3">
      <c r="A184" s="129"/>
      <c r="B184" s="60"/>
      <c r="C184" s="55"/>
      <c r="D184" s="60"/>
      <c r="E184" s="103">
        <f>_xlfn.XLOOKUP(enrollment_table[[#This Row],[*Subject]], classes_table[*Subject], classes_table[Fee])</f>
        <v>0</v>
      </c>
      <c r="F184" s="58"/>
      <c r="G184" s="60"/>
      <c r="H184" s="55"/>
      <c r="I184" s="176">
        <f>_xlfn.XLOOKUP(enrollment_table[[#This Row],[*Teacher Name]], teachers_table[*Teacher Name], teachers_table[*Teacher ID])</f>
        <v>0</v>
      </c>
      <c r="J184" s="60"/>
      <c r="K184" s="60"/>
      <c r="L184" s="55"/>
      <c r="M184" s="60"/>
      <c r="N184" s="60"/>
      <c r="O184" s="55"/>
      <c r="P184" s="161"/>
      <c r="Q184" s="160" t="str">
        <f>IF(enrollment_table[[#This Row],[Enrollment Date]]="","",TEXT(enrollment_table[[#This Row],[Enrollment Date]],"mmmm"))</f>
        <v/>
      </c>
      <c r="R184" s="60"/>
    </row>
    <row r="185" spans="1:18" ht="15" x14ac:dyDescent="0.3">
      <c r="A185" s="129"/>
      <c r="B185" s="60"/>
      <c r="C185" s="55"/>
      <c r="D185" s="60"/>
      <c r="E185" s="103">
        <f>_xlfn.XLOOKUP(enrollment_table[[#This Row],[*Subject]], classes_table[*Subject], classes_table[Fee])</f>
        <v>0</v>
      </c>
      <c r="F185" s="58"/>
      <c r="G185" s="60"/>
      <c r="H185" s="55"/>
      <c r="I185" s="176">
        <f>_xlfn.XLOOKUP(enrollment_table[[#This Row],[*Teacher Name]], teachers_table[*Teacher Name], teachers_table[*Teacher ID])</f>
        <v>0</v>
      </c>
      <c r="J185" s="60"/>
      <c r="K185" s="60"/>
      <c r="L185" s="55"/>
      <c r="M185" s="60"/>
      <c r="N185" s="60"/>
      <c r="O185" s="55"/>
      <c r="P185" s="161"/>
      <c r="Q185" s="160" t="str">
        <f>IF(enrollment_table[[#This Row],[Enrollment Date]]="","",TEXT(enrollment_table[[#This Row],[Enrollment Date]],"mmmm"))</f>
        <v/>
      </c>
      <c r="R185" s="60"/>
    </row>
    <row r="186" spans="1:18" ht="15" x14ac:dyDescent="0.3">
      <c r="A186" s="129"/>
      <c r="B186" s="60"/>
      <c r="C186" s="55"/>
      <c r="D186" s="60"/>
      <c r="E186" s="103">
        <f>_xlfn.XLOOKUP(enrollment_table[[#This Row],[*Subject]], classes_table[*Subject], classes_table[Fee])</f>
        <v>0</v>
      </c>
      <c r="F186" s="58"/>
      <c r="G186" s="60"/>
      <c r="H186" s="55"/>
      <c r="I186" s="176">
        <f>_xlfn.XLOOKUP(enrollment_table[[#This Row],[*Teacher Name]], teachers_table[*Teacher Name], teachers_table[*Teacher ID])</f>
        <v>0</v>
      </c>
      <c r="J186" s="60"/>
      <c r="K186" s="60"/>
      <c r="L186" s="55"/>
      <c r="M186" s="60"/>
      <c r="N186" s="60"/>
      <c r="O186" s="55"/>
      <c r="P186" s="161"/>
      <c r="Q186" s="160" t="str">
        <f>IF(enrollment_table[[#This Row],[Enrollment Date]]="","",TEXT(enrollment_table[[#This Row],[Enrollment Date]],"mmmm"))</f>
        <v/>
      </c>
      <c r="R186" s="60"/>
    </row>
    <row r="187" spans="1:18" ht="15" x14ac:dyDescent="0.3">
      <c r="A187" s="129"/>
      <c r="B187" s="60"/>
      <c r="C187" s="55"/>
      <c r="D187" s="60"/>
      <c r="E187" s="103">
        <f>_xlfn.XLOOKUP(enrollment_table[[#This Row],[*Subject]], classes_table[*Subject], classes_table[Fee])</f>
        <v>0</v>
      </c>
      <c r="F187" s="58"/>
      <c r="G187" s="60"/>
      <c r="H187" s="55"/>
      <c r="I187" s="176">
        <f>_xlfn.XLOOKUP(enrollment_table[[#This Row],[*Teacher Name]], teachers_table[*Teacher Name], teachers_table[*Teacher ID])</f>
        <v>0</v>
      </c>
      <c r="J187" s="60"/>
      <c r="K187" s="60"/>
      <c r="L187" s="55"/>
      <c r="M187" s="60"/>
      <c r="N187" s="60"/>
      <c r="O187" s="55"/>
      <c r="P187" s="161"/>
      <c r="Q187" s="160" t="str">
        <f>IF(enrollment_table[[#This Row],[Enrollment Date]]="","",TEXT(enrollment_table[[#This Row],[Enrollment Date]],"mmmm"))</f>
        <v/>
      </c>
      <c r="R187" s="60"/>
    </row>
    <row r="188" spans="1:18" ht="15" x14ac:dyDescent="0.3">
      <c r="A188" s="129"/>
      <c r="B188" s="60"/>
      <c r="C188" s="55"/>
      <c r="D188" s="60"/>
      <c r="E188" s="103">
        <f>_xlfn.XLOOKUP(enrollment_table[[#This Row],[*Subject]], classes_table[*Subject], classes_table[Fee])</f>
        <v>0</v>
      </c>
      <c r="F188" s="58"/>
      <c r="G188" s="60"/>
      <c r="H188" s="55"/>
      <c r="I188" s="176">
        <f>_xlfn.XLOOKUP(enrollment_table[[#This Row],[*Teacher Name]], teachers_table[*Teacher Name], teachers_table[*Teacher ID])</f>
        <v>0</v>
      </c>
      <c r="J188" s="60"/>
      <c r="K188" s="60"/>
      <c r="L188" s="55"/>
      <c r="M188" s="60"/>
      <c r="N188" s="60"/>
      <c r="O188" s="55"/>
      <c r="P188" s="161"/>
      <c r="Q188" s="160" t="str">
        <f>IF(enrollment_table[[#This Row],[Enrollment Date]]="","",TEXT(enrollment_table[[#This Row],[Enrollment Date]],"mmmm"))</f>
        <v/>
      </c>
      <c r="R188" s="60"/>
    </row>
    <row r="189" spans="1:18" ht="15" x14ac:dyDescent="0.3">
      <c r="A189" s="129"/>
      <c r="B189" s="60"/>
      <c r="C189" s="55"/>
      <c r="D189" s="60"/>
      <c r="E189" s="103">
        <f>_xlfn.XLOOKUP(enrollment_table[[#This Row],[*Subject]], classes_table[*Subject], classes_table[Fee])</f>
        <v>0</v>
      </c>
      <c r="F189" s="58"/>
      <c r="G189" s="60"/>
      <c r="H189" s="55"/>
      <c r="I189" s="176">
        <f>_xlfn.XLOOKUP(enrollment_table[[#This Row],[*Teacher Name]], teachers_table[*Teacher Name], teachers_table[*Teacher ID])</f>
        <v>0</v>
      </c>
      <c r="J189" s="60"/>
      <c r="K189" s="60"/>
      <c r="L189" s="55"/>
      <c r="M189" s="60"/>
      <c r="N189" s="60"/>
      <c r="O189" s="55"/>
      <c r="P189" s="161"/>
      <c r="Q189" s="160" t="str">
        <f>IF(enrollment_table[[#This Row],[Enrollment Date]]="","",TEXT(enrollment_table[[#This Row],[Enrollment Date]],"mmmm"))</f>
        <v/>
      </c>
      <c r="R189" s="60"/>
    </row>
    <row r="190" spans="1:18" ht="15" x14ac:dyDescent="0.3">
      <c r="A190" s="129"/>
      <c r="B190" s="60"/>
      <c r="C190" s="55"/>
      <c r="D190" s="60"/>
      <c r="E190" s="103">
        <f>_xlfn.XLOOKUP(enrollment_table[[#This Row],[*Subject]], classes_table[*Subject], classes_table[Fee])</f>
        <v>0</v>
      </c>
      <c r="F190" s="58"/>
      <c r="G190" s="60"/>
      <c r="H190" s="55"/>
      <c r="I190" s="176">
        <f>_xlfn.XLOOKUP(enrollment_table[[#This Row],[*Teacher Name]], teachers_table[*Teacher Name], teachers_table[*Teacher ID])</f>
        <v>0</v>
      </c>
      <c r="J190" s="60"/>
      <c r="K190" s="60"/>
      <c r="L190" s="55"/>
      <c r="M190" s="60"/>
      <c r="N190" s="60"/>
      <c r="O190" s="55"/>
      <c r="P190" s="161"/>
      <c r="Q190" s="160" t="str">
        <f>IF(enrollment_table[[#This Row],[Enrollment Date]]="","",TEXT(enrollment_table[[#This Row],[Enrollment Date]],"mmmm"))</f>
        <v/>
      </c>
      <c r="R190" s="60"/>
    </row>
    <row r="191" spans="1:18" ht="15" x14ac:dyDescent="0.3">
      <c r="A191" s="129"/>
      <c r="B191" s="60"/>
      <c r="C191" s="55"/>
      <c r="D191" s="60"/>
      <c r="E191" s="103">
        <f>_xlfn.XLOOKUP(enrollment_table[[#This Row],[*Subject]], classes_table[*Subject], classes_table[Fee])</f>
        <v>0</v>
      </c>
      <c r="F191" s="58"/>
      <c r="G191" s="60"/>
      <c r="H191" s="55"/>
      <c r="I191" s="176">
        <f>_xlfn.XLOOKUP(enrollment_table[[#This Row],[*Teacher Name]], teachers_table[*Teacher Name], teachers_table[*Teacher ID])</f>
        <v>0</v>
      </c>
      <c r="J191" s="60"/>
      <c r="K191" s="60"/>
      <c r="L191" s="55"/>
      <c r="M191" s="60"/>
      <c r="N191" s="60"/>
      <c r="O191" s="55"/>
      <c r="P191" s="161"/>
      <c r="Q191" s="160" t="str">
        <f>IF(enrollment_table[[#This Row],[Enrollment Date]]="","",TEXT(enrollment_table[[#This Row],[Enrollment Date]],"mmmm"))</f>
        <v/>
      </c>
      <c r="R191" s="60"/>
    </row>
    <row r="192" spans="1:18" ht="15" x14ac:dyDescent="0.3">
      <c r="A192" s="129"/>
      <c r="B192" s="60"/>
      <c r="C192" s="55"/>
      <c r="D192" s="60"/>
      <c r="E192" s="103">
        <f>_xlfn.XLOOKUP(enrollment_table[[#This Row],[*Subject]], classes_table[*Subject], classes_table[Fee])</f>
        <v>0</v>
      </c>
      <c r="F192" s="58"/>
      <c r="G192" s="60"/>
      <c r="H192" s="55"/>
      <c r="I192" s="176">
        <f>_xlfn.XLOOKUP(enrollment_table[[#This Row],[*Teacher Name]], teachers_table[*Teacher Name], teachers_table[*Teacher ID])</f>
        <v>0</v>
      </c>
      <c r="J192" s="60"/>
      <c r="K192" s="60"/>
      <c r="L192" s="55"/>
      <c r="M192" s="60"/>
      <c r="N192" s="60"/>
      <c r="O192" s="55"/>
      <c r="P192" s="161"/>
      <c r="Q192" s="160" t="str">
        <f>IF(enrollment_table[[#This Row],[Enrollment Date]]="","",TEXT(enrollment_table[[#This Row],[Enrollment Date]],"mmmm"))</f>
        <v/>
      </c>
      <c r="R192" s="60"/>
    </row>
    <row r="193" spans="1:18" ht="15" x14ac:dyDescent="0.3">
      <c r="A193" s="129"/>
      <c r="B193" s="60"/>
      <c r="C193" s="55"/>
      <c r="D193" s="60"/>
      <c r="E193" s="103">
        <f>_xlfn.XLOOKUP(enrollment_table[[#This Row],[*Subject]], classes_table[*Subject], classes_table[Fee])</f>
        <v>0</v>
      </c>
      <c r="F193" s="58"/>
      <c r="G193" s="60"/>
      <c r="H193" s="55"/>
      <c r="I193" s="176">
        <f>_xlfn.XLOOKUP(enrollment_table[[#This Row],[*Teacher Name]], teachers_table[*Teacher Name], teachers_table[*Teacher ID])</f>
        <v>0</v>
      </c>
      <c r="J193" s="60"/>
      <c r="K193" s="60"/>
      <c r="L193" s="55"/>
      <c r="M193" s="60"/>
      <c r="N193" s="60"/>
      <c r="O193" s="55"/>
      <c r="P193" s="161"/>
      <c r="Q193" s="160" t="str">
        <f>IF(enrollment_table[[#This Row],[Enrollment Date]]="","",TEXT(enrollment_table[[#This Row],[Enrollment Date]],"mmmm"))</f>
        <v/>
      </c>
      <c r="R193" s="60"/>
    </row>
    <row r="194" spans="1:18" ht="15" x14ac:dyDescent="0.3">
      <c r="A194" s="129"/>
      <c r="B194" s="60"/>
      <c r="C194" s="55"/>
      <c r="D194" s="60"/>
      <c r="E194" s="103">
        <f>_xlfn.XLOOKUP(enrollment_table[[#This Row],[*Subject]], classes_table[*Subject], classes_table[Fee])</f>
        <v>0</v>
      </c>
      <c r="F194" s="58"/>
      <c r="G194" s="60"/>
      <c r="H194" s="55"/>
      <c r="I194" s="176">
        <f>_xlfn.XLOOKUP(enrollment_table[[#This Row],[*Teacher Name]], teachers_table[*Teacher Name], teachers_table[*Teacher ID])</f>
        <v>0</v>
      </c>
      <c r="J194" s="60"/>
      <c r="K194" s="60"/>
      <c r="L194" s="55"/>
      <c r="M194" s="60"/>
      <c r="N194" s="60"/>
      <c r="O194" s="55"/>
      <c r="P194" s="161"/>
      <c r="Q194" s="160" t="str">
        <f>IF(enrollment_table[[#This Row],[Enrollment Date]]="","",TEXT(enrollment_table[[#This Row],[Enrollment Date]],"mmmm"))</f>
        <v/>
      </c>
      <c r="R194" s="60"/>
    </row>
    <row r="195" spans="1:18" ht="15" x14ac:dyDescent="0.3">
      <c r="A195" s="129"/>
      <c r="B195" s="60"/>
      <c r="C195" s="55"/>
      <c r="D195" s="60"/>
      <c r="E195" s="103">
        <f>_xlfn.XLOOKUP(enrollment_table[[#This Row],[*Subject]], classes_table[*Subject], classes_table[Fee])</f>
        <v>0</v>
      </c>
      <c r="F195" s="58"/>
      <c r="G195" s="60"/>
      <c r="H195" s="55"/>
      <c r="I195" s="176">
        <f>_xlfn.XLOOKUP(enrollment_table[[#This Row],[*Teacher Name]], teachers_table[*Teacher Name], teachers_table[*Teacher ID])</f>
        <v>0</v>
      </c>
      <c r="J195" s="60"/>
      <c r="K195" s="60"/>
      <c r="L195" s="55"/>
      <c r="M195" s="60"/>
      <c r="N195" s="60"/>
      <c r="O195" s="55"/>
      <c r="P195" s="161"/>
      <c r="Q195" s="160" t="str">
        <f>IF(enrollment_table[[#This Row],[Enrollment Date]]="","",TEXT(enrollment_table[[#This Row],[Enrollment Date]],"mmmm"))</f>
        <v/>
      </c>
      <c r="R195" s="60"/>
    </row>
    <row r="196" spans="1:18" ht="15" x14ac:dyDescent="0.3">
      <c r="A196" s="129"/>
      <c r="B196" s="60"/>
      <c r="C196" s="55"/>
      <c r="D196" s="60"/>
      <c r="E196" s="103">
        <f>_xlfn.XLOOKUP(enrollment_table[[#This Row],[*Subject]], classes_table[*Subject], classes_table[Fee])</f>
        <v>0</v>
      </c>
      <c r="F196" s="58"/>
      <c r="G196" s="60"/>
      <c r="H196" s="55"/>
      <c r="I196" s="176">
        <f>_xlfn.XLOOKUP(enrollment_table[[#This Row],[*Teacher Name]], teachers_table[*Teacher Name], teachers_table[*Teacher ID])</f>
        <v>0</v>
      </c>
      <c r="J196" s="60"/>
      <c r="K196" s="60"/>
      <c r="L196" s="55"/>
      <c r="M196" s="60"/>
      <c r="N196" s="60"/>
      <c r="O196" s="55"/>
      <c r="P196" s="161"/>
      <c r="Q196" s="160" t="str">
        <f>IF(enrollment_table[[#This Row],[Enrollment Date]]="","",TEXT(enrollment_table[[#This Row],[Enrollment Date]],"mmmm"))</f>
        <v/>
      </c>
      <c r="R196" s="60"/>
    </row>
    <row r="197" spans="1:18" ht="15" x14ac:dyDescent="0.3">
      <c r="A197" s="129"/>
      <c r="B197" s="60"/>
      <c r="C197" s="55"/>
      <c r="D197" s="60"/>
      <c r="E197" s="103">
        <f>_xlfn.XLOOKUP(enrollment_table[[#This Row],[*Subject]], classes_table[*Subject], classes_table[Fee])</f>
        <v>0</v>
      </c>
      <c r="F197" s="58"/>
      <c r="G197" s="60"/>
      <c r="H197" s="55"/>
      <c r="I197" s="176">
        <f>_xlfn.XLOOKUP(enrollment_table[[#This Row],[*Teacher Name]], teachers_table[*Teacher Name], teachers_table[*Teacher ID])</f>
        <v>0</v>
      </c>
      <c r="J197" s="60"/>
      <c r="K197" s="60"/>
      <c r="L197" s="55"/>
      <c r="M197" s="60"/>
      <c r="N197" s="60"/>
      <c r="O197" s="55"/>
      <c r="P197" s="161"/>
      <c r="Q197" s="160" t="str">
        <f>IF(enrollment_table[[#This Row],[Enrollment Date]]="","",TEXT(enrollment_table[[#This Row],[Enrollment Date]],"mmmm"))</f>
        <v/>
      </c>
      <c r="R197" s="60"/>
    </row>
    <row r="198" spans="1:18" ht="15" x14ac:dyDescent="0.3">
      <c r="A198" s="129"/>
      <c r="B198" s="60"/>
      <c r="C198" s="55"/>
      <c r="D198" s="60"/>
      <c r="E198" s="103">
        <f>_xlfn.XLOOKUP(enrollment_table[[#This Row],[*Subject]], classes_table[*Subject], classes_table[Fee])</f>
        <v>0</v>
      </c>
      <c r="F198" s="58"/>
      <c r="G198" s="60"/>
      <c r="H198" s="55"/>
      <c r="I198" s="176">
        <f>_xlfn.XLOOKUP(enrollment_table[[#This Row],[*Teacher Name]], teachers_table[*Teacher Name], teachers_table[*Teacher ID])</f>
        <v>0</v>
      </c>
      <c r="J198" s="60"/>
      <c r="K198" s="60"/>
      <c r="L198" s="55"/>
      <c r="M198" s="60"/>
      <c r="N198" s="60"/>
      <c r="O198" s="55"/>
      <c r="P198" s="161"/>
      <c r="Q198" s="160" t="str">
        <f>IF(enrollment_table[[#This Row],[Enrollment Date]]="","",TEXT(enrollment_table[[#This Row],[Enrollment Date]],"mmmm"))</f>
        <v/>
      </c>
      <c r="R198" s="60"/>
    </row>
    <row r="199" spans="1:18" ht="15" x14ac:dyDescent="0.3">
      <c r="A199" s="129"/>
      <c r="B199" s="60"/>
      <c r="C199" s="55"/>
      <c r="D199" s="60"/>
      <c r="E199" s="103">
        <f>_xlfn.XLOOKUP(enrollment_table[[#This Row],[*Subject]], classes_table[*Subject], classes_table[Fee])</f>
        <v>0</v>
      </c>
      <c r="F199" s="58"/>
      <c r="G199" s="60"/>
      <c r="H199" s="55"/>
      <c r="I199" s="176">
        <f>_xlfn.XLOOKUP(enrollment_table[[#This Row],[*Teacher Name]], teachers_table[*Teacher Name], teachers_table[*Teacher ID])</f>
        <v>0</v>
      </c>
      <c r="J199" s="60"/>
      <c r="K199" s="60"/>
      <c r="L199" s="55"/>
      <c r="M199" s="60"/>
      <c r="N199" s="60"/>
      <c r="O199" s="55"/>
      <c r="P199" s="161"/>
      <c r="Q199" s="160" t="str">
        <f>IF(enrollment_table[[#This Row],[Enrollment Date]]="","",TEXT(enrollment_table[[#This Row],[Enrollment Date]],"mmmm"))</f>
        <v/>
      </c>
      <c r="R199" s="60"/>
    </row>
    <row r="200" spans="1:18" ht="15" x14ac:dyDescent="0.3">
      <c r="A200" s="129"/>
      <c r="B200" s="60"/>
      <c r="C200" s="55"/>
      <c r="D200" s="60"/>
      <c r="E200" s="103">
        <f>_xlfn.XLOOKUP(enrollment_table[[#This Row],[*Subject]], classes_table[*Subject], classes_table[Fee])</f>
        <v>0</v>
      </c>
      <c r="F200" s="58"/>
      <c r="G200" s="60"/>
      <c r="H200" s="55"/>
      <c r="I200" s="176">
        <f>_xlfn.XLOOKUP(enrollment_table[[#This Row],[*Teacher Name]], teachers_table[*Teacher Name], teachers_table[*Teacher ID])</f>
        <v>0</v>
      </c>
      <c r="J200" s="60"/>
      <c r="K200" s="60"/>
      <c r="L200" s="55"/>
      <c r="M200" s="60"/>
      <c r="N200" s="60"/>
      <c r="O200" s="55"/>
      <c r="P200" s="161"/>
      <c r="Q200" s="160" t="str">
        <f>IF(enrollment_table[[#This Row],[Enrollment Date]]="","",TEXT(enrollment_table[[#This Row],[Enrollment Date]],"mmmm"))</f>
        <v/>
      </c>
      <c r="R200" s="60"/>
    </row>
    <row r="201" spans="1:18" ht="15" x14ac:dyDescent="0.3">
      <c r="A201" s="129"/>
      <c r="B201" s="60"/>
      <c r="C201" s="55"/>
      <c r="D201" s="60"/>
      <c r="E201" s="103">
        <f>_xlfn.XLOOKUP(enrollment_table[[#This Row],[*Subject]], classes_table[*Subject], classes_table[Fee])</f>
        <v>0</v>
      </c>
      <c r="F201" s="58"/>
      <c r="G201" s="60"/>
      <c r="H201" s="55"/>
      <c r="I201" s="176">
        <f>_xlfn.XLOOKUP(enrollment_table[[#This Row],[*Teacher Name]], teachers_table[*Teacher Name], teachers_table[*Teacher ID])</f>
        <v>0</v>
      </c>
      <c r="J201" s="60"/>
      <c r="K201" s="60"/>
      <c r="L201" s="55"/>
      <c r="M201" s="60"/>
      <c r="N201" s="60"/>
      <c r="O201" s="55"/>
      <c r="P201" s="161"/>
      <c r="Q201" s="160" t="str">
        <f>IF(enrollment_table[[#This Row],[Enrollment Date]]="","",TEXT(enrollment_table[[#This Row],[Enrollment Date]],"mmmm"))</f>
        <v/>
      </c>
      <c r="R201" s="60"/>
    </row>
    <row r="202" spans="1:18" ht="15" x14ac:dyDescent="0.3">
      <c r="A202" s="129"/>
      <c r="B202" s="60"/>
      <c r="C202" s="55"/>
      <c r="D202" s="60"/>
      <c r="E202" s="103">
        <f>_xlfn.XLOOKUP(enrollment_table[[#This Row],[*Subject]], classes_table[*Subject], classes_table[Fee])</f>
        <v>0</v>
      </c>
      <c r="F202" s="58"/>
      <c r="G202" s="60"/>
      <c r="H202" s="55"/>
      <c r="I202" s="176">
        <f>_xlfn.XLOOKUP(enrollment_table[[#This Row],[*Teacher Name]], teachers_table[*Teacher Name], teachers_table[*Teacher ID])</f>
        <v>0</v>
      </c>
      <c r="J202" s="60"/>
      <c r="K202" s="60"/>
      <c r="L202" s="55"/>
      <c r="M202" s="60"/>
      <c r="N202" s="60"/>
      <c r="O202" s="55"/>
      <c r="P202" s="161"/>
      <c r="Q202" s="160" t="str">
        <f>IF(enrollment_table[[#This Row],[Enrollment Date]]="","",TEXT(enrollment_table[[#This Row],[Enrollment Date]],"mmmm"))</f>
        <v/>
      </c>
      <c r="R202" s="60"/>
    </row>
    <row r="203" spans="1:18" ht="15" x14ac:dyDescent="0.3">
      <c r="A203" s="129"/>
      <c r="B203" s="60"/>
      <c r="C203" s="55"/>
      <c r="D203" s="60"/>
      <c r="E203" s="103">
        <f>_xlfn.XLOOKUP(enrollment_table[[#This Row],[*Subject]], classes_table[*Subject], classes_table[Fee])</f>
        <v>0</v>
      </c>
      <c r="F203" s="58"/>
      <c r="G203" s="60"/>
      <c r="H203" s="55"/>
      <c r="I203" s="176">
        <f>_xlfn.XLOOKUP(enrollment_table[[#This Row],[*Teacher Name]], teachers_table[*Teacher Name], teachers_table[*Teacher ID])</f>
        <v>0</v>
      </c>
      <c r="J203" s="60"/>
      <c r="K203" s="60"/>
      <c r="L203" s="55"/>
      <c r="M203" s="60"/>
      <c r="N203" s="60"/>
      <c r="O203" s="55"/>
      <c r="P203" s="161"/>
      <c r="Q203" s="160" t="str">
        <f>IF(enrollment_table[[#This Row],[Enrollment Date]]="","",TEXT(enrollment_table[[#This Row],[Enrollment Date]],"mmmm"))</f>
        <v/>
      </c>
      <c r="R203" s="60"/>
    </row>
    <row r="204" spans="1:18" ht="15" x14ac:dyDescent="0.3">
      <c r="A204" s="129"/>
      <c r="B204" s="60"/>
      <c r="C204" s="55"/>
      <c r="D204" s="60"/>
      <c r="E204" s="103">
        <f>_xlfn.XLOOKUP(enrollment_table[[#This Row],[*Subject]], classes_table[*Subject], classes_table[Fee])</f>
        <v>0</v>
      </c>
      <c r="F204" s="58"/>
      <c r="G204" s="60"/>
      <c r="H204" s="55"/>
      <c r="I204" s="176">
        <f>_xlfn.XLOOKUP(enrollment_table[[#This Row],[*Teacher Name]], teachers_table[*Teacher Name], teachers_table[*Teacher ID])</f>
        <v>0</v>
      </c>
      <c r="J204" s="60"/>
      <c r="K204" s="60"/>
      <c r="L204" s="55"/>
      <c r="M204" s="60"/>
      <c r="N204" s="60"/>
      <c r="O204" s="55"/>
      <c r="P204" s="161"/>
      <c r="Q204" s="160" t="str">
        <f>IF(enrollment_table[[#This Row],[Enrollment Date]]="","",TEXT(enrollment_table[[#This Row],[Enrollment Date]],"mmmm"))</f>
        <v/>
      </c>
      <c r="R204" s="60"/>
    </row>
    <row r="205" spans="1:18" ht="15" x14ac:dyDescent="0.3">
      <c r="A205" s="129"/>
      <c r="B205" s="60"/>
      <c r="C205" s="55"/>
      <c r="D205" s="60"/>
      <c r="E205" s="103">
        <f>_xlfn.XLOOKUP(enrollment_table[[#This Row],[*Subject]], classes_table[*Subject], classes_table[Fee])</f>
        <v>0</v>
      </c>
      <c r="F205" s="58"/>
      <c r="G205" s="60"/>
      <c r="H205" s="55"/>
      <c r="I205" s="176">
        <f>_xlfn.XLOOKUP(enrollment_table[[#This Row],[*Teacher Name]], teachers_table[*Teacher Name], teachers_table[*Teacher ID])</f>
        <v>0</v>
      </c>
      <c r="J205" s="60"/>
      <c r="K205" s="60"/>
      <c r="L205" s="55"/>
      <c r="M205" s="60"/>
      <c r="N205" s="60"/>
      <c r="O205" s="55"/>
      <c r="P205" s="161"/>
      <c r="Q205" s="160" t="str">
        <f>IF(enrollment_table[[#This Row],[Enrollment Date]]="","",TEXT(enrollment_table[[#This Row],[Enrollment Date]],"mmmm"))</f>
        <v/>
      </c>
      <c r="R205" s="60"/>
    </row>
    <row r="206" spans="1:18" ht="15" x14ac:dyDescent="0.3">
      <c r="A206" s="129"/>
      <c r="B206" s="60"/>
      <c r="C206" s="55"/>
      <c r="D206" s="60"/>
      <c r="E206" s="103">
        <f>_xlfn.XLOOKUP(enrollment_table[[#This Row],[*Subject]], classes_table[*Subject], classes_table[Fee])</f>
        <v>0</v>
      </c>
      <c r="F206" s="58"/>
      <c r="G206" s="60"/>
      <c r="H206" s="55"/>
      <c r="I206" s="176">
        <f>_xlfn.XLOOKUP(enrollment_table[[#This Row],[*Teacher Name]], teachers_table[*Teacher Name], teachers_table[*Teacher ID])</f>
        <v>0</v>
      </c>
      <c r="J206" s="60"/>
      <c r="K206" s="60"/>
      <c r="L206" s="55"/>
      <c r="M206" s="60"/>
      <c r="N206" s="60"/>
      <c r="O206" s="55"/>
      <c r="P206" s="161"/>
      <c r="Q206" s="160" t="str">
        <f>IF(enrollment_table[[#This Row],[Enrollment Date]]="","",TEXT(enrollment_table[[#This Row],[Enrollment Date]],"mmmm"))</f>
        <v/>
      </c>
      <c r="R206" s="60"/>
    </row>
    <row r="207" spans="1:18" ht="15" x14ac:dyDescent="0.3">
      <c r="A207" s="129"/>
      <c r="B207" s="60"/>
      <c r="C207" s="55"/>
      <c r="D207" s="60"/>
      <c r="E207" s="103">
        <f>_xlfn.XLOOKUP(enrollment_table[[#This Row],[*Subject]], classes_table[*Subject], classes_table[Fee])</f>
        <v>0</v>
      </c>
      <c r="F207" s="58"/>
      <c r="G207" s="60"/>
      <c r="H207" s="55"/>
      <c r="I207" s="176">
        <f>_xlfn.XLOOKUP(enrollment_table[[#This Row],[*Teacher Name]], teachers_table[*Teacher Name], teachers_table[*Teacher ID])</f>
        <v>0</v>
      </c>
      <c r="J207" s="60"/>
      <c r="K207" s="60"/>
      <c r="L207" s="55"/>
      <c r="M207" s="60"/>
      <c r="N207" s="60"/>
      <c r="O207" s="55"/>
      <c r="P207" s="161"/>
      <c r="Q207" s="160" t="str">
        <f>IF(enrollment_table[[#This Row],[Enrollment Date]]="","",TEXT(enrollment_table[[#This Row],[Enrollment Date]],"mmmm"))</f>
        <v/>
      </c>
      <c r="R207" s="60"/>
    </row>
    <row r="208" spans="1:18" ht="15" x14ac:dyDescent="0.3">
      <c r="A208" s="129"/>
      <c r="B208" s="60"/>
      <c r="C208" s="55"/>
      <c r="D208" s="60"/>
      <c r="E208" s="103">
        <f>_xlfn.XLOOKUP(enrollment_table[[#This Row],[*Subject]], classes_table[*Subject], classes_table[Fee])</f>
        <v>0</v>
      </c>
      <c r="F208" s="58"/>
      <c r="G208" s="60"/>
      <c r="H208" s="55"/>
      <c r="I208" s="176">
        <f>_xlfn.XLOOKUP(enrollment_table[[#This Row],[*Teacher Name]], teachers_table[*Teacher Name], teachers_table[*Teacher ID])</f>
        <v>0</v>
      </c>
      <c r="J208" s="60"/>
      <c r="K208" s="60"/>
      <c r="L208" s="55"/>
      <c r="M208" s="60"/>
      <c r="N208" s="60"/>
      <c r="O208" s="55"/>
      <c r="P208" s="161"/>
      <c r="Q208" s="160" t="str">
        <f>IF(enrollment_table[[#This Row],[Enrollment Date]]="","",TEXT(enrollment_table[[#This Row],[Enrollment Date]],"mmmm"))</f>
        <v/>
      </c>
      <c r="R208" s="60"/>
    </row>
    <row r="209" spans="1:18" ht="15" x14ac:dyDescent="0.3">
      <c r="A209" s="129"/>
      <c r="B209" s="60"/>
      <c r="C209" s="55"/>
      <c r="D209" s="60"/>
      <c r="E209" s="103">
        <f>_xlfn.XLOOKUP(enrollment_table[[#This Row],[*Subject]], classes_table[*Subject], classes_table[Fee])</f>
        <v>0</v>
      </c>
      <c r="F209" s="58"/>
      <c r="G209" s="60"/>
      <c r="H209" s="55"/>
      <c r="I209" s="176">
        <f>_xlfn.XLOOKUP(enrollment_table[[#This Row],[*Teacher Name]], teachers_table[*Teacher Name], teachers_table[*Teacher ID])</f>
        <v>0</v>
      </c>
      <c r="J209" s="60"/>
      <c r="K209" s="60"/>
      <c r="L209" s="55"/>
      <c r="M209" s="60"/>
      <c r="N209" s="60"/>
      <c r="O209" s="55"/>
      <c r="P209" s="161"/>
      <c r="Q209" s="160" t="str">
        <f>IF(enrollment_table[[#This Row],[Enrollment Date]]="","",TEXT(enrollment_table[[#This Row],[Enrollment Date]],"mmmm"))</f>
        <v/>
      </c>
      <c r="R209" s="60"/>
    </row>
    <row r="210" spans="1:18" ht="15" x14ac:dyDescent="0.3">
      <c r="A210" s="129"/>
      <c r="B210" s="60"/>
      <c r="C210" s="55"/>
      <c r="D210" s="60"/>
      <c r="E210" s="103">
        <f>_xlfn.XLOOKUP(enrollment_table[[#This Row],[*Subject]], classes_table[*Subject], classes_table[Fee])</f>
        <v>0</v>
      </c>
      <c r="F210" s="58"/>
      <c r="G210" s="60"/>
      <c r="H210" s="55"/>
      <c r="I210" s="176">
        <f>_xlfn.XLOOKUP(enrollment_table[[#This Row],[*Teacher Name]], teachers_table[*Teacher Name], teachers_table[*Teacher ID])</f>
        <v>0</v>
      </c>
      <c r="J210" s="60"/>
      <c r="K210" s="60"/>
      <c r="L210" s="55"/>
      <c r="M210" s="60"/>
      <c r="N210" s="60"/>
      <c r="O210" s="55"/>
      <c r="P210" s="161"/>
      <c r="Q210" s="160" t="str">
        <f>IF(enrollment_table[[#This Row],[Enrollment Date]]="","",TEXT(enrollment_table[[#This Row],[Enrollment Date]],"mmmm"))</f>
        <v/>
      </c>
      <c r="R210" s="60"/>
    </row>
    <row r="211" spans="1:18" ht="15" x14ac:dyDescent="0.3">
      <c r="A211" s="129"/>
      <c r="B211" s="60"/>
      <c r="C211" s="55"/>
      <c r="D211" s="60"/>
      <c r="E211" s="103">
        <f>_xlfn.XLOOKUP(enrollment_table[[#This Row],[*Subject]], classes_table[*Subject], classes_table[Fee])</f>
        <v>0</v>
      </c>
      <c r="F211" s="58"/>
      <c r="G211" s="60"/>
      <c r="H211" s="55"/>
      <c r="I211" s="176">
        <f>_xlfn.XLOOKUP(enrollment_table[[#This Row],[*Teacher Name]], teachers_table[*Teacher Name], teachers_table[*Teacher ID])</f>
        <v>0</v>
      </c>
      <c r="J211" s="60"/>
      <c r="K211" s="60"/>
      <c r="L211" s="55"/>
      <c r="M211" s="60"/>
      <c r="N211" s="60"/>
      <c r="O211" s="55"/>
      <c r="P211" s="161"/>
      <c r="Q211" s="160" t="str">
        <f>IF(enrollment_table[[#This Row],[Enrollment Date]]="","",TEXT(enrollment_table[[#This Row],[Enrollment Date]],"mmmm"))</f>
        <v/>
      </c>
      <c r="R211" s="60"/>
    </row>
    <row r="212" spans="1:18" ht="15" x14ac:dyDescent="0.3">
      <c r="A212" s="129"/>
      <c r="B212" s="60"/>
      <c r="C212" s="55"/>
      <c r="D212" s="60"/>
      <c r="E212" s="103">
        <f>_xlfn.XLOOKUP(enrollment_table[[#This Row],[*Subject]], classes_table[*Subject], classes_table[Fee])</f>
        <v>0</v>
      </c>
      <c r="F212" s="58"/>
      <c r="G212" s="60"/>
      <c r="H212" s="55"/>
      <c r="I212" s="176">
        <f>_xlfn.XLOOKUP(enrollment_table[[#This Row],[*Teacher Name]], teachers_table[*Teacher Name], teachers_table[*Teacher ID])</f>
        <v>0</v>
      </c>
      <c r="J212" s="60"/>
      <c r="K212" s="60"/>
      <c r="L212" s="55"/>
      <c r="M212" s="60"/>
      <c r="N212" s="60"/>
      <c r="O212" s="55"/>
      <c r="P212" s="161"/>
      <c r="Q212" s="160" t="str">
        <f>IF(enrollment_table[[#This Row],[Enrollment Date]]="","",TEXT(enrollment_table[[#This Row],[Enrollment Date]],"mmmm"))</f>
        <v/>
      </c>
      <c r="R212" s="60"/>
    </row>
    <row r="213" spans="1:18" ht="15" x14ac:dyDescent="0.3">
      <c r="A213" s="129"/>
      <c r="B213" s="60"/>
      <c r="C213" s="55"/>
      <c r="D213" s="60"/>
      <c r="E213" s="103">
        <f>_xlfn.XLOOKUP(enrollment_table[[#This Row],[*Subject]], classes_table[*Subject], classes_table[Fee])</f>
        <v>0</v>
      </c>
      <c r="F213" s="58"/>
      <c r="G213" s="60"/>
      <c r="H213" s="55"/>
      <c r="I213" s="176">
        <f>_xlfn.XLOOKUP(enrollment_table[[#This Row],[*Teacher Name]], teachers_table[*Teacher Name], teachers_table[*Teacher ID])</f>
        <v>0</v>
      </c>
      <c r="J213" s="60"/>
      <c r="K213" s="60"/>
      <c r="L213" s="55"/>
      <c r="M213" s="60"/>
      <c r="N213" s="60"/>
      <c r="O213" s="55"/>
      <c r="P213" s="161"/>
      <c r="Q213" s="160" t="str">
        <f>IF(enrollment_table[[#This Row],[Enrollment Date]]="","",TEXT(enrollment_table[[#This Row],[Enrollment Date]],"mmmm"))</f>
        <v/>
      </c>
      <c r="R213" s="60"/>
    </row>
    <row r="214" spans="1:18" ht="15" x14ac:dyDescent="0.3">
      <c r="A214" s="129"/>
      <c r="B214" s="60"/>
      <c r="C214" s="55"/>
      <c r="D214" s="60"/>
      <c r="E214" s="103">
        <f>_xlfn.XLOOKUP(enrollment_table[[#This Row],[*Subject]], classes_table[*Subject], classes_table[Fee])</f>
        <v>0</v>
      </c>
      <c r="F214" s="58"/>
      <c r="G214" s="60"/>
      <c r="H214" s="55"/>
      <c r="I214" s="176">
        <f>_xlfn.XLOOKUP(enrollment_table[[#This Row],[*Teacher Name]], teachers_table[*Teacher Name], teachers_table[*Teacher ID])</f>
        <v>0</v>
      </c>
      <c r="J214" s="60"/>
      <c r="K214" s="60"/>
      <c r="L214" s="55"/>
      <c r="M214" s="60"/>
      <c r="N214" s="60"/>
      <c r="O214" s="55"/>
      <c r="P214" s="161"/>
      <c r="Q214" s="160" t="str">
        <f>IF(enrollment_table[[#This Row],[Enrollment Date]]="","",TEXT(enrollment_table[[#This Row],[Enrollment Date]],"mmmm"))</f>
        <v/>
      </c>
      <c r="R214" s="60"/>
    </row>
    <row r="215" spans="1:18" ht="15" x14ac:dyDescent="0.3">
      <c r="A215" s="129"/>
      <c r="B215" s="60"/>
      <c r="C215" s="55"/>
      <c r="D215" s="60"/>
      <c r="E215" s="103">
        <f>_xlfn.XLOOKUP(enrollment_table[[#This Row],[*Subject]], classes_table[*Subject], classes_table[Fee])</f>
        <v>0</v>
      </c>
      <c r="F215" s="58"/>
      <c r="G215" s="60"/>
      <c r="H215" s="55"/>
      <c r="I215" s="176">
        <f>_xlfn.XLOOKUP(enrollment_table[[#This Row],[*Teacher Name]], teachers_table[*Teacher Name], teachers_table[*Teacher ID])</f>
        <v>0</v>
      </c>
      <c r="J215" s="60"/>
      <c r="K215" s="60"/>
      <c r="L215" s="55"/>
      <c r="M215" s="60"/>
      <c r="N215" s="60"/>
      <c r="O215" s="55"/>
      <c r="P215" s="161"/>
      <c r="Q215" s="160" t="str">
        <f>IF(enrollment_table[[#This Row],[Enrollment Date]]="","",TEXT(enrollment_table[[#This Row],[Enrollment Date]],"mmmm"))</f>
        <v/>
      </c>
      <c r="R215" s="60"/>
    </row>
    <row r="216" spans="1:18" ht="15" x14ac:dyDescent="0.3">
      <c r="A216" s="129"/>
      <c r="B216" s="60"/>
      <c r="C216" s="55"/>
      <c r="D216" s="60"/>
      <c r="E216" s="103">
        <f>_xlfn.XLOOKUP(enrollment_table[[#This Row],[*Subject]], classes_table[*Subject], classes_table[Fee])</f>
        <v>0</v>
      </c>
      <c r="F216" s="58"/>
      <c r="G216" s="60"/>
      <c r="H216" s="55"/>
      <c r="I216" s="176">
        <f>_xlfn.XLOOKUP(enrollment_table[[#This Row],[*Teacher Name]], teachers_table[*Teacher Name], teachers_table[*Teacher ID])</f>
        <v>0</v>
      </c>
      <c r="J216" s="60"/>
      <c r="K216" s="60"/>
      <c r="L216" s="55"/>
      <c r="M216" s="60"/>
      <c r="N216" s="60"/>
      <c r="O216" s="55"/>
      <c r="P216" s="161"/>
      <c r="Q216" s="160" t="str">
        <f>IF(enrollment_table[[#This Row],[Enrollment Date]]="","",TEXT(enrollment_table[[#This Row],[Enrollment Date]],"mmmm"))</f>
        <v/>
      </c>
      <c r="R216" s="60"/>
    </row>
    <row r="217" spans="1:18" ht="15" x14ac:dyDescent="0.3">
      <c r="A217" s="129"/>
      <c r="B217" s="60"/>
      <c r="C217" s="55"/>
      <c r="D217" s="60"/>
      <c r="E217" s="103">
        <f>_xlfn.XLOOKUP(enrollment_table[[#This Row],[*Subject]], classes_table[*Subject], classes_table[Fee])</f>
        <v>0</v>
      </c>
      <c r="F217" s="58"/>
      <c r="G217" s="60"/>
      <c r="H217" s="55"/>
      <c r="I217" s="176">
        <f>_xlfn.XLOOKUP(enrollment_table[[#This Row],[*Teacher Name]], teachers_table[*Teacher Name], teachers_table[*Teacher ID])</f>
        <v>0</v>
      </c>
      <c r="J217" s="60"/>
      <c r="K217" s="60"/>
      <c r="L217" s="55"/>
      <c r="M217" s="60"/>
      <c r="N217" s="60"/>
      <c r="O217" s="55"/>
      <c r="P217" s="161"/>
      <c r="Q217" s="160" t="str">
        <f>IF(enrollment_table[[#This Row],[Enrollment Date]]="","",TEXT(enrollment_table[[#This Row],[Enrollment Date]],"mmmm"))</f>
        <v/>
      </c>
      <c r="R217" s="60"/>
    </row>
    <row r="218" spans="1:18" ht="15" x14ac:dyDescent="0.3">
      <c r="A218" s="129"/>
      <c r="B218" s="60"/>
      <c r="C218" s="55"/>
      <c r="D218" s="60"/>
      <c r="E218" s="103">
        <f>_xlfn.XLOOKUP(enrollment_table[[#This Row],[*Subject]], classes_table[*Subject], classes_table[Fee])</f>
        <v>0</v>
      </c>
      <c r="F218" s="58"/>
      <c r="G218" s="60"/>
      <c r="H218" s="55"/>
      <c r="I218" s="176">
        <f>_xlfn.XLOOKUP(enrollment_table[[#This Row],[*Teacher Name]], teachers_table[*Teacher Name], teachers_table[*Teacher ID])</f>
        <v>0</v>
      </c>
      <c r="J218" s="60"/>
      <c r="K218" s="60"/>
      <c r="L218" s="55"/>
      <c r="M218" s="60"/>
      <c r="N218" s="60"/>
      <c r="O218" s="55"/>
      <c r="P218" s="161"/>
      <c r="Q218" s="160" t="str">
        <f>IF(enrollment_table[[#This Row],[Enrollment Date]]="","",TEXT(enrollment_table[[#This Row],[Enrollment Date]],"mmmm"))</f>
        <v/>
      </c>
      <c r="R218" s="60"/>
    </row>
    <row r="219" spans="1:18" ht="15" x14ac:dyDescent="0.3">
      <c r="A219" s="129"/>
      <c r="B219" s="60"/>
      <c r="C219" s="55"/>
      <c r="D219" s="60"/>
      <c r="E219" s="103">
        <f>_xlfn.XLOOKUP(enrollment_table[[#This Row],[*Subject]], classes_table[*Subject], classes_table[Fee])</f>
        <v>0</v>
      </c>
      <c r="F219" s="58"/>
      <c r="G219" s="60"/>
      <c r="H219" s="55"/>
      <c r="I219" s="176">
        <f>_xlfn.XLOOKUP(enrollment_table[[#This Row],[*Teacher Name]], teachers_table[*Teacher Name], teachers_table[*Teacher ID])</f>
        <v>0</v>
      </c>
      <c r="J219" s="60"/>
      <c r="K219" s="60"/>
      <c r="L219" s="55"/>
      <c r="M219" s="60"/>
      <c r="N219" s="60"/>
      <c r="O219" s="55"/>
      <c r="P219" s="161"/>
      <c r="Q219" s="160" t="str">
        <f>IF(enrollment_table[[#This Row],[Enrollment Date]]="","",TEXT(enrollment_table[[#This Row],[Enrollment Date]],"mmmm"))</f>
        <v/>
      </c>
      <c r="R219" s="60"/>
    </row>
    <row r="220" spans="1:18" ht="15" x14ac:dyDescent="0.3">
      <c r="A220" s="129"/>
      <c r="B220" s="60"/>
      <c r="C220" s="55"/>
      <c r="D220" s="60"/>
      <c r="E220" s="103">
        <f>_xlfn.XLOOKUP(enrollment_table[[#This Row],[*Subject]], classes_table[*Subject], classes_table[Fee])</f>
        <v>0</v>
      </c>
      <c r="F220" s="58"/>
      <c r="G220" s="60"/>
      <c r="H220" s="55"/>
      <c r="I220" s="176">
        <f>_xlfn.XLOOKUP(enrollment_table[[#This Row],[*Teacher Name]], teachers_table[*Teacher Name], teachers_table[*Teacher ID])</f>
        <v>0</v>
      </c>
      <c r="J220" s="60"/>
      <c r="K220" s="60"/>
      <c r="L220" s="55"/>
      <c r="M220" s="60"/>
      <c r="N220" s="60"/>
      <c r="O220" s="55"/>
      <c r="P220" s="161"/>
      <c r="Q220" s="160" t="str">
        <f>IF(enrollment_table[[#This Row],[Enrollment Date]]="","",TEXT(enrollment_table[[#This Row],[Enrollment Date]],"mmmm"))</f>
        <v/>
      </c>
      <c r="R220" s="60"/>
    </row>
    <row r="221" spans="1:18" ht="15" x14ac:dyDescent="0.3">
      <c r="A221" s="129"/>
      <c r="B221" s="60"/>
      <c r="C221" s="55"/>
      <c r="D221" s="60"/>
      <c r="E221" s="103">
        <f>_xlfn.XLOOKUP(enrollment_table[[#This Row],[*Subject]], classes_table[*Subject], classes_table[Fee])</f>
        <v>0</v>
      </c>
      <c r="F221" s="58"/>
      <c r="G221" s="60"/>
      <c r="H221" s="55"/>
      <c r="I221" s="176">
        <f>_xlfn.XLOOKUP(enrollment_table[[#This Row],[*Teacher Name]], teachers_table[*Teacher Name], teachers_table[*Teacher ID])</f>
        <v>0</v>
      </c>
      <c r="J221" s="60"/>
      <c r="K221" s="60"/>
      <c r="L221" s="55"/>
      <c r="M221" s="60"/>
      <c r="N221" s="60"/>
      <c r="O221" s="55"/>
      <c r="P221" s="161"/>
      <c r="Q221" s="160" t="str">
        <f>IF(enrollment_table[[#This Row],[Enrollment Date]]="","",TEXT(enrollment_table[[#This Row],[Enrollment Date]],"mmmm"))</f>
        <v/>
      </c>
      <c r="R221" s="60"/>
    </row>
    <row r="222" spans="1:18" ht="15" x14ac:dyDescent="0.3">
      <c r="A222" s="129"/>
      <c r="B222" s="60"/>
      <c r="C222" s="55"/>
      <c r="D222" s="60"/>
      <c r="E222" s="103">
        <f>_xlfn.XLOOKUP(enrollment_table[[#This Row],[*Subject]], classes_table[*Subject], classes_table[Fee])</f>
        <v>0</v>
      </c>
      <c r="F222" s="58"/>
      <c r="G222" s="60"/>
      <c r="H222" s="55"/>
      <c r="I222" s="176">
        <f>_xlfn.XLOOKUP(enrollment_table[[#This Row],[*Teacher Name]], teachers_table[*Teacher Name], teachers_table[*Teacher ID])</f>
        <v>0</v>
      </c>
      <c r="J222" s="60"/>
      <c r="K222" s="60"/>
      <c r="L222" s="55"/>
      <c r="M222" s="60"/>
      <c r="N222" s="60"/>
      <c r="O222" s="55"/>
      <c r="P222" s="161"/>
      <c r="Q222" s="160" t="str">
        <f>IF(enrollment_table[[#This Row],[Enrollment Date]]="","",TEXT(enrollment_table[[#This Row],[Enrollment Date]],"mmmm"))</f>
        <v/>
      </c>
      <c r="R222" s="60"/>
    </row>
    <row r="223" spans="1:18" ht="15" x14ac:dyDescent="0.3">
      <c r="A223" s="129"/>
      <c r="B223" s="60"/>
      <c r="C223" s="55"/>
      <c r="D223" s="60"/>
      <c r="E223" s="103">
        <f>_xlfn.XLOOKUP(enrollment_table[[#This Row],[*Subject]], classes_table[*Subject], classes_table[Fee])</f>
        <v>0</v>
      </c>
      <c r="F223" s="58"/>
      <c r="G223" s="60"/>
      <c r="H223" s="55"/>
      <c r="I223" s="176">
        <f>_xlfn.XLOOKUP(enrollment_table[[#This Row],[*Teacher Name]], teachers_table[*Teacher Name], teachers_table[*Teacher ID])</f>
        <v>0</v>
      </c>
      <c r="J223" s="60"/>
      <c r="K223" s="60"/>
      <c r="L223" s="55"/>
      <c r="M223" s="60"/>
      <c r="N223" s="60"/>
      <c r="O223" s="55"/>
      <c r="P223" s="161"/>
      <c r="Q223" s="160" t="str">
        <f>IF(enrollment_table[[#This Row],[Enrollment Date]]="","",TEXT(enrollment_table[[#This Row],[Enrollment Date]],"mmmm"))</f>
        <v/>
      </c>
      <c r="R223" s="60"/>
    </row>
    <row r="224" spans="1:18" ht="15" x14ac:dyDescent="0.3">
      <c r="A224" s="129"/>
      <c r="B224" s="60"/>
      <c r="C224" s="55"/>
      <c r="D224" s="60"/>
      <c r="E224" s="103">
        <f>_xlfn.XLOOKUP(enrollment_table[[#This Row],[*Subject]], classes_table[*Subject], classes_table[Fee])</f>
        <v>0</v>
      </c>
      <c r="F224" s="58"/>
      <c r="G224" s="60"/>
      <c r="H224" s="55"/>
      <c r="I224" s="176">
        <f>_xlfn.XLOOKUP(enrollment_table[[#This Row],[*Teacher Name]], teachers_table[*Teacher Name], teachers_table[*Teacher ID])</f>
        <v>0</v>
      </c>
      <c r="J224" s="60"/>
      <c r="K224" s="60"/>
      <c r="L224" s="55"/>
      <c r="M224" s="60"/>
      <c r="N224" s="60"/>
      <c r="O224" s="55"/>
      <c r="P224" s="161"/>
      <c r="Q224" s="160" t="str">
        <f>IF(enrollment_table[[#This Row],[Enrollment Date]]="","",TEXT(enrollment_table[[#This Row],[Enrollment Date]],"mmmm"))</f>
        <v/>
      </c>
      <c r="R224" s="60"/>
    </row>
    <row r="225" spans="1:18" ht="15" x14ac:dyDescent="0.3">
      <c r="A225" s="129"/>
      <c r="B225" s="60"/>
      <c r="C225" s="55"/>
      <c r="D225" s="60"/>
      <c r="E225" s="103">
        <f>_xlfn.XLOOKUP(enrollment_table[[#This Row],[*Subject]], classes_table[*Subject], classes_table[Fee])</f>
        <v>0</v>
      </c>
      <c r="F225" s="58"/>
      <c r="G225" s="60"/>
      <c r="H225" s="55"/>
      <c r="I225" s="176">
        <f>_xlfn.XLOOKUP(enrollment_table[[#This Row],[*Teacher Name]], teachers_table[*Teacher Name], teachers_table[*Teacher ID])</f>
        <v>0</v>
      </c>
      <c r="J225" s="60"/>
      <c r="K225" s="60"/>
      <c r="L225" s="55"/>
      <c r="M225" s="60"/>
      <c r="N225" s="60"/>
      <c r="O225" s="55"/>
      <c r="P225" s="161"/>
      <c r="Q225" s="160" t="str">
        <f>IF(enrollment_table[[#This Row],[Enrollment Date]]="","",TEXT(enrollment_table[[#This Row],[Enrollment Date]],"mmmm"))</f>
        <v/>
      </c>
      <c r="R225" s="60"/>
    </row>
    <row r="226" spans="1:18" ht="15" x14ac:dyDescent="0.3">
      <c r="A226" s="129"/>
      <c r="B226" s="60"/>
      <c r="C226" s="55"/>
      <c r="D226" s="60"/>
      <c r="E226" s="103">
        <f>_xlfn.XLOOKUP(enrollment_table[[#This Row],[*Subject]], classes_table[*Subject], classes_table[Fee])</f>
        <v>0</v>
      </c>
      <c r="F226" s="58"/>
      <c r="G226" s="60"/>
      <c r="H226" s="55"/>
      <c r="I226" s="176">
        <f>_xlfn.XLOOKUP(enrollment_table[[#This Row],[*Teacher Name]], teachers_table[*Teacher Name], teachers_table[*Teacher ID])</f>
        <v>0</v>
      </c>
      <c r="J226" s="60"/>
      <c r="K226" s="60"/>
      <c r="L226" s="55"/>
      <c r="M226" s="60"/>
      <c r="N226" s="60"/>
      <c r="O226" s="55"/>
      <c r="P226" s="161"/>
      <c r="Q226" s="160" t="str">
        <f>IF(enrollment_table[[#This Row],[Enrollment Date]]="","",TEXT(enrollment_table[[#This Row],[Enrollment Date]],"mmmm"))</f>
        <v/>
      </c>
      <c r="R226" s="60"/>
    </row>
    <row r="227" spans="1:18" ht="15" x14ac:dyDescent="0.3">
      <c r="A227" s="129"/>
      <c r="B227" s="60"/>
      <c r="C227" s="55"/>
      <c r="D227" s="60"/>
      <c r="E227" s="103">
        <f>_xlfn.XLOOKUP(enrollment_table[[#This Row],[*Subject]], classes_table[*Subject], classes_table[Fee])</f>
        <v>0</v>
      </c>
      <c r="F227" s="58"/>
      <c r="G227" s="60"/>
      <c r="H227" s="55"/>
      <c r="I227" s="176">
        <f>_xlfn.XLOOKUP(enrollment_table[[#This Row],[*Teacher Name]], teachers_table[*Teacher Name], teachers_table[*Teacher ID])</f>
        <v>0</v>
      </c>
      <c r="J227" s="60"/>
      <c r="K227" s="60"/>
      <c r="L227" s="55"/>
      <c r="M227" s="60"/>
      <c r="N227" s="60"/>
      <c r="O227" s="55"/>
      <c r="P227" s="161"/>
      <c r="Q227" s="160" t="str">
        <f>IF(enrollment_table[[#This Row],[Enrollment Date]]="","",TEXT(enrollment_table[[#This Row],[Enrollment Date]],"mmmm"))</f>
        <v/>
      </c>
      <c r="R227" s="60"/>
    </row>
    <row r="228" spans="1:18" ht="15" x14ac:dyDescent="0.3">
      <c r="A228" s="129"/>
      <c r="B228" s="60"/>
      <c r="C228" s="55"/>
      <c r="D228" s="60"/>
      <c r="E228" s="103">
        <f>_xlfn.XLOOKUP(enrollment_table[[#This Row],[*Subject]], classes_table[*Subject], classes_table[Fee])</f>
        <v>0</v>
      </c>
      <c r="F228" s="58"/>
      <c r="G228" s="60"/>
      <c r="H228" s="55"/>
      <c r="I228" s="176">
        <f>_xlfn.XLOOKUP(enrollment_table[[#This Row],[*Teacher Name]], teachers_table[*Teacher Name], teachers_table[*Teacher ID])</f>
        <v>0</v>
      </c>
      <c r="J228" s="60"/>
      <c r="K228" s="60"/>
      <c r="L228" s="55"/>
      <c r="M228" s="60"/>
      <c r="N228" s="60"/>
      <c r="O228" s="55"/>
      <c r="P228" s="161"/>
      <c r="Q228" s="160" t="str">
        <f>IF(enrollment_table[[#This Row],[Enrollment Date]]="","",TEXT(enrollment_table[[#This Row],[Enrollment Date]],"mmmm"))</f>
        <v/>
      </c>
      <c r="R228" s="60"/>
    </row>
    <row r="229" spans="1:18" ht="15" x14ac:dyDescent="0.3">
      <c r="A229" s="129"/>
      <c r="B229" s="60"/>
      <c r="C229" s="55"/>
      <c r="D229" s="60"/>
      <c r="E229" s="103">
        <f>_xlfn.XLOOKUP(enrollment_table[[#This Row],[*Subject]], classes_table[*Subject], classes_table[Fee])</f>
        <v>0</v>
      </c>
      <c r="F229" s="58"/>
      <c r="G229" s="60"/>
      <c r="H229" s="55"/>
      <c r="I229" s="176">
        <f>_xlfn.XLOOKUP(enrollment_table[[#This Row],[*Teacher Name]], teachers_table[*Teacher Name], teachers_table[*Teacher ID])</f>
        <v>0</v>
      </c>
      <c r="J229" s="60"/>
      <c r="K229" s="60"/>
      <c r="L229" s="55"/>
      <c r="M229" s="60"/>
      <c r="N229" s="60"/>
      <c r="O229" s="55"/>
      <c r="P229" s="161"/>
      <c r="Q229" s="160" t="str">
        <f>IF(enrollment_table[[#This Row],[Enrollment Date]]="","",TEXT(enrollment_table[[#This Row],[Enrollment Date]],"mmmm"))</f>
        <v/>
      </c>
      <c r="R229" s="60"/>
    </row>
    <row r="230" spans="1:18" ht="15" x14ac:dyDescent="0.3">
      <c r="A230" s="129"/>
      <c r="B230" s="60"/>
      <c r="C230" s="55"/>
      <c r="D230" s="60"/>
      <c r="E230" s="103">
        <f>_xlfn.XLOOKUP(enrollment_table[[#This Row],[*Subject]], classes_table[*Subject], classes_table[Fee])</f>
        <v>0</v>
      </c>
      <c r="F230" s="58"/>
      <c r="G230" s="60"/>
      <c r="H230" s="55"/>
      <c r="I230" s="176">
        <f>_xlfn.XLOOKUP(enrollment_table[[#This Row],[*Teacher Name]], teachers_table[*Teacher Name], teachers_table[*Teacher ID])</f>
        <v>0</v>
      </c>
      <c r="J230" s="60"/>
      <c r="K230" s="60"/>
      <c r="L230" s="55"/>
      <c r="M230" s="60"/>
      <c r="N230" s="60"/>
      <c r="O230" s="55"/>
      <c r="P230" s="161"/>
      <c r="Q230" s="160" t="str">
        <f>IF(enrollment_table[[#This Row],[Enrollment Date]]="","",TEXT(enrollment_table[[#This Row],[Enrollment Date]],"mmmm"))</f>
        <v/>
      </c>
      <c r="R230" s="60"/>
    </row>
    <row r="231" spans="1:18" ht="15" x14ac:dyDescent="0.3">
      <c r="A231" s="129"/>
      <c r="B231" s="60"/>
      <c r="C231" s="55"/>
      <c r="D231" s="60"/>
      <c r="E231" s="103">
        <f>_xlfn.XLOOKUP(enrollment_table[[#This Row],[*Subject]], classes_table[*Subject], classes_table[Fee])</f>
        <v>0</v>
      </c>
      <c r="F231" s="58"/>
      <c r="G231" s="60"/>
      <c r="H231" s="55"/>
      <c r="I231" s="176">
        <f>_xlfn.XLOOKUP(enrollment_table[[#This Row],[*Teacher Name]], teachers_table[*Teacher Name], teachers_table[*Teacher ID])</f>
        <v>0</v>
      </c>
      <c r="J231" s="60"/>
      <c r="K231" s="60"/>
      <c r="L231" s="55"/>
      <c r="M231" s="60"/>
      <c r="N231" s="60"/>
      <c r="O231" s="55"/>
      <c r="P231" s="161"/>
      <c r="Q231" s="160" t="str">
        <f>IF(enrollment_table[[#This Row],[Enrollment Date]]="","",TEXT(enrollment_table[[#This Row],[Enrollment Date]],"mmmm"))</f>
        <v/>
      </c>
      <c r="R231" s="60"/>
    </row>
    <row r="232" spans="1:18" ht="15" x14ac:dyDescent="0.3">
      <c r="A232" s="129"/>
      <c r="B232" s="60"/>
      <c r="C232" s="55"/>
      <c r="D232" s="60"/>
      <c r="E232" s="103">
        <f>_xlfn.XLOOKUP(enrollment_table[[#This Row],[*Subject]], classes_table[*Subject], classes_table[Fee])</f>
        <v>0</v>
      </c>
      <c r="F232" s="58"/>
      <c r="G232" s="60"/>
      <c r="H232" s="55"/>
      <c r="I232" s="176">
        <f>_xlfn.XLOOKUP(enrollment_table[[#This Row],[*Teacher Name]], teachers_table[*Teacher Name], teachers_table[*Teacher ID])</f>
        <v>0</v>
      </c>
      <c r="J232" s="60"/>
      <c r="K232" s="60"/>
      <c r="L232" s="55"/>
      <c r="M232" s="60"/>
      <c r="N232" s="60"/>
      <c r="O232" s="55"/>
      <c r="P232" s="161"/>
      <c r="Q232" s="160" t="str">
        <f>IF(enrollment_table[[#This Row],[Enrollment Date]]="","",TEXT(enrollment_table[[#This Row],[Enrollment Date]],"mmmm"))</f>
        <v/>
      </c>
      <c r="R232" s="60"/>
    </row>
    <row r="233" spans="1:18" ht="15" x14ac:dyDescent="0.3">
      <c r="A233" s="129"/>
      <c r="B233" s="60"/>
      <c r="C233" s="55"/>
      <c r="D233" s="60"/>
      <c r="E233" s="103">
        <f>_xlfn.XLOOKUP(enrollment_table[[#This Row],[*Subject]], classes_table[*Subject], classes_table[Fee])</f>
        <v>0</v>
      </c>
      <c r="F233" s="58"/>
      <c r="G233" s="60"/>
      <c r="H233" s="55"/>
      <c r="I233" s="176">
        <f>_xlfn.XLOOKUP(enrollment_table[[#This Row],[*Teacher Name]], teachers_table[*Teacher Name], teachers_table[*Teacher ID])</f>
        <v>0</v>
      </c>
      <c r="J233" s="60"/>
      <c r="K233" s="60"/>
      <c r="L233" s="55"/>
      <c r="M233" s="60"/>
      <c r="N233" s="60"/>
      <c r="O233" s="55"/>
      <c r="P233" s="161"/>
      <c r="Q233" s="160" t="str">
        <f>IF(enrollment_table[[#This Row],[Enrollment Date]]="","",TEXT(enrollment_table[[#This Row],[Enrollment Date]],"mmmm"))</f>
        <v/>
      </c>
      <c r="R233" s="60"/>
    </row>
    <row r="234" spans="1:18" ht="15" x14ac:dyDescent="0.3">
      <c r="A234" s="129"/>
      <c r="B234" s="60"/>
      <c r="C234" s="55"/>
      <c r="D234" s="60"/>
      <c r="E234" s="103">
        <f>_xlfn.XLOOKUP(enrollment_table[[#This Row],[*Subject]], classes_table[*Subject], classes_table[Fee])</f>
        <v>0</v>
      </c>
      <c r="F234" s="58"/>
      <c r="G234" s="60"/>
      <c r="H234" s="55"/>
      <c r="I234" s="176">
        <f>_xlfn.XLOOKUP(enrollment_table[[#This Row],[*Teacher Name]], teachers_table[*Teacher Name], teachers_table[*Teacher ID])</f>
        <v>0</v>
      </c>
      <c r="J234" s="60"/>
      <c r="K234" s="60"/>
      <c r="L234" s="55"/>
      <c r="M234" s="60"/>
      <c r="N234" s="60"/>
      <c r="O234" s="55"/>
      <c r="P234" s="161"/>
      <c r="Q234" s="160" t="str">
        <f>IF(enrollment_table[[#This Row],[Enrollment Date]]="","",TEXT(enrollment_table[[#This Row],[Enrollment Date]],"mmmm"))</f>
        <v/>
      </c>
      <c r="R234" s="60"/>
    </row>
    <row r="235" spans="1:18" ht="15" x14ac:dyDescent="0.3">
      <c r="A235" s="129"/>
      <c r="B235" s="60"/>
      <c r="C235" s="55"/>
      <c r="D235" s="60"/>
      <c r="E235" s="103">
        <f>_xlfn.XLOOKUP(enrollment_table[[#This Row],[*Subject]], classes_table[*Subject], classes_table[Fee])</f>
        <v>0</v>
      </c>
      <c r="F235" s="58"/>
      <c r="G235" s="60"/>
      <c r="H235" s="55"/>
      <c r="I235" s="176">
        <f>_xlfn.XLOOKUP(enrollment_table[[#This Row],[*Teacher Name]], teachers_table[*Teacher Name], teachers_table[*Teacher ID])</f>
        <v>0</v>
      </c>
      <c r="J235" s="60"/>
      <c r="K235" s="60"/>
      <c r="L235" s="55"/>
      <c r="M235" s="60"/>
      <c r="N235" s="60"/>
      <c r="O235" s="55"/>
      <c r="P235" s="161"/>
      <c r="Q235" s="160" t="str">
        <f>IF(enrollment_table[[#This Row],[Enrollment Date]]="","",TEXT(enrollment_table[[#This Row],[Enrollment Date]],"mmmm"))</f>
        <v/>
      </c>
      <c r="R235" s="60"/>
    </row>
    <row r="236" spans="1:18" ht="15" x14ac:dyDescent="0.3">
      <c r="A236" s="129"/>
      <c r="B236" s="60"/>
      <c r="C236" s="55"/>
      <c r="D236" s="60"/>
      <c r="E236" s="103">
        <f>_xlfn.XLOOKUP(enrollment_table[[#This Row],[*Subject]], classes_table[*Subject], classes_table[Fee])</f>
        <v>0</v>
      </c>
      <c r="F236" s="58"/>
      <c r="G236" s="60"/>
      <c r="H236" s="55"/>
      <c r="I236" s="176">
        <f>_xlfn.XLOOKUP(enrollment_table[[#This Row],[*Teacher Name]], teachers_table[*Teacher Name], teachers_table[*Teacher ID])</f>
        <v>0</v>
      </c>
      <c r="J236" s="60"/>
      <c r="K236" s="60"/>
      <c r="L236" s="55"/>
      <c r="M236" s="60"/>
      <c r="N236" s="60"/>
      <c r="O236" s="55"/>
      <c r="P236" s="161"/>
      <c r="Q236" s="160" t="str">
        <f>IF(enrollment_table[[#This Row],[Enrollment Date]]="","",TEXT(enrollment_table[[#This Row],[Enrollment Date]],"mmmm"))</f>
        <v/>
      </c>
      <c r="R236" s="60"/>
    </row>
    <row r="237" spans="1:18" ht="15" x14ac:dyDescent="0.3">
      <c r="A237" s="129"/>
      <c r="B237" s="60"/>
      <c r="C237" s="55"/>
      <c r="D237" s="60"/>
      <c r="E237" s="103">
        <f>_xlfn.XLOOKUP(enrollment_table[[#This Row],[*Subject]], classes_table[*Subject], classes_table[Fee])</f>
        <v>0</v>
      </c>
      <c r="F237" s="58"/>
      <c r="G237" s="60"/>
      <c r="H237" s="55"/>
      <c r="I237" s="176">
        <f>_xlfn.XLOOKUP(enrollment_table[[#This Row],[*Teacher Name]], teachers_table[*Teacher Name], teachers_table[*Teacher ID])</f>
        <v>0</v>
      </c>
      <c r="J237" s="60"/>
      <c r="K237" s="60"/>
      <c r="L237" s="55"/>
      <c r="M237" s="60"/>
      <c r="N237" s="60"/>
      <c r="O237" s="55"/>
      <c r="P237" s="161"/>
      <c r="Q237" s="160" t="str">
        <f>IF(enrollment_table[[#This Row],[Enrollment Date]]="","",TEXT(enrollment_table[[#This Row],[Enrollment Date]],"mmmm"))</f>
        <v/>
      </c>
      <c r="R237" s="60"/>
    </row>
    <row r="238" spans="1:18" ht="15" x14ac:dyDescent="0.3">
      <c r="A238" s="129"/>
      <c r="B238" s="60"/>
      <c r="C238" s="55"/>
      <c r="D238" s="60"/>
      <c r="E238" s="103">
        <f>_xlfn.XLOOKUP(enrollment_table[[#This Row],[*Subject]], classes_table[*Subject], classes_table[Fee])</f>
        <v>0</v>
      </c>
      <c r="F238" s="58"/>
      <c r="G238" s="60"/>
      <c r="H238" s="55"/>
      <c r="I238" s="176">
        <f>_xlfn.XLOOKUP(enrollment_table[[#This Row],[*Teacher Name]], teachers_table[*Teacher Name], teachers_table[*Teacher ID])</f>
        <v>0</v>
      </c>
      <c r="J238" s="60"/>
      <c r="K238" s="60"/>
      <c r="L238" s="55"/>
      <c r="M238" s="60"/>
      <c r="N238" s="60"/>
      <c r="O238" s="55"/>
      <c r="P238" s="161"/>
      <c r="Q238" s="160" t="str">
        <f>IF(enrollment_table[[#This Row],[Enrollment Date]]="","",TEXT(enrollment_table[[#This Row],[Enrollment Date]],"mmmm"))</f>
        <v/>
      </c>
      <c r="R238" s="60"/>
    </row>
    <row r="239" spans="1:18" ht="15" x14ac:dyDescent="0.3">
      <c r="A239" s="129"/>
      <c r="B239" s="60"/>
      <c r="C239" s="55"/>
      <c r="D239" s="60"/>
      <c r="E239" s="103">
        <f>_xlfn.XLOOKUP(enrollment_table[[#This Row],[*Subject]], classes_table[*Subject], classes_table[Fee])</f>
        <v>0</v>
      </c>
      <c r="F239" s="58"/>
      <c r="G239" s="60"/>
      <c r="H239" s="55"/>
      <c r="I239" s="176">
        <f>_xlfn.XLOOKUP(enrollment_table[[#This Row],[*Teacher Name]], teachers_table[*Teacher Name], teachers_table[*Teacher ID])</f>
        <v>0</v>
      </c>
      <c r="J239" s="60"/>
      <c r="K239" s="60"/>
      <c r="L239" s="55"/>
      <c r="M239" s="60"/>
      <c r="N239" s="60"/>
      <c r="O239" s="55"/>
      <c r="P239" s="161"/>
      <c r="Q239" s="160" t="str">
        <f>IF(enrollment_table[[#This Row],[Enrollment Date]]="","",TEXT(enrollment_table[[#This Row],[Enrollment Date]],"mmmm"))</f>
        <v/>
      </c>
      <c r="R239" s="60"/>
    </row>
    <row r="240" spans="1:18" ht="15" x14ac:dyDescent="0.3">
      <c r="A240" s="129"/>
      <c r="B240" s="60"/>
      <c r="C240" s="55"/>
      <c r="D240" s="60"/>
      <c r="E240" s="103">
        <f>_xlfn.XLOOKUP(enrollment_table[[#This Row],[*Subject]], classes_table[*Subject], classes_table[Fee])</f>
        <v>0</v>
      </c>
      <c r="F240" s="58"/>
      <c r="G240" s="60"/>
      <c r="H240" s="55"/>
      <c r="I240" s="176">
        <f>_xlfn.XLOOKUP(enrollment_table[[#This Row],[*Teacher Name]], teachers_table[*Teacher Name], teachers_table[*Teacher ID])</f>
        <v>0</v>
      </c>
      <c r="J240" s="60"/>
      <c r="K240" s="60"/>
      <c r="L240" s="55"/>
      <c r="M240" s="60"/>
      <c r="N240" s="60"/>
      <c r="O240" s="55"/>
      <c r="P240" s="161"/>
      <c r="Q240" s="160" t="str">
        <f>IF(enrollment_table[[#This Row],[Enrollment Date]]="","",TEXT(enrollment_table[[#This Row],[Enrollment Date]],"mmmm"))</f>
        <v/>
      </c>
      <c r="R240" s="60"/>
    </row>
    <row r="241" spans="1:18" ht="15" x14ac:dyDescent="0.3">
      <c r="A241" s="129"/>
      <c r="B241" s="60"/>
      <c r="C241" s="55"/>
      <c r="D241" s="60"/>
      <c r="E241" s="103">
        <f>_xlfn.XLOOKUP(enrollment_table[[#This Row],[*Subject]], classes_table[*Subject], classes_table[Fee])</f>
        <v>0</v>
      </c>
      <c r="F241" s="58"/>
      <c r="G241" s="60"/>
      <c r="H241" s="55"/>
      <c r="I241" s="176">
        <f>_xlfn.XLOOKUP(enrollment_table[[#This Row],[*Teacher Name]], teachers_table[*Teacher Name], teachers_table[*Teacher ID])</f>
        <v>0</v>
      </c>
      <c r="J241" s="60"/>
      <c r="K241" s="60"/>
      <c r="L241" s="55"/>
      <c r="M241" s="60"/>
      <c r="N241" s="60"/>
      <c r="O241" s="55"/>
      <c r="P241" s="161"/>
      <c r="Q241" s="160" t="str">
        <f>IF(enrollment_table[[#This Row],[Enrollment Date]]="","",TEXT(enrollment_table[[#This Row],[Enrollment Date]],"mmmm"))</f>
        <v/>
      </c>
      <c r="R241" s="60"/>
    </row>
    <row r="242" spans="1:18" ht="15" x14ac:dyDescent="0.3">
      <c r="A242" s="129"/>
      <c r="B242" s="60"/>
      <c r="C242" s="55"/>
      <c r="D242" s="60"/>
      <c r="E242" s="103">
        <f>_xlfn.XLOOKUP(enrollment_table[[#This Row],[*Subject]], classes_table[*Subject], classes_table[Fee])</f>
        <v>0</v>
      </c>
      <c r="F242" s="58"/>
      <c r="G242" s="60"/>
      <c r="H242" s="55"/>
      <c r="I242" s="176">
        <f>_xlfn.XLOOKUP(enrollment_table[[#This Row],[*Teacher Name]], teachers_table[*Teacher Name], teachers_table[*Teacher ID])</f>
        <v>0</v>
      </c>
      <c r="J242" s="60"/>
      <c r="K242" s="60"/>
      <c r="L242" s="55"/>
      <c r="M242" s="60"/>
      <c r="N242" s="60"/>
      <c r="O242" s="55"/>
      <c r="P242" s="161"/>
      <c r="Q242" s="160" t="str">
        <f>IF(enrollment_table[[#This Row],[Enrollment Date]]="","",TEXT(enrollment_table[[#This Row],[Enrollment Date]],"mmmm"))</f>
        <v/>
      </c>
      <c r="R242" s="60"/>
    </row>
    <row r="243" spans="1:18" ht="15" x14ac:dyDescent="0.3">
      <c r="A243" s="129"/>
      <c r="B243" s="60"/>
      <c r="C243" s="55"/>
      <c r="D243" s="60"/>
      <c r="E243" s="103">
        <f>_xlfn.XLOOKUP(enrollment_table[[#This Row],[*Subject]], classes_table[*Subject], classes_table[Fee])</f>
        <v>0</v>
      </c>
      <c r="F243" s="58"/>
      <c r="G243" s="60"/>
      <c r="H243" s="55"/>
      <c r="I243" s="176">
        <f>_xlfn.XLOOKUP(enrollment_table[[#This Row],[*Teacher Name]], teachers_table[*Teacher Name], teachers_table[*Teacher ID])</f>
        <v>0</v>
      </c>
      <c r="J243" s="60"/>
      <c r="K243" s="60"/>
      <c r="L243" s="55"/>
      <c r="M243" s="60"/>
      <c r="N243" s="60"/>
      <c r="O243" s="55"/>
      <c r="P243" s="161"/>
      <c r="Q243" s="160" t="str">
        <f>IF(enrollment_table[[#This Row],[Enrollment Date]]="","",TEXT(enrollment_table[[#This Row],[Enrollment Date]],"mmmm"))</f>
        <v/>
      </c>
      <c r="R243" s="60"/>
    </row>
    <row r="244" spans="1:18" ht="15" x14ac:dyDescent="0.3">
      <c r="A244" s="129"/>
      <c r="B244" s="60"/>
      <c r="C244" s="55"/>
      <c r="D244" s="60"/>
      <c r="E244" s="103">
        <f>_xlfn.XLOOKUP(enrollment_table[[#This Row],[*Subject]], classes_table[*Subject], classes_table[Fee])</f>
        <v>0</v>
      </c>
      <c r="F244" s="58"/>
      <c r="G244" s="60"/>
      <c r="H244" s="55"/>
      <c r="I244" s="176">
        <f>_xlfn.XLOOKUP(enrollment_table[[#This Row],[*Teacher Name]], teachers_table[*Teacher Name], teachers_table[*Teacher ID])</f>
        <v>0</v>
      </c>
      <c r="J244" s="60"/>
      <c r="K244" s="60"/>
      <c r="L244" s="55"/>
      <c r="M244" s="60"/>
      <c r="N244" s="60"/>
      <c r="O244" s="55"/>
      <c r="P244" s="161"/>
      <c r="Q244" s="160" t="str">
        <f>IF(enrollment_table[[#This Row],[Enrollment Date]]="","",TEXT(enrollment_table[[#This Row],[Enrollment Date]],"mmmm"))</f>
        <v/>
      </c>
      <c r="R244" s="60"/>
    </row>
    <row r="245" spans="1:18" ht="15" x14ac:dyDescent="0.3">
      <c r="A245" s="129"/>
      <c r="B245" s="60"/>
      <c r="C245" s="55"/>
      <c r="D245" s="60"/>
      <c r="E245" s="103">
        <f>_xlfn.XLOOKUP(enrollment_table[[#This Row],[*Subject]], classes_table[*Subject], classes_table[Fee])</f>
        <v>0</v>
      </c>
      <c r="F245" s="58"/>
      <c r="G245" s="60"/>
      <c r="H245" s="55"/>
      <c r="I245" s="176">
        <f>_xlfn.XLOOKUP(enrollment_table[[#This Row],[*Teacher Name]], teachers_table[*Teacher Name], teachers_table[*Teacher ID])</f>
        <v>0</v>
      </c>
      <c r="J245" s="60"/>
      <c r="K245" s="60"/>
      <c r="L245" s="55"/>
      <c r="M245" s="60"/>
      <c r="N245" s="60"/>
      <c r="O245" s="55"/>
      <c r="P245" s="161"/>
      <c r="Q245" s="160" t="str">
        <f>IF(enrollment_table[[#This Row],[Enrollment Date]]="","",TEXT(enrollment_table[[#This Row],[Enrollment Date]],"mmmm"))</f>
        <v/>
      </c>
      <c r="R245" s="60"/>
    </row>
    <row r="246" spans="1:18" ht="15" x14ac:dyDescent="0.3">
      <c r="A246" s="129"/>
      <c r="B246" s="60"/>
      <c r="C246" s="55"/>
      <c r="D246" s="60"/>
      <c r="E246" s="103">
        <f>_xlfn.XLOOKUP(enrollment_table[[#This Row],[*Subject]], classes_table[*Subject], classes_table[Fee])</f>
        <v>0</v>
      </c>
      <c r="F246" s="58"/>
      <c r="G246" s="60"/>
      <c r="H246" s="55"/>
      <c r="I246" s="176">
        <f>_xlfn.XLOOKUP(enrollment_table[[#This Row],[*Teacher Name]], teachers_table[*Teacher Name], teachers_table[*Teacher ID])</f>
        <v>0</v>
      </c>
      <c r="J246" s="60"/>
      <c r="K246" s="60"/>
      <c r="L246" s="55"/>
      <c r="M246" s="60"/>
      <c r="N246" s="60"/>
      <c r="O246" s="55"/>
      <c r="P246" s="161"/>
      <c r="Q246" s="160" t="str">
        <f>IF(enrollment_table[[#This Row],[Enrollment Date]]="","",TEXT(enrollment_table[[#This Row],[Enrollment Date]],"mmmm"))</f>
        <v/>
      </c>
      <c r="R246" s="60"/>
    </row>
    <row r="247" spans="1:18" ht="15" x14ac:dyDescent="0.3">
      <c r="A247" s="129"/>
      <c r="B247" s="60"/>
      <c r="C247" s="55"/>
      <c r="D247" s="60"/>
      <c r="E247" s="103">
        <f>_xlfn.XLOOKUP(enrollment_table[[#This Row],[*Subject]], classes_table[*Subject], classes_table[Fee])</f>
        <v>0</v>
      </c>
      <c r="F247" s="58"/>
      <c r="G247" s="60"/>
      <c r="H247" s="55"/>
      <c r="I247" s="176">
        <f>_xlfn.XLOOKUP(enrollment_table[[#This Row],[*Teacher Name]], teachers_table[*Teacher Name], teachers_table[*Teacher ID])</f>
        <v>0</v>
      </c>
      <c r="J247" s="60"/>
      <c r="K247" s="60"/>
      <c r="L247" s="55"/>
      <c r="M247" s="60"/>
      <c r="N247" s="60"/>
      <c r="O247" s="55"/>
      <c r="P247" s="161"/>
      <c r="Q247" s="160" t="str">
        <f>IF(enrollment_table[[#This Row],[Enrollment Date]]="","",TEXT(enrollment_table[[#This Row],[Enrollment Date]],"mmmm"))</f>
        <v/>
      </c>
      <c r="R247" s="60"/>
    </row>
    <row r="248" spans="1:18" ht="15" x14ac:dyDescent="0.3">
      <c r="A248" s="129"/>
      <c r="B248" s="60"/>
      <c r="C248" s="55"/>
      <c r="D248" s="60"/>
      <c r="E248" s="103">
        <f>_xlfn.XLOOKUP(enrollment_table[[#This Row],[*Subject]], classes_table[*Subject], classes_table[Fee])</f>
        <v>0</v>
      </c>
      <c r="F248" s="58"/>
      <c r="G248" s="60"/>
      <c r="H248" s="55"/>
      <c r="I248" s="176">
        <f>_xlfn.XLOOKUP(enrollment_table[[#This Row],[*Teacher Name]], teachers_table[*Teacher Name], teachers_table[*Teacher ID])</f>
        <v>0</v>
      </c>
      <c r="J248" s="60"/>
      <c r="K248" s="60"/>
      <c r="L248" s="55"/>
      <c r="M248" s="60"/>
      <c r="N248" s="60"/>
      <c r="O248" s="55"/>
      <c r="P248" s="161"/>
      <c r="Q248" s="160" t="str">
        <f>IF(enrollment_table[[#This Row],[Enrollment Date]]="","",TEXT(enrollment_table[[#This Row],[Enrollment Date]],"mmmm"))</f>
        <v/>
      </c>
      <c r="R248" s="60"/>
    </row>
    <row r="249" spans="1:18" ht="15" x14ac:dyDescent="0.3">
      <c r="A249" s="129"/>
      <c r="B249" s="60"/>
      <c r="C249" s="55"/>
      <c r="D249" s="60"/>
      <c r="E249" s="103">
        <f>_xlfn.XLOOKUP(enrollment_table[[#This Row],[*Subject]], classes_table[*Subject], classes_table[Fee])</f>
        <v>0</v>
      </c>
      <c r="F249" s="58"/>
      <c r="G249" s="60"/>
      <c r="H249" s="55"/>
      <c r="I249" s="176">
        <f>_xlfn.XLOOKUP(enrollment_table[[#This Row],[*Teacher Name]], teachers_table[*Teacher Name], teachers_table[*Teacher ID])</f>
        <v>0</v>
      </c>
      <c r="J249" s="60"/>
      <c r="K249" s="60"/>
      <c r="L249" s="55"/>
      <c r="M249" s="60"/>
      <c r="N249" s="60"/>
      <c r="O249" s="55"/>
      <c r="P249" s="161"/>
      <c r="Q249" s="160" t="str">
        <f>IF(enrollment_table[[#This Row],[Enrollment Date]]="","",TEXT(enrollment_table[[#This Row],[Enrollment Date]],"mmmm"))</f>
        <v/>
      </c>
      <c r="R249" s="60"/>
    </row>
    <row r="250" spans="1:18" ht="15" x14ac:dyDescent="0.3">
      <c r="A250" s="129"/>
      <c r="B250" s="60"/>
      <c r="C250" s="55"/>
      <c r="D250" s="60"/>
      <c r="E250" s="103">
        <f>_xlfn.XLOOKUP(enrollment_table[[#This Row],[*Subject]], classes_table[*Subject], classes_table[Fee])</f>
        <v>0</v>
      </c>
      <c r="F250" s="58"/>
      <c r="G250" s="60"/>
      <c r="H250" s="55"/>
      <c r="I250" s="176">
        <f>_xlfn.XLOOKUP(enrollment_table[[#This Row],[*Teacher Name]], teachers_table[*Teacher Name], teachers_table[*Teacher ID])</f>
        <v>0</v>
      </c>
      <c r="J250" s="60"/>
      <c r="K250" s="60"/>
      <c r="L250" s="55"/>
      <c r="M250" s="60"/>
      <c r="N250" s="60"/>
      <c r="O250" s="55"/>
      <c r="P250" s="161"/>
      <c r="Q250" s="160" t="str">
        <f>IF(enrollment_table[[#This Row],[Enrollment Date]]="","",TEXT(enrollment_table[[#This Row],[Enrollment Date]],"mmmm"))</f>
        <v/>
      </c>
      <c r="R250" s="60"/>
    </row>
    <row r="251" spans="1:18" ht="15" x14ac:dyDescent="0.3">
      <c r="A251" s="129"/>
      <c r="B251" s="60"/>
      <c r="C251" s="55"/>
      <c r="D251" s="60"/>
      <c r="E251" s="103">
        <f>_xlfn.XLOOKUP(enrollment_table[[#This Row],[*Subject]], classes_table[*Subject], classes_table[Fee])</f>
        <v>0</v>
      </c>
      <c r="F251" s="58"/>
      <c r="G251" s="60"/>
      <c r="H251" s="55"/>
      <c r="I251" s="176">
        <f>_xlfn.XLOOKUP(enrollment_table[[#This Row],[*Teacher Name]], teachers_table[*Teacher Name], teachers_table[*Teacher ID])</f>
        <v>0</v>
      </c>
      <c r="J251" s="60"/>
      <c r="K251" s="60"/>
      <c r="L251" s="55"/>
      <c r="M251" s="60"/>
      <c r="N251" s="60"/>
      <c r="O251" s="55"/>
      <c r="P251" s="161"/>
      <c r="Q251" s="160" t="str">
        <f>IF(enrollment_table[[#This Row],[Enrollment Date]]="","",TEXT(enrollment_table[[#This Row],[Enrollment Date]],"mmmm"))</f>
        <v/>
      </c>
      <c r="R251" s="60"/>
    </row>
    <row r="252" spans="1:18" ht="15" x14ac:dyDescent="0.3">
      <c r="A252" s="129"/>
      <c r="B252" s="60"/>
      <c r="C252" s="55"/>
      <c r="D252" s="60"/>
      <c r="E252" s="103">
        <f>_xlfn.XLOOKUP(enrollment_table[[#This Row],[*Subject]], classes_table[*Subject], classes_table[Fee])</f>
        <v>0</v>
      </c>
      <c r="F252" s="58"/>
      <c r="G252" s="60"/>
      <c r="H252" s="55"/>
      <c r="I252" s="176">
        <f>_xlfn.XLOOKUP(enrollment_table[[#This Row],[*Teacher Name]], teachers_table[*Teacher Name], teachers_table[*Teacher ID])</f>
        <v>0</v>
      </c>
      <c r="J252" s="60"/>
      <c r="K252" s="60"/>
      <c r="L252" s="55"/>
      <c r="M252" s="60"/>
      <c r="N252" s="60"/>
      <c r="O252" s="55"/>
      <c r="P252" s="161"/>
      <c r="Q252" s="160" t="str">
        <f>IF(enrollment_table[[#This Row],[Enrollment Date]]="","",TEXT(enrollment_table[[#This Row],[Enrollment Date]],"mmmm"))</f>
        <v/>
      </c>
      <c r="R252" s="60"/>
    </row>
    <row r="253" spans="1:18" ht="15" x14ac:dyDescent="0.3">
      <c r="A253" s="129"/>
      <c r="B253" s="60"/>
      <c r="C253" s="55"/>
      <c r="D253" s="60"/>
      <c r="E253" s="103">
        <f>_xlfn.XLOOKUP(enrollment_table[[#This Row],[*Subject]], classes_table[*Subject], classes_table[Fee])</f>
        <v>0</v>
      </c>
      <c r="F253" s="58"/>
      <c r="G253" s="60"/>
      <c r="H253" s="55"/>
      <c r="I253" s="176">
        <f>_xlfn.XLOOKUP(enrollment_table[[#This Row],[*Teacher Name]], teachers_table[*Teacher Name], teachers_table[*Teacher ID])</f>
        <v>0</v>
      </c>
      <c r="J253" s="60"/>
      <c r="K253" s="60"/>
      <c r="L253" s="55"/>
      <c r="M253" s="60"/>
      <c r="N253" s="60"/>
      <c r="O253" s="55"/>
      <c r="P253" s="161"/>
      <c r="Q253" s="160" t="str">
        <f>IF(enrollment_table[[#This Row],[Enrollment Date]]="","",TEXT(enrollment_table[[#This Row],[Enrollment Date]],"mmmm"))</f>
        <v/>
      </c>
      <c r="R253" s="60"/>
    </row>
    <row r="254" spans="1:18" ht="15" x14ac:dyDescent="0.3">
      <c r="A254" s="129"/>
      <c r="B254" s="60"/>
      <c r="C254" s="55"/>
      <c r="D254" s="60"/>
      <c r="E254" s="103">
        <f>_xlfn.XLOOKUP(enrollment_table[[#This Row],[*Subject]], classes_table[*Subject], classes_table[Fee])</f>
        <v>0</v>
      </c>
      <c r="F254" s="58"/>
      <c r="G254" s="60"/>
      <c r="H254" s="55"/>
      <c r="I254" s="176">
        <f>_xlfn.XLOOKUP(enrollment_table[[#This Row],[*Teacher Name]], teachers_table[*Teacher Name], teachers_table[*Teacher ID])</f>
        <v>0</v>
      </c>
      <c r="J254" s="60"/>
      <c r="K254" s="60"/>
      <c r="L254" s="55"/>
      <c r="M254" s="60"/>
      <c r="N254" s="60"/>
      <c r="O254" s="55"/>
      <c r="P254" s="161"/>
      <c r="Q254" s="160" t="str">
        <f>IF(enrollment_table[[#This Row],[Enrollment Date]]="","",TEXT(enrollment_table[[#This Row],[Enrollment Date]],"mmmm"))</f>
        <v/>
      </c>
      <c r="R254" s="60"/>
    </row>
    <row r="255" spans="1:18" ht="15" x14ac:dyDescent="0.3">
      <c r="A255" s="129"/>
      <c r="B255" s="60"/>
      <c r="C255" s="55"/>
      <c r="D255" s="60"/>
      <c r="E255" s="103">
        <f>_xlfn.XLOOKUP(enrollment_table[[#This Row],[*Subject]], classes_table[*Subject], classes_table[Fee])</f>
        <v>0</v>
      </c>
      <c r="F255" s="58"/>
      <c r="G255" s="60"/>
      <c r="H255" s="55"/>
      <c r="I255" s="176">
        <f>_xlfn.XLOOKUP(enrollment_table[[#This Row],[*Teacher Name]], teachers_table[*Teacher Name], teachers_table[*Teacher ID])</f>
        <v>0</v>
      </c>
      <c r="J255" s="60"/>
      <c r="K255" s="60"/>
      <c r="L255" s="55"/>
      <c r="M255" s="60"/>
      <c r="N255" s="60"/>
      <c r="O255" s="55"/>
      <c r="P255" s="161"/>
      <c r="Q255" s="160" t="str">
        <f>IF(enrollment_table[[#This Row],[Enrollment Date]]="","",TEXT(enrollment_table[[#This Row],[Enrollment Date]],"mmmm"))</f>
        <v/>
      </c>
      <c r="R255" s="60"/>
    </row>
    <row r="256" spans="1:18" ht="15" x14ac:dyDescent="0.3">
      <c r="A256" s="129"/>
      <c r="B256" s="60"/>
      <c r="C256" s="55"/>
      <c r="D256" s="60"/>
      <c r="E256" s="103">
        <f>_xlfn.XLOOKUP(enrollment_table[[#This Row],[*Subject]], classes_table[*Subject], classes_table[Fee])</f>
        <v>0</v>
      </c>
      <c r="F256" s="58"/>
      <c r="G256" s="60"/>
      <c r="H256" s="55"/>
      <c r="I256" s="176">
        <f>_xlfn.XLOOKUP(enrollment_table[[#This Row],[*Teacher Name]], teachers_table[*Teacher Name], teachers_table[*Teacher ID])</f>
        <v>0</v>
      </c>
      <c r="J256" s="60"/>
      <c r="K256" s="60"/>
      <c r="L256" s="55"/>
      <c r="M256" s="60"/>
      <c r="N256" s="60"/>
      <c r="O256" s="55"/>
      <c r="P256" s="161"/>
      <c r="Q256" s="160" t="str">
        <f>IF(enrollment_table[[#This Row],[Enrollment Date]]="","",TEXT(enrollment_table[[#This Row],[Enrollment Date]],"mmmm"))</f>
        <v/>
      </c>
      <c r="R256" s="60"/>
    </row>
    <row r="257" spans="1:18" ht="15" x14ac:dyDescent="0.3">
      <c r="A257" s="129"/>
      <c r="B257" s="60"/>
      <c r="C257" s="55"/>
      <c r="D257" s="60"/>
      <c r="E257" s="103">
        <f>_xlfn.XLOOKUP(enrollment_table[[#This Row],[*Subject]], classes_table[*Subject], classes_table[Fee])</f>
        <v>0</v>
      </c>
      <c r="F257" s="58"/>
      <c r="G257" s="60"/>
      <c r="H257" s="55"/>
      <c r="I257" s="176">
        <f>_xlfn.XLOOKUP(enrollment_table[[#This Row],[*Teacher Name]], teachers_table[*Teacher Name], teachers_table[*Teacher ID])</f>
        <v>0</v>
      </c>
      <c r="J257" s="60"/>
      <c r="K257" s="60"/>
      <c r="L257" s="55"/>
      <c r="M257" s="60"/>
      <c r="N257" s="60"/>
      <c r="O257" s="55"/>
      <c r="P257" s="161"/>
      <c r="Q257" s="160" t="str">
        <f>IF(enrollment_table[[#This Row],[Enrollment Date]]="","",TEXT(enrollment_table[[#This Row],[Enrollment Date]],"mmmm"))</f>
        <v/>
      </c>
      <c r="R257" s="60"/>
    </row>
    <row r="258" spans="1:18" ht="15" x14ac:dyDescent="0.3">
      <c r="A258" s="129"/>
      <c r="B258" s="60"/>
      <c r="C258" s="55"/>
      <c r="D258" s="60"/>
      <c r="E258" s="103">
        <f>_xlfn.XLOOKUP(enrollment_table[[#This Row],[*Subject]], classes_table[*Subject], classes_table[Fee])</f>
        <v>0</v>
      </c>
      <c r="F258" s="58"/>
      <c r="G258" s="60"/>
      <c r="H258" s="55"/>
      <c r="I258" s="176">
        <f>_xlfn.XLOOKUP(enrollment_table[[#This Row],[*Teacher Name]], teachers_table[*Teacher Name], teachers_table[*Teacher ID])</f>
        <v>0</v>
      </c>
      <c r="J258" s="60"/>
      <c r="K258" s="60"/>
      <c r="L258" s="55"/>
      <c r="M258" s="60"/>
      <c r="N258" s="60"/>
      <c r="O258" s="55"/>
      <c r="P258" s="161"/>
      <c r="Q258" s="160" t="str">
        <f>IF(enrollment_table[[#This Row],[Enrollment Date]]="","",TEXT(enrollment_table[[#This Row],[Enrollment Date]],"mmmm"))</f>
        <v/>
      </c>
      <c r="R258" s="60"/>
    </row>
    <row r="259" spans="1:18" ht="15" x14ac:dyDescent="0.3">
      <c r="A259" s="129"/>
      <c r="B259" s="60"/>
      <c r="C259" s="55"/>
      <c r="D259" s="60"/>
      <c r="E259" s="103">
        <f>_xlfn.XLOOKUP(enrollment_table[[#This Row],[*Subject]], classes_table[*Subject], classes_table[Fee])</f>
        <v>0</v>
      </c>
      <c r="F259" s="58"/>
      <c r="G259" s="60"/>
      <c r="H259" s="55"/>
      <c r="I259" s="176">
        <f>_xlfn.XLOOKUP(enrollment_table[[#This Row],[*Teacher Name]], teachers_table[*Teacher Name], teachers_table[*Teacher ID])</f>
        <v>0</v>
      </c>
      <c r="J259" s="60"/>
      <c r="K259" s="60"/>
      <c r="L259" s="55"/>
      <c r="M259" s="60"/>
      <c r="N259" s="60"/>
      <c r="O259" s="55"/>
      <c r="P259" s="161"/>
      <c r="Q259" s="160" t="str">
        <f>IF(enrollment_table[[#This Row],[Enrollment Date]]="","",TEXT(enrollment_table[[#This Row],[Enrollment Date]],"mmmm"))</f>
        <v/>
      </c>
      <c r="R259" s="60"/>
    </row>
    <row r="260" spans="1:18" ht="15" x14ac:dyDescent="0.3">
      <c r="A260" s="129"/>
      <c r="B260" s="60"/>
      <c r="C260" s="55"/>
      <c r="D260" s="60"/>
      <c r="E260" s="103">
        <f>_xlfn.XLOOKUP(enrollment_table[[#This Row],[*Subject]], classes_table[*Subject], classes_table[Fee])</f>
        <v>0</v>
      </c>
      <c r="F260" s="58"/>
      <c r="G260" s="60"/>
      <c r="H260" s="55"/>
      <c r="I260" s="176">
        <f>_xlfn.XLOOKUP(enrollment_table[[#This Row],[*Teacher Name]], teachers_table[*Teacher Name], teachers_table[*Teacher ID])</f>
        <v>0</v>
      </c>
      <c r="J260" s="60"/>
      <c r="K260" s="60"/>
      <c r="L260" s="55"/>
      <c r="M260" s="60"/>
      <c r="N260" s="60"/>
      <c r="O260" s="55"/>
      <c r="P260" s="161"/>
      <c r="Q260" s="160" t="str">
        <f>IF(enrollment_table[[#This Row],[Enrollment Date]]="","",TEXT(enrollment_table[[#This Row],[Enrollment Date]],"mmmm"))</f>
        <v/>
      </c>
      <c r="R260" s="60"/>
    </row>
    <row r="261" spans="1:18" ht="15" x14ac:dyDescent="0.3">
      <c r="A261" s="129"/>
      <c r="B261" s="60"/>
      <c r="C261" s="55"/>
      <c r="D261" s="60"/>
      <c r="E261" s="103">
        <f>_xlfn.XLOOKUP(enrollment_table[[#This Row],[*Subject]], classes_table[*Subject], classes_table[Fee])</f>
        <v>0</v>
      </c>
      <c r="F261" s="58"/>
      <c r="G261" s="60"/>
      <c r="H261" s="55"/>
      <c r="I261" s="176">
        <f>_xlfn.XLOOKUP(enrollment_table[[#This Row],[*Teacher Name]], teachers_table[*Teacher Name], teachers_table[*Teacher ID])</f>
        <v>0</v>
      </c>
      <c r="J261" s="60"/>
      <c r="K261" s="60"/>
      <c r="L261" s="55"/>
      <c r="M261" s="60"/>
      <c r="N261" s="60"/>
      <c r="O261" s="55"/>
      <c r="P261" s="161"/>
      <c r="Q261" s="160" t="str">
        <f>IF(enrollment_table[[#This Row],[Enrollment Date]]="","",TEXT(enrollment_table[[#This Row],[Enrollment Date]],"mmmm"))</f>
        <v/>
      </c>
      <c r="R261" s="60"/>
    </row>
    <row r="262" spans="1:18" ht="15" x14ac:dyDescent="0.3">
      <c r="A262" s="129"/>
      <c r="B262" s="60"/>
      <c r="C262" s="55"/>
      <c r="D262" s="60"/>
      <c r="E262" s="103">
        <f>_xlfn.XLOOKUP(enrollment_table[[#This Row],[*Subject]], classes_table[*Subject], classes_table[Fee])</f>
        <v>0</v>
      </c>
      <c r="F262" s="58"/>
      <c r="G262" s="60"/>
      <c r="H262" s="55"/>
      <c r="I262" s="176">
        <f>_xlfn.XLOOKUP(enrollment_table[[#This Row],[*Teacher Name]], teachers_table[*Teacher Name], teachers_table[*Teacher ID])</f>
        <v>0</v>
      </c>
      <c r="J262" s="60"/>
      <c r="K262" s="60"/>
      <c r="L262" s="55"/>
      <c r="M262" s="60"/>
      <c r="N262" s="60"/>
      <c r="O262" s="55"/>
      <c r="P262" s="161"/>
      <c r="Q262" s="160" t="str">
        <f>IF(enrollment_table[[#This Row],[Enrollment Date]]="","",TEXT(enrollment_table[[#This Row],[Enrollment Date]],"mmmm"))</f>
        <v/>
      </c>
      <c r="R262" s="60"/>
    </row>
    <row r="263" spans="1:18" ht="15" x14ac:dyDescent="0.3">
      <c r="A263" s="129"/>
      <c r="B263" s="60"/>
      <c r="C263" s="55"/>
      <c r="D263" s="60"/>
      <c r="E263" s="103">
        <f>_xlfn.XLOOKUP(enrollment_table[[#This Row],[*Subject]], classes_table[*Subject], classes_table[Fee])</f>
        <v>0</v>
      </c>
      <c r="F263" s="58"/>
      <c r="G263" s="60"/>
      <c r="H263" s="55"/>
      <c r="I263" s="176">
        <f>_xlfn.XLOOKUP(enrollment_table[[#This Row],[*Teacher Name]], teachers_table[*Teacher Name], teachers_table[*Teacher ID])</f>
        <v>0</v>
      </c>
      <c r="J263" s="60"/>
      <c r="K263" s="60"/>
      <c r="L263" s="55"/>
      <c r="M263" s="60"/>
      <c r="N263" s="60"/>
      <c r="O263" s="55"/>
      <c r="P263" s="161"/>
      <c r="Q263" s="160" t="str">
        <f>IF(enrollment_table[[#This Row],[Enrollment Date]]="","",TEXT(enrollment_table[[#This Row],[Enrollment Date]],"mmmm"))</f>
        <v/>
      </c>
      <c r="R263" s="60"/>
    </row>
    <row r="264" spans="1:18" ht="15" x14ac:dyDescent="0.3">
      <c r="A264" s="129"/>
      <c r="B264" s="60"/>
      <c r="C264" s="55"/>
      <c r="D264" s="60"/>
      <c r="E264" s="103">
        <f>_xlfn.XLOOKUP(enrollment_table[[#This Row],[*Subject]], classes_table[*Subject], classes_table[Fee])</f>
        <v>0</v>
      </c>
      <c r="F264" s="58"/>
      <c r="G264" s="60"/>
      <c r="H264" s="55"/>
      <c r="I264" s="176">
        <f>_xlfn.XLOOKUP(enrollment_table[[#This Row],[*Teacher Name]], teachers_table[*Teacher Name], teachers_table[*Teacher ID])</f>
        <v>0</v>
      </c>
      <c r="J264" s="60"/>
      <c r="K264" s="60"/>
      <c r="L264" s="55"/>
      <c r="M264" s="60"/>
      <c r="N264" s="60"/>
      <c r="O264" s="55"/>
      <c r="P264" s="161"/>
      <c r="Q264" s="160" t="str">
        <f>IF(enrollment_table[[#This Row],[Enrollment Date]]="","",TEXT(enrollment_table[[#This Row],[Enrollment Date]],"mmmm"))</f>
        <v/>
      </c>
      <c r="R264" s="60"/>
    </row>
    <row r="265" spans="1:18" ht="15" x14ac:dyDescent="0.3">
      <c r="A265" s="129"/>
      <c r="B265" s="60"/>
      <c r="C265" s="55"/>
      <c r="D265" s="60"/>
      <c r="E265" s="103">
        <f>_xlfn.XLOOKUP(enrollment_table[[#This Row],[*Subject]], classes_table[*Subject], classes_table[Fee])</f>
        <v>0</v>
      </c>
      <c r="F265" s="58"/>
      <c r="G265" s="60"/>
      <c r="H265" s="55"/>
      <c r="I265" s="176">
        <f>_xlfn.XLOOKUP(enrollment_table[[#This Row],[*Teacher Name]], teachers_table[*Teacher Name], teachers_table[*Teacher ID])</f>
        <v>0</v>
      </c>
      <c r="J265" s="60"/>
      <c r="K265" s="60"/>
      <c r="L265" s="55"/>
      <c r="M265" s="60"/>
      <c r="N265" s="60"/>
      <c r="O265" s="55"/>
      <c r="P265" s="161"/>
      <c r="Q265" s="160" t="str">
        <f>IF(enrollment_table[[#This Row],[Enrollment Date]]="","",TEXT(enrollment_table[[#This Row],[Enrollment Date]],"mmmm"))</f>
        <v/>
      </c>
      <c r="R265" s="60"/>
    </row>
    <row r="266" spans="1:18" ht="15" x14ac:dyDescent="0.3">
      <c r="A266" s="129"/>
      <c r="B266" s="60"/>
      <c r="C266" s="55"/>
      <c r="D266" s="60"/>
      <c r="E266" s="103">
        <f>_xlfn.XLOOKUP(enrollment_table[[#This Row],[*Subject]], classes_table[*Subject], classes_table[Fee])</f>
        <v>0</v>
      </c>
      <c r="F266" s="58"/>
      <c r="G266" s="60"/>
      <c r="H266" s="55"/>
      <c r="I266" s="176">
        <f>_xlfn.XLOOKUP(enrollment_table[[#This Row],[*Teacher Name]], teachers_table[*Teacher Name], teachers_table[*Teacher ID])</f>
        <v>0</v>
      </c>
      <c r="J266" s="60"/>
      <c r="K266" s="60"/>
      <c r="L266" s="55"/>
      <c r="M266" s="60"/>
      <c r="N266" s="60"/>
      <c r="O266" s="55"/>
      <c r="P266" s="161"/>
      <c r="Q266" s="160" t="str">
        <f>IF(enrollment_table[[#This Row],[Enrollment Date]]="","",TEXT(enrollment_table[[#This Row],[Enrollment Date]],"mmmm"))</f>
        <v/>
      </c>
      <c r="R266" s="60"/>
    </row>
    <row r="267" spans="1:18" ht="15" x14ac:dyDescent="0.3">
      <c r="A267" s="129"/>
      <c r="B267" s="60"/>
      <c r="C267" s="55"/>
      <c r="D267" s="60"/>
      <c r="E267" s="103">
        <f>_xlfn.XLOOKUP(enrollment_table[[#This Row],[*Subject]], classes_table[*Subject], classes_table[Fee])</f>
        <v>0</v>
      </c>
      <c r="F267" s="58"/>
      <c r="G267" s="60"/>
      <c r="H267" s="55"/>
      <c r="I267" s="176">
        <f>_xlfn.XLOOKUP(enrollment_table[[#This Row],[*Teacher Name]], teachers_table[*Teacher Name], teachers_table[*Teacher ID])</f>
        <v>0</v>
      </c>
      <c r="J267" s="60"/>
      <c r="K267" s="60"/>
      <c r="L267" s="55"/>
      <c r="M267" s="60"/>
      <c r="N267" s="60"/>
      <c r="O267" s="55"/>
      <c r="P267" s="161"/>
      <c r="Q267" s="160" t="str">
        <f>IF(enrollment_table[[#This Row],[Enrollment Date]]="","",TEXT(enrollment_table[[#This Row],[Enrollment Date]],"mmmm"))</f>
        <v/>
      </c>
      <c r="R267" s="60"/>
    </row>
    <row r="268" spans="1:18" ht="15" x14ac:dyDescent="0.3">
      <c r="A268" s="129"/>
      <c r="B268" s="60"/>
      <c r="C268" s="55"/>
      <c r="D268" s="60"/>
      <c r="E268" s="103">
        <f>_xlfn.XLOOKUP(enrollment_table[[#This Row],[*Subject]], classes_table[*Subject], classes_table[Fee])</f>
        <v>0</v>
      </c>
      <c r="F268" s="58"/>
      <c r="G268" s="60"/>
      <c r="H268" s="55"/>
      <c r="I268" s="176">
        <f>_xlfn.XLOOKUP(enrollment_table[[#This Row],[*Teacher Name]], teachers_table[*Teacher Name], teachers_table[*Teacher ID])</f>
        <v>0</v>
      </c>
      <c r="J268" s="60"/>
      <c r="K268" s="60"/>
      <c r="L268" s="55"/>
      <c r="M268" s="60"/>
      <c r="N268" s="60"/>
      <c r="O268" s="55"/>
      <c r="P268" s="161"/>
      <c r="Q268" s="160" t="str">
        <f>IF(enrollment_table[[#This Row],[Enrollment Date]]="","",TEXT(enrollment_table[[#This Row],[Enrollment Date]],"mmmm"))</f>
        <v/>
      </c>
      <c r="R268" s="60"/>
    </row>
    <row r="269" spans="1:18" ht="15" x14ac:dyDescent="0.3">
      <c r="A269" s="129"/>
      <c r="B269" s="60"/>
      <c r="C269" s="55"/>
      <c r="D269" s="60"/>
      <c r="E269" s="103">
        <f>_xlfn.XLOOKUP(enrollment_table[[#This Row],[*Subject]], classes_table[*Subject], classes_table[Fee])</f>
        <v>0</v>
      </c>
      <c r="F269" s="58"/>
      <c r="G269" s="60"/>
      <c r="H269" s="55"/>
      <c r="I269" s="176">
        <f>_xlfn.XLOOKUP(enrollment_table[[#This Row],[*Teacher Name]], teachers_table[*Teacher Name], teachers_table[*Teacher ID])</f>
        <v>0</v>
      </c>
      <c r="J269" s="60"/>
      <c r="K269" s="60"/>
      <c r="L269" s="55"/>
      <c r="M269" s="60"/>
      <c r="N269" s="60"/>
      <c r="O269" s="55"/>
      <c r="P269" s="161"/>
      <c r="Q269" s="160" t="str">
        <f>IF(enrollment_table[[#This Row],[Enrollment Date]]="","",TEXT(enrollment_table[[#This Row],[Enrollment Date]],"mmmm"))</f>
        <v/>
      </c>
      <c r="R269" s="60"/>
    </row>
    <row r="270" spans="1:18" ht="15" x14ac:dyDescent="0.3">
      <c r="A270" s="129"/>
      <c r="B270" s="60"/>
      <c r="C270" s="55"/>
      <c r="D270" s="60"/>
      <c r="E270" s="103">
        <f>_xlfn.XLOOKUP(enrollment_table[[#This Row],[*Subject]], classes_table[*Subject], classes_table[Fee])</f>
        <v>0</v>
      </c>
      <c r="F270" s="58"/>
      <c r="G270" s="60"/>
      <c r="H270" s="55"/>
      <c r="I270" s="176">
        <f>_xlfn.XLOOKUP(enrollment_table[[#This Row],[*Teacher Name]], teachers_table[*Teacher Name], teachers_table[*Teacher ID])</f>
        <v>0</v>
      </c>
      <c r="J270" s="60"/>
      <c r="K270" s="60"/>
      <c r="L270" s="55"/>
      <c r="M270" s="60"/>
      <c r="N270" s="60"/>
      <c r="O270" s="55"/>
      <c r="P270" s="161"/>
      <c r="Q270" s="160" t="str">
        <f>IF(enrollment_table[[#This Row],[Enrollment Date]]="","",TEXT(enrollment_table[[#This Row],[Enrollment Date]],"mmmm"))</f>
        <v/>
      </c>
      <c r="R270" s="60"/>
    </row>
    <row r="271" spans="1:18" ht="15" x14ac:dyDescent="0.3">
      <c r="A271" s="129"/>
      <c r="B271" s="60"/>
      <c r="C271" s="55"/>
      <c r="D271" s="60"/>
      <c r="E271" s="103">
        <f>_xlfn.XLOOKUP(enrollment_table[[#This Row],[*Subject]], classes_table[*Subject], classes_table[Fee])</f>
        <v>0</v>
      </c>
      <c r="F271" s="58"/>
      <c r="G271" s="60"/>
      <c r="H271" s="55"/>
      <c r="I271" s="176">
        <f>_xlfn.XLOOKUP(enrollment_table[[#This Row],[*Teacher Name]], teachers_table[*Teacher Name], teachers_table[*Teacher ID])</f>
        <v>0</v>
      </c>
      <c r="J271" s="60"/>
      <c r="K271" s="60"/>
      <c r="L271" s="55"/>
      <c r="M271" s="60"/>
      <c r="N271" s="60"/>
      <c r="O271" s="55"/>
      <c r="P271" s="161"/>
      <c r="Q271" s="160" t="str">
        <f>IF(enrollment_table[[#This Row],[Enrollment Date]]="","",TEXT(enrollment_table[[#This Row],[Enrollment Date]],"mmmm"))</f>
        <v/>
      </c>
      <c r="R271" s="60"/>
    </row>
    <row r="272" spans="1:18" ht="15" x14ac:dyDescent="0.3">
      <c r="A272" s="129"/>
      <c r="B272" s="60"/>
      <c r="C272" s="55"/>
      <c r="D272" s="60"/>
      <c r="E272" s="103">
        <f>_xlfn.XLOOKUP(enrollment_table[[#This Row],[*Subject]], classes_table[*Subject], classes_table[Fee])</f>
        <v>0</v>
      </c>
      <c r="F272" s="58"/>
      <c r="G272" s="60"/>
      <c r="H272" s="55"/>
      <c r="I272" s="176">
        <f>_xlfn.XLOOKUP(enrollment_table[[#This Row],[*Teacher Name]], teachers_table[*Teacher Name], teachers_table[*Teacher ID])</f>
        <v>0</v>
      </c>
      <c r="J272" s="60"/>
      <c r="K272" s="60"/>
      <c r="L272" s="55"/>
      <c r="M272" s="60"/>
      <c r="N272" s="60"/>
      <c r="O272" s="55"/>
      <c r="P272" s="161"/>
      <c r="Q272" s="160" t="str">
        <f>IF(enrollment_table[[#This Row],[Enrollment Date]]="","",TEXT(enrollment_table[[#This Row],[Enrollment Date]],"mmmm"))</f>
        <v/>
      </c>
      <c r="R272" s="60"/>
    </row>
    <row r="273" spans="1:18" ht="15" x14ac:dyDescent="0.3">
      <c r="A273" s="129"/>
      <c r="B273" s="60"/>
      <c r="C273" s="55"/>
      <c r="D273" s="60"/>
      <c r="E273" s="103">
        <f>_xlfn.XLOOKUP(enrollment_table[[#This Row],[*Subject]], classes_table[*Subject], classes_table[Fee])</f>
        <v>0</v>
      </c>
      <c r="F273" s="58"/>
      <c r="G273" s="60"/>
      <c r="H273" s="55"/>
      <c r="I273" s="176">
        <f>_xlfn.XLOOKUP(enrollment_table[[#This Row],[*Teacher Name]], teachers_table[*Teacher Name], teachers_table[*Teacher ID])</f>
        <v>0</v>
      </c>
      <c r="J273" s="60"/>
      <c r="K273" s="60"/>
      <c r="L273" s="55"/>
      <c r="M273" s="60"/>
      <c r="N273" s="60"/>
      <c r="O273" s="55"/>
      <c r="P273" s="161"/>
      <c r="Q273" s="160" t="str">
        <f>IF(enrollment_table[[#This Row],[Enrollment Date]]="","",TEXT(enrollment_table[[#This Row],[Enrollment Date]],"mmmm"))</f>
        <v/>
      </c>
      <c r="R273" s="60"/>
    </row>
    <row r="274" spans="1:18" ht="15" x14ac:dyDescent="0.3">
      <c r="A274" s="129"/>
      <c r="B274" s="60"/>
      <c r="C274" s="55"/>
      <c r="D274" s="60"/>
      <c r="E274" s="103">
        <f>_xlfn.XLOOKUP(enrollment_table[[#This Row],[*Subject]], classes_table[*Subject], classes_table[Fee])</f>
        <v>0</v>
      </c>
      <c r="F274" s="58"/>
      <c r="G274" s="60"/>
      <c r="H274" s="55"/>
      <c r="I274" s="176">
        <f>_xlfn.XLOOKUP(enrollment_table[[#This Row],[*Teacher Name]], teachers_table[*Teacher Name], teachers_table[*Teacher ID])</f>
        <v>0</v>
      </c>
      <c r="J274" s="60"/>
      <c r="K274" s="60"/>
      <c r="L274" s="55"/>
      <c r="M274" s="60"/>
      <c r="N274" s="60"/>
      <c r="O274" s="55"/>
      <c r="P274" s="161"/>
      <c r="Q274" s="160" t="str">
        <f>IF(enrollment_table[[#This Row],[Enrollment Date]]="","",TEXT(enrollment_table[[#This Row],[Enrollment Date]],"mmmm"))</f>
        <v/>
      </c>
      <c r="R274" s="60"/>
    </row>
    <row r="275" spans="1:18" ht="15" x14ac:dyDescent="0.3">
      <c r="A275" s="129"/>
      <c r="B275" s="60"/>
      <c r="C275" s="55"/>
      <c r="D275" s="60"/>
      <c r="E275" s="103">
        <f>_xlfn.XLOOKUP(enrollment_table[[#This Row],[*Subject]], classes_table[*Subject], classes_table[Fee])</f>
        <v>0</v>
      </c>
      <c r="F275" s="58"/>
      <c r="G275" s="60"/>
      <c r="H275" s="55"/>
      <c r="I275" s="176">
        <f>_xlfn.XLOOKUP(enrollment_table[[#This Row],[*Teacher Name]], teachers_table[*Teacher Name], teachers_table[*Teacher ID])</f>
        <v>0</v>
      </c>
      <c r="J275" s="60"/>
      <c r="K275" s="60"/>
      <c r="L275" s="55"/>
      <c r="M275" s="60"/>
      <c r="N275" s="60"/>
      <c r="O275" s="55"/>
      <c r="P275" s="161"/>
      <c r="Q275" s="160" t="str">
        <f>IF(enrollment_table[[#This Row],[Enrollment Date]]="","",TEXT(enrollment_table[[#This Row],[Enrollment Date]],"mmmm"))</f>
        <v/>
      </c>
      <c r="R275" s="60"/>
    </row>
    <row r="276" spans="1:18" ht="15" x14ac:dyDescent="0.3">
      <c r="A276" s="129"/>
      <c r="B276" s="60"/>
      <c r="C276" s="55"/>
      <c r="D276" s="60"/>
      <c r="E276" s="103">
        <f>_xlfn.XLOOKUP(enrollment_table[[#This Row],[*Subject]], classes_table[*Subject], classes_table[Fee])</f>
        <v>0</v>
      </c>
      <c r="F276" s="58"/>
      <c r="G276" s="60"/>
      <c r="H276" s="55"/>
      <c r="I276" s="176">
        <f>_xlfn.XLOOKUP(enrollment_table[[#This Row],[*Teacher Name]], teachers_table[*Teacher Name], teachers_table[*Teacher ID])</f>
        <v>0</v>
      </c>
      <c r="J276" s="60"/>
      <c r="K276" s="60"/>
      <c r="L276" s="55"/>
      <c r="M276" s="60"/>
      <c r="N276" s="60"/>
      <c r="O276" s="55"/>
      <c r="P276" s="161"/>
      <c r="Q276" s="160" t="str">
        <f>IF(enrollment_table[[#This Row],[Enrollment Date]]="","",TEXT(enrollment_table[[#This Row],[Enrollment Date]],"mmmm"))</f>
        <v/>
      </c>
      <c r="R276" s="60"/>
    </row>
    <row r="277" spans="1:18" ht="15" x14ac:dyDescent="0.3">
      <c r="A277" s="129"/>
      <c r="B277" s="60"/>
      <c r="C277" s="55"/>
      <c r="D277" s="60"/>
      <c r="E277" s="103">
        <f>_xlfn.XLOOKUP(enrollment_table[[#This Row],[*Subject]], classes_table[*Subject], classes_table[Fee])</f>
        <v>0</v>
      </c>
      <c r="F277" s="58"/>
      <c r="G277" s="60"/>
      <c r="H277" s="55"/>
      <c r="I277" s="176">
        <f>_xlfn.XLOOKUP(enrollment_table[[#This Row],[*Teacher Name]], teachers_table[*Teacher Name], teachers_table[*Teacher ID])</f>
        <v>0</v>
      </c>
      <c r="J277" s="60"/>
      <c r="K277" s="60"/>
      <c r="L277" s="55"/>
      <c r="M277" s="60"/>
      <c r="N277" s="60"/>
      <c r="O277" s="55"/>
      <c r="P277" s="161"/>
      <c r="Q277" s="160" t="str">
        <f>IF(enrollment_table[[#This Row],[Enrollment Date]]="","",TEXT(enrollment_table[[#This Row],[Enrollment Date]],"mmmm"))</f>
        <v/>
      </c>
      <c r="R277" s="60"/>
    </row>
    <row r="278" spans="1:18" ht="15" x14ac:dyDescent="0.3">
      <c r="A278" s="129"/>
      <c r="B278" s="60"/>
      <c r="C278" s="55"/>
      <c r="D278" s="60"/>
      <c r="E278" s="103">
        <f>_xlfn.XLOOKUP(enrollment_table[[#This Row],[*Subject]], classes_table[*Subject], classes_table[Fee])</f>
        <v>0</v>
      </c>
      <c r="F278" s="58"/>
      <c r="G278" s="60"/>
      <c r="H278" s="55"/>
      <c r="I278" s="176">
        <f>_xlfn.XLOOKUP(enrollment_table[[#This Row],[*Teacher Name]], teachers_table[*Teacher Name], teachers_table[*Teacher ID])</f>
        <v>0</v>
      </c>
      <c r="J278" s="60"/>
      <c r="K278" s="60"/>
      <c r="L278" s="55"/>
      <c r="M278" s="60"/>
      <c r="N278" s="60"/>
      <c r="O278" s="55"/>
      <c r="P278" s="161"/>
      <c r="Q278" s="160" t="str">
        <f>IF(enrollment_table[[#This Row],[Enrollment Date]]="","",TEXT(enrollment_table[[#This Row],[Enrollment Date]],"mmmm"))</f>
        <v/>
      </c>
      <c r="R278" s="60"/>
    </row>
    <row r="279" spans="1:18" ht="15" x14ac:dyDescent="0.3">
      <c r="A279" s="129"/>
      <c r="B279" s="60"/>
      <c r="C279" s="55"/>
      <c r="D279" s="60"/>
      <c r="E279" s="103">
        <f>_xlfn.XLOOKUP(enrollment_table[[#This Row],[*Subject]], classes_table[*Subject], classes_table[Fee])</f>
        <v>0</v>
      </c>
      <c r="F279" s="58"/>
      <c r="G279" s="60"/>
      <c r="H279" s="55"/>
      <c r="I279" s="176">
        <f>_xlfn.XLOOKUP(enrollment_table[[#This Row],[*Teacher Name]], teachers_table[*Teacher Name], teachers_table[*Teacher ID])</f>
        <v>0</v>
      </c>
      <c r="J279" s="60"/>
      <c r="K279" s="60"/>
      <c r="L279" s="55"/>
      <c r="M279" s="60"/>
      <c r="N279" s="60"/>
      <c r="O279" s="55"/>
      <c r="P279" s="161"/>
      <c r="Q279" s="160" t="str">
        <f>IF(enrollment_table[[#This Row],[Enrollment Date]]="","",TEXT(enrollment_table[[#This Row],[Enrollment Date]],"mmmm"))</f>
        <v/>
      </c>
      <c r="R279" s="60"/>
    </row>
    <row r="280" spans="1:18" ht="15" x14ac:dyDescent="0.3">
      <c r="A280" s="129"/>
      <c r="B280" s="60"/>
      <c r="C280" s="55"/>
      <c r="D280" s="60"/>
      <c r="E280" s="103">
        <f>_xlfn.XLOOKUP(enrollment_table[[#This Row],[*Subject]], classes_table[*Subject], classes_table[Fee])</f>
        <v>0</v>
      </c>
      <c r="F280" s="58"/>
      <c r="G280" s="60"/>
      <c r="H280" s="55"/>
      <c r="I280" s="176">
        <f>_xlfn.XLOOKUP(enrollment_table[[#This Row],[*Teacher Name]], teachers_table[*Teacher Name], teachers_table[*Teacher ID])</f>
        <v>0</v>
      </c>
      <c r="J280" s="60"/>
      <c r="K280" s="60"/>
      <c r="L280" s="55"/>
      <c r="M280" s="60"/>
      <c r="N280" s="60"/>
      <c r="O280" s="55"/>
      <c r="P280" s="161"/>
      <c r="Q280" s="160" t="str">
        <f>IF(enrollment_table[[#This Row],[Enrollment Date]]="","",TEXT(enrollment_table[[#This Row],[Enrollment Date]],"mmmm"))</f>
        <v/>
      </c>
      <c r="R280" s="60"/>
    </row>
    <row r="281" spans="1:18" ht="15" x14ac:dyDescent="0.3">
      <c r="A281" s="129"/>
      <c r="B281" s="60"/>
      <c r="C281" s="55"/>
      <c r="D281" s="60"/>
      <c r="E281" s="103">
        <f>_xlfn.XLOOKUP(enrollment_table[[#This Row],[*Subject]], classes_table[*Subject], classes_table[Fee])</f>
        <v>0</v>
      </c>
      <c r="F281" s="58"/>
      <c r="G281" s="60"/>
      <c r="H281" s="55"/>
      <c r="I281" s="176">
        <f>_xlfn.XLOOKUP(enrollment_table[[#This Row],[*Teacher Name]], teachers_table[*Teacher Name], teachers_table[*Teacher ID])</f>
        <v>0</v>
      </c>
      <c r="J281" s="60"/>
      <c r="K281" s="60"/>
      <c r="L281" s="55"/>
      <c r="M281" s="60"/>
      <c r="N281" s="60"/>
      <c r="O281" s="55"/>
      <c r="P281" s="161"/>
      <c r="Q281" s="160" t="str">
        <f>IF(enrollment_table[[#This Row],[Enrollment Date]]="","",TEXT(enrollment_table[[#This Row],[Enrollment Date]],"mmmm"))</f>
        <v/>
      </c>
      <c r="R281" s="60"/>
    </row>
    <row r="282" spans="1:18" ht="15" x14ac:dyDescent="0.3">
      <c r="A282" s="129"/>
      <c r="B282" s="60"/>
      <c r="C282" s="55"/>
      <c r="D282" s="60"/>
      <c r="E282" s="103">
        <f>_xlfn.XLOOKUP(enrollment_table[[#This Row],[*Subject]], classes_table[*Subject], classes_table[Fee])</f>
        <v>0</v>
      </c>
      <c r="F282" s="58"/>
      <c r="G282" s="60"/>
      <c r="H282" s="55"/>
      <c r="I282" s="176">
        <f>_xlfn.XLOOKUP(enrollment_table[[#This Row],[*Teacher Name]], teachers_table[*Teacher Name], teachers_table[*Teacher ID])</f>
        <v>0</v>
      </c>
      <c r="J282" s="60"/>
      <c r="K282" s="60"/>
      <c r="L282" s="55"/>
      <c r="M282" s="60"/>
      <c r="N282" s="60"/>
      <c r="O282" s="55"/>
      <c r="P282" s="161"/>
      <c r="Q282" s="160" t="str">
        <f>IF(enrollment_table[[#This Row],[Enrollment Date]]="","",TEXT(enrollment_table[[#This Row],[Enrollment Date]],"mmmm"))</f>
        <v/>
      </c>
      <c r="R282" s="60"/>
    </row>
    <row r="283" spans="1:18" ht="15" x14ac:dyDescent="0.3">
      <c r="A283" s="129"/>
      <c r="B283" s="60"/>
      <c r="C283" s="55"/>
      <c r="D283" s="60"/>
      <c r="E283" s="103">
        <f>_xlfn.XLOOKUP(enrollment_table[[#This Row],[*Subject]], classes_table[*Subject], classes_table[Fee])</f>
        <v>0</v>
      </c>
      <c r="F283" s="58"/>
      <c r="G283" s="60"/>
      <c r="H283" s="55"/>
      <c r="I283" s="176">
        <f>_xlfn.XLOOKUP(enrollment_table[[#This Row],[*Teacher Name]], teachers_table[*Teacher Name], teachers_table[*Teacher ID])</f>
        <v>0</v>
      </c>
      <c r="J283" s="60"/>
      <c r="K283" s="60"/>
      <c r="L283" s="55"/>
      <c r="M283" s="60"/>
      <c r="N283" s="60"/>
      <c r="O283" s="55"/>
      <c r="P283" s="161"/>
      <c r="Q283" s="160" t="str">
        <f>IF(enrollment_table[[#This Row],[Enrollment Date]]="","",TEXT(enrollment_table[[#This Row],[Enrollment Date]],"mmmm"))</f>
        <v/>
      </c>
      <c r="R283" s="60"/>
    </row>
    <row r="284" spans="1:18" ht="15" x14ac:dyDescent="0.3">
      <c r="A284" s="129"/>
      <c r="B284" s="60"/>
      <c r="C284" s="55"/>
      <c r="D284" s="60"/>
      <c r="E284" s="103">
        <f>_xlfn.XLOOKUP(enrollment_table[[#This Row],[*Subject]], classes_table[*Subject], classes_table[Fee])</f>
        <v>0</v>
      </c>
      <c r="F284" s="58"/>
      <c r="G284" s="60"/>
      <c r="H284" s="55"/>
      <c r="I284" s="176">
        <f>_xlfn.XLOOKUP(enrollment_table[[#This Row],[*Teacher Name]], teachers_table[*Teacher Name], teachers_table[*Teacher ID])</f>
        <v>0</v>
      </c>
      <c r="J284" s="60"/>
      <c r="K284" s="60"/>
      <c r="L284" s="55"/>
      <c r="M284" s="60"/>
      <c r="N284" s="60"/>
      <c r="O284" s="55"/>
      <c r="P284" s="161"/>
      <c r="Q284" s="160" t="str">
        <f>IF(enrollment_table[[#This Row],[Enrollment Date]]="","",TEXT(enrollment_table[[#This Row],[Enrollment Date]],"mmmm"))</f>
        <v/>
      </c>
      <c r="R284" s="60"/>
    </row>
    <row r="285" spans="1:18" ht="15" x14ac:dyDescent="0.3">
      <c r="A285" s="129"/>
      <c r="B285" s="60"/>
      <c r="C285" s="55"/>
      <c r="D285" s="60"/>
      <c r="E285" s="103">
        <f>_xlfn.XLOOKUP(enrollment_table[[#This Row],[*Subject]], classes_table[*Subject], classes_table[Fee])</f>
        <v>0</v>
      </c>
      <c r="F285" s="58"/>
      <c r="G285" s="60"/>
      <c r="H285" s="55"/>
      <c r="I285" s="176">
        <f>_xlfn.XLOOKUP(enrollment_table[[#This Row],[*Teacher Name]], teachers_table[*Teacher Name], teachers_table[*Teacher ID])</f>
        <v>0</v>
      </c>
      <c r="J285" s="60"/>
      <c r="K285" s="60"/>
      <c r="L285" s="55"/>
      <c r="M285" s="60"/>
      <c r="N285" s="60"/>
      <c r="O285" s="55"/>
      <c r="P285" s="161"/>
      <c r="Q285" s="160" t="str">
        <f>IF(enrollment_table[[#This Row],[Enrollment Date]]="","",TEXT(enrollment_table[[#This Row],[Enrollment Date]],"mmmm"))</f>
        <v/>
      </c>
      <c r="R285" s="60"/>
    </row>
    <row r="286" spans="1:18" ht="15" x14ac:dyDescent="0.3">
      <c r="A286" s="129"/>
      <c r="B286" s="60"/>
      <c r="C286" s="55"/>
      <c r="D286" s="60"/>
      <c r="E286" s="103">
        <f>_xlfn.XLOOKUP(enrollment_table[[#This Row],[*Subject]], classes_table[*Subject], classes_table[Fee])</f>
        <v>0</v>
      </c>
      <c r="F286" s="58"/>
      <c r="G286" s="60"/>
      <c r="H286" s="55"/>
      <c r="I286" s="176">
        <f>_xlfn.XLOOKUP(enrollment_table[[#This Row],[*Teacher Name]], teachers_table[*Teacher Name], teachers_table[*Teacher ID])</f>
        <v>0</v>
      </c>
      <c r="J286" s="60"/>
      <c r="K286" s="60"/>
      <c r="L286" s="55"/>
      <c r="M286" s="60"/>
      <c r="N286" s="60"/>
      <c r="O286" s="55"/>
      <c r="P286" s="161"/>
      <c r="Q286" s="160" t="str">
        <f>IF(enrollment_table[[#This Row],[Enrollment Date]]="","",TEXT(enrollment_table[[#This Row],[Enrollment Date]],"mmmm"))</f>
        <v/>
      </c>
      <c r="R286" s="60"/>
    </row>
    <row r="287" spans="1:18" ht="15" x14ac:dyDescent="0.3">
      <c r="A287" s="129"/>
      <c r="B287" s="60"/>
      <c r="C287" s="55"/>
      <c r="D287" s="60"/>
      <c r="E287" s="103">
        <f>_xlfn.XLOOKUP(enrollment_table[[#This Row],[*Subject]], classes_table[*Subject], classes_table[Fee])</f>
        <v>0</v>
      </c>
      <c r="F287" s="58"/>
      <c r="G287" s="60"/>
      <c r="H287" s="55"/>
      <c r="I287" s="176">
        <f>_xlfn.XLOOKUP(enrollment_table[[#This Row],[*Teacher Name]], teachers_table[*Teacher Name], teachers_table[*Teacher ID])</f>
        <v>0</v>
      </c>
      <c r="J287" s="60"/>
      <c r="K287" s="60"/>
      <c r="L287" s="55"/>
      <c r="M287" s="60"/>
      <c r="N287" s="60"/>
      <c r="O287" s="55"/>
      <c r="P287" s="161"/>
      <c r="Q287" s="160" t="str">
        <f>IF(enrollment_table[[#This Row],[Enrollment Date]]="","",TEXT(enrollment_table[[#This Row],[Enrollment Date]],"mmmm"))</f>
        <v/>
      </c>
      <c r="R287" s="60"/>
    </row>
    <row r="288" spans="1:18" ht="15" x14ac:dyDescent="0.3">
      <c r="A288" s="129"/>
      <c r="B288" s="60"/>
      <c r="C288" s="55"/>
      <c r="D288" s="60"/>
      <c r="E288" s="103">
        <f>_xlfn.XLOOKUP(enrollment_table[[#This Row],[*Subject]], classes_table[*Subject], classes_table[Fee])</f>
        <v>0</v>
      </c>
      <c r="F288" s="58"/>
      <c r="G288" s="60"/>
      <c r="H288" s="55"/>
      <c r="I288" s="176">
        <f>_xlfn.XLOOKUP(enrollment_table[[#This Row],[*Teacher Name]], teachers_table[*Teacher Name], teachers_table[*Teacher ID])</f>
        <v>0</v>
      </c>
      <c r="J288" s="60"/>
      <c r="K288" s="60"/>
      <c r="L288" s="55"/>
      <c r="M288" s="60"/>
      <c r="N288" s="60"/>
      <c r="O288" s="55"/>
      <c r="P288" s="161"/>
      <c r="Q288" s="160" t="str">
        <f>IF(enrollment_table[[#This Row],[Enrollment Date]]="","",TEXT(enrollment_table[[#This Row],[Enrollment Date]],"mmmm"))</f>
        <v/>
      </c>
      <c r="R288" s="60"/>
    </row>
    <row r="289" spans="1:18" ht="15" x14ac:dyDescent="0.3">
      <c r="A289" s="129"/>
      <c r="B289" s="60"/>
      <c r="C289" s="55"/>
      <c r="D289" s="60"/>
      <c r="E289" s="103">
        <f>_xlfn.XLOOKUP(enrollment_table[[#This Row],[*Subject]], classes_table[*Subject], classes_table[Fee])</f>
        <v>0</v>
      </c>
      <c r="F289" s="58"/>
      <c r="G289" s="60"/>
      <c r="H289" s="55"/>
      <c r="I289" s="176">
        <f>_xlfn.XLOOKUP(enrollment_table[[#This Row],[*Teacher Name]], teachers_table[*Teacher Name], teachers_table[*Teacher ID])</f>
        <v>0</v>
      </c>
      <c r="J289" s="60"/>
      <c r="K289" s="60"/>
      <c r="L289" s="55"/>
      <c r="M289" s="60"/>
      <c r="N289" s="60"/>
      <c r="O289" s="55"/>
      <c r="P289" s="161"/>
      <c r="Q289" s="160" t="str">
        <f>IF(enrollment_table[[#This Row],[Enrollment Date]]="","",TEXT(enrollment_table[[#This Row],[Enrollment Date]],"mmmm"))</f>
        <v/>
      </c>
      <c r="R289" s="60"/>
    </row>
    <row r="290" spans="1:18" ht="15" x14ac:dyDescent="0.3">
      <c r="A290" s="129"/>
      <c r="B290" s="60"/>
      <c r="C290" s="55"/>
      <c r="D290" s="60"/>
      <c r="E290" s="103">
        <f>_xlfn.XLOOKUP(enrollment_table[[#This Row],[*Subject]], classes_table[*Subject], classes_table[Fee])</f>
        <v>0</v>
      </c>
      <c r="F290" s="58"/>
      <c r="G290" s="60"/>
      <c r="H290" s="55"/>
      <c r="I290" s="176">
        <f>_xlfn.XLOOKUP(enrollment_table[[#This Row],[*Teacher Name]], teachers_table[*Teacher Name], teachers_table[*Teacher ID])</f>
        <v>0</v>
      </c>
      <c r="J290" s="60"/>
      <c r="K290" s="60"/>
      <c r="L290" s="55"/>
      <c r="M290" s="60"/>
      <c r="N290" s="60"/>
      <c r="O290" s="55"/>
      <c r="P290" s="161"/>
      <c r="Q290" s="160" t="str">
        <f>IF(enrollment_table[[#This Row],[Enrollment Date]]="","",TEXT(enrollment_table[[#This Row],[Enrollment Date]],"mmmm"))</f>
        <v/>
      </c>
      <c r="R290" s="60"/>
    </row>
    <row r="291" spans="1:18" ht="15" x14ac:dyDescent="0.3">
      <c r="A291" s="129"/>
      <c r="B291" s="60"/>
      <c r="C291" s="55"/>
      <c r="D291" s="60"/>
      <c r="E291" s="103">
        <f>_xlfn.XLOOKUP(enrollment_table[[#This Row],[*Subject]], classes_table[*Subject], classes_table[Fee])</f>
        <v>0</v>
      </c>
      <c r="F291" s="58"/>
      <c r="G291" s="60"/>
      <c r="H291" s="55"/>
      <c r="I291" s="176">
        <f>_xlfn.XLOOKUP(enrollment_table[[#This Row],[*Teacher Name]], teachers_table[*Teacher Name], teachers_table[*Teacher ID])</f>
        <v>0</v>
      </c>
      <c r="J291" s="60"/>
      <c r="K291" s="60"/>
      <c r="L291" s="55"/>
      <c r="M291" s="60"/>
      <c r="N291" s="60"/>
      <c r="O291" s="55"/>
      <c r="P291" s="161"/>
      <c r="Q291" s="160" t="str">
        <f>IF(enrollment_table[[#This Row],[Enrollment Date]]="","",TEXT(enrollment_table[[#This Row],[Enrollment Date]],"mmmm"))</f>
        <v/>
      </c>
      <c r="R291" s="60"/>
    </row>
    <row r="292" spans="1:18" ht="15" x14ac:dyDescent="0.3">
      <c r="A292" s="129"/>
      <c r="B292" s="60"/>
      <c r="C292" s="55"/>
      <c r="D292" s="60"/>
      <c r="E292" s="103">
        <f>_xlfn.XLOOKUP(enrollment_table[[#This Row],[*Subject]], classes_table[*Subject], classes_table[Fee])</f>
        <v>0</v>
      </c>
      <c r="F292" s="58"/>
      <c r="G292" s="60"/>
      <c r="H292" s="55"/>
      <c r="I292" s="176">
        <f>_xlfn.XLOOKUP(enrollment_table[[#This Row],[*Teacher Name]], teachers_table[*Teacher Name], teachers_table[*Teacher ID])</f>
        <v>0</v>
      </c>
      <c r="J292" s="60"/>
      <c r="K292" s="60"/>
      <c r="L292" s="55"/>
      <c r="M292" s="60"/>
      <c r="N292" s="60"/>
      <c r="O292" s="55"/>
      <c r="P292" s="161"/>
      <c r="Q292" s="160" t="str">
        <f>IF(enrollment_table[[#This Row],[Enrollment Date]]="","",TEXT(enrollment_table[[#This Row],[Enrollment Date]],"mmmm"))</f>
        <v/>
      </c>
      <c r="R292" s="60"/>
    </row>
    <row r="293" spans="1:18" ht="15" x14ac:dyDescent="0.3">
      <c r="A293" s="129"/>
      <c r="B293" s="60"/>
      <c r="C293" s="55"/>
      <c r="D293" s="60"/>
      <c r="E293" s="103">
        <f>_xlfn.XLOOKUP(enrollment_table[[#This Row],[*Subject]], classes_table[*Subject], classes_table[Fee])</f>
        <v>0</v>
      </c>
      <c r="F293" s="58"/>
      <c r="G293" s="60"/>
      <c r="H293" s="55"/>
      <c r="I293" s="176">
        <f>_xlfn.XLOOKUP(enrollment_table[[#This Row],[*Teacher Name]], teachers_table[*Teacher Name], teachers_table[*Teacher ID])</f>
        <v>0</v>
      </c>
      <c r="J293" s="60"/>
      <c r="K293" s="60"/>
      <c r="L293" s="55"/>
      <c r="M293" s="60"/>
      <c r="N293" s="60"/>
      <c r="O293" s="55"/>
      <c r="P293" s="161"/>
      <c r="Q293" s="160" t="str">
        <f>IF(enrollment_table[[#This Row],[Enrollment Date]]="","",TEXT(enrollment_table[[#This Row],[Enrollment Date]],"mmmm"))</f>
        <v/>
      </c>
      <c r="R293" s="60"/>
    </row>
    <row r="294" spans="1:18" ht="15" x14ac:dyDescent="0.3">
      <c r="A294" s="129"/>
      <c r="B294" s="60"/>
      <c r="C294" s="55"/>
      <c r="D294" s="60"/>
      <c r="E294" s="103">
        <f>_xlfn.XLOOKUP(enrollment_table[[#This Row],[*Subject]], classes_table[*Subject], classes_table[Fee])</f>
        <v>0</v>
      </c>
      <c r="F294" s="58"/>
      <c r="G294" s="60"/>
      <c r="H294" s="55"/>
      <c r="I294" s="176">
        <f>_xlfn.XLOOKUP(enrollment_table[[#This Row],[*Teacher Name]], teachers_table[*Teacher Name], teachers_table[*Teacher ID])</f>
        <v>0</v>
      </c>
      <c r="J294" s="60"/>
      <c r="K294" s="60"/>
      <c r="L294" s="55"/>
      <c r="M294" s="60"/>
      <c r="N294" s="60"/>
      <c r="O294" s="55"/>
      <c r="P294" s="161"/>
      <c r="Q294" s="160" t="str">
        <f>IF(enrollment_table[[#This Row],[Enrollment Date]]="","",TEXT(enrollment_table[[#This Row],[Enrollment Date]],"mmmm"))</f>
        <v/>
      </c>
      <c r="R294" s="60"/>
    </row>
    <row r="295" spans="1:18" ht="15" x14ac:dyDescent="0.3">
      <c r="A295" s="129"/>
      <c r="B295" s="60"/>
      <c r="C295" s="55"/>
      <c r="D295" s="60"/>
      <c r="E295" s="103">
        <f>_xlfn.XLOOKUP(enrollment_table[[#This Row],[*Subject]], classes_table[*Subject], classes_table[Fee])</f>
        <v>0</v>
      </c>
      <c r="F295" s="58"/>
      <c r="G295" s="60"/>
      <c r="H295" s="55"/>
      <c r="I295" s="176">
        <f>_xlfn.XLOOKUP(enrollment_table[[#This Row],[*Teacher Name]], teachers_table[*Teacher Name], teachers_table[*Teacher ID])</f>
        <v>0</v>
      </c>
      <c r="J295" s="60"/>
      <c r="K295" s="60"/>
      <c r="L295" s="55"/>
      <c r="M295" s="60"/>
      <c r="N295" s="60"/>
      <c r="O295" s="55"/>
      <c r="P295" s="161"/>
      <c r="Q295" s="160" t="str">
        <f>IF(enrollment_table[[#This Row],[Enrollment Date]]="","",TEXT(enrollment_table[[#This Row],[Enrollment Date]],"mmmm"))</f>
        <v/>
      </c>
      <c r="R295" s="60"/>
    </row>
    <row r="296" spans="1:18" ht="15" x14ac:dyDescent="0.3">
      <c r="A296" s="129"/>
      <c r="B296" s="60"/>
      <c r="C296" s="55"/>
      <c r="D296" s="60"/>
      <c r="E296" s="103">
        <f>_xlfn.XLOOKUP(enrollment_table[[#This Row],[*Subject]], classes_table[*Subject], classes_table[Fee])</f>
        <v>0</v>
      </c>
      <c r="F296" s="58"/>
      <c r="G296" s="60"/>
      <c r="H296" s="55"/>
      <c r="I296" s="176">
        <f>_xlfn.XLOOKUP(enrollment_table[[#This Row],[*Teacher Name]], teachers_table[*Teacher Name], teachers_table[*Teacher ID])</f>
        <v>0</v>
      </c>
      <c r="J296" s="60"/>
      <c r="K296" s="60"/>
      <c r="L296" s="55"/>
      <c r="M296" s="60"/>
      <c r="N296" s="60"/>
      <c r="O296" s="55"/>
      <c r="P296" s="161"/>
      <c r="Q296" s="160" t="str">
        <f>IF(enrollment_table[[#This Row],[Enrollment Date]]="","",TEXT(enrollment_table[[#This Row],[Enrollment Date]],"mmmm"))</f>
        <v/>
      </c>
      <c r="R296" s="60"/>
    </row>
    <row r="297" spans="1:18" ht="15" x14ac:dyDescent="0.3">
      <c r="A297" s="129"/>
      <c r="B297" s="60"/>
      <c r="C297" s="55"/>
      <c r="D297" s="60"/>
      <c r="E297" s="103">
        <f>_xlfn.XLOOKUP(enrollment_table[[#This Row],[*Subject]], classes_table[*Subject], classes_table[Fee])</f>
        <v>0</v>
      </c>
      <c r="F297" s="58"/>
      <c r="G297" s="60"/>
      <c r="H297" s="55"/>
      <c r="I297" s="176">
        <f>_xlfn.XLOOKUP(enrollment_table[[#This Row],[*Teacher Name]], teachers_table[*Teacher Name], teachers_table[*Teacher ID])</f>
        <v>0</v>
      </c>
      <c r="J297" s="60"/>
      <c r="K297" s="60"/>
      <c r="L297" s="55"/>
      <c r="M297" s="60"/>
      <c r="N297" s="60"/>
      <c r="O297" s="55"/>
      <c r="P297" s="161"/>
      <c r="Q297" s="160" t="str">
        <f>IF(enrollment_table[[#This Row],[Enrollment Date]]="","",TEXT(enrollment_table[[#This Row],[Enrollment Date]],"mmmm"))</f>
        <v/>
      </c>
      <c r="R297" s="60"/>
    </row>
    <row r="298" spans="1:18" ht="15" x14ac:dyDescent="0.3">
      <c r="A298" s="129"/>
      <c r="B298" s="60"/>
      <c r="C298" s="55"/>
      <c r="D298" s="60"/>
      <c r="E298" s="103">
        <f>_xlfn.XLOOKUP(enrollment_table[[#This Row],[*Subject]], classes_table[*Subject], classes_table[Fee])</f>
        <v>0</v>
      </c>
      <c r="F298" s="58"/>
      <c r="G298" s="60"/>
      <c r="H298" s="55"/>
      <c r="I298" s="176">
        <f>_xlfn.XLOOKUP(enrollment_table[[#This Row],[*Teacher Name]], teachers_table[*Teacher Name], teachers_table[*Teacher ID])</f>
        <v>0</v>
      </c>
      <c r="J298" s="60"/>
      <c r="K298" s="60"/>
      <c r="L298" s="55"/>
      <c r="M298" s="60"/>
      <c r="N298" s="60"/>
      <c r="O298" s="55"/>
      <c r="P298" s="161"/>
      <c r="Q298" s="160" t="str">
        <f>IF(enrollment_table[[#This Row],[Enrollment Date]]="","",TEXT(enrollment_table[[#This Row],[Enrollment Date]],"mmmm"))</f>
        <v/>
      </c>
      <c r="R298" s="60"/>
    </row>
    <row r="299" spans="1:18" ht="15" x14ac:dyDescent="0.3">
      <c r="A299" s="129"/>
      <c r="B299" s="60"/>
      <c r="C299" s="55"/>
      <c r="D299" s="60"/>
      <c r="E299" s="103">
        <f>_xlfn.XLOOKUP(enrollment_table[[#This Row],[*Subject]], classes_table[*Subject], classes_table[Fee])</f>
        <v>0</v>
      </c>
      <c r="F299" s="58"/>
      <c r="G299" s="60"/>
      <c r="H299" s="55"/>
      <c r="I299" s="176">
        <f>_xlfn.XLOOKUP(enrollment_table[[#This Row],[*Teacher Name]], teachers_table[*Teacher Name], teachers_table[*Teacher ID])</f>
        <v>0</v>
      </c>
      <c r="J299" s="60"/>
      <c r="K299" s="60"/>
      <c r="L299" s="55"/>
      <c r="M299" s="60"/>
      <c r="N299" s="60"/>
      <c r="O299" s="55"/>
      <c r="P299" s="161"/>
      <c r="Q299" s="160" t="str">
        <f>IF(enrollment_table[[#This Row],[Enrollment Date]]="","",TEXT(enrollment_table[[#This Row],[Enrollment Date]],"mmmm"))</f>
        <v/>
      </c>
      <c r="R299" s="60"/>
    </row>
    <row r="300" spans="1:18" ht="15" x14ac:dyDescent="0.3">
      <c r="A300" s="129"/>
      <c r="B300" s="60"/>
      <c r="C300" s="55"/>
      <c r="D300" s="60"/>
      <c r="E300" s="103">
        <f>_xlfn.XLOOKUP(enrollment_table[[#This Row],[*Subject]], classes_table[*Subject], classes_table[Fee])</f>
        <v>0</v>
      </c>
      <c r="F300" s="58"/>
      <c r="G300" s="60"/>
      <c r="H300" s="55"/>
      <c r="I300" s="176">
        <f>_xlfn.XLOOKUP(enrollment_table[[#This Row],[*Teacher Name]], teachers_table[*Teacher Name], teachers_table[*Teacher ID])</f>
        <v>0</v>
      </c>
      <c r="J300" s="60"/>
      <c r="K300" s="60"/>
      <c r="L300" s="55"/>
      <c r="M300" s="60"/>
      <c r="N300" s="60"/>
      <c r="O300" s="55"/>
      <c r="P300" s="161"/>
      <c r="Q300" s="160" t="str">
        <f>IF(enrollment_table[[#This Row],[Enrollment Date]]="","",TEXT(enrollment_table[[#This Row],[Enrollment Date]],"mmmm"))</f>
        <v/>
      </c>
      <c r="R300" s="60"/>
    </row>
    <row r="301" spans="1:18" ht="15" x14ac:dyDescent="0.3">
      <c r="A301" s="129"/>
      <c r="B301" s="60"/>
      <c r="C301" s="55"/>
      <c r="D301" s="60"/>
      <c r="E301" s="103">
        <f>_xlfn.XLOOKUP(enrollment_table[[#This Row],[*Subject]], classes_table[*Subject], classes_table[Fee])</f>
        <v>0</v>
      </c>
      <c r="F301" s="58"/>
      <c r="G301" s="60"/>
      <c r="H301" s="55"/>
      <c r="I301" s="176">
        <f>_xlfn.XLOOKUP(enrollment_table[[#This Row],[*Teacher Name]], teachers_table[*Teacher Name], teachers_table[*Teacher ID])</f>
        <v>0</v>
      </c>
      <c r="J301" s="60"/>
      <c r="K301" s="60"/>
      <c r="L301" s="55"/>
      <c r="M301" s="60"/>
      <c r="N301" s="60"/>
      <c r="O301" s="55"/>
      <c r="P301" s="161"/>
      <c r="Q301" s="160" t="str">
        <f>IF(enrollment_table[[#This Row],[Enrollment Date]]="","",TEXT(enrollment_table[[#This Row],[Enrollment Date]],"mmmm"))</f>
        <v/>
      </c>
      <c r="R301" s="60"/>
    </row>
    <row r="302" spans="1:18" ht="15" x14ac:dyDescent="0.3">
      <c r="A302" s="129"/>
      <c r="B302" s="60"/>
      <c r="C302" s="55"/>
      <c r="D302" s="60"/>
      <c r="E302" s="103">
        <f>_xlfn.XLOOKUP(enrollment_table[[#This Row],[*Subject]], classes_table[*Subject], classes_table[Fee])</f>
        <v>0</v>
      </c>
      <c r="F302" s="58"/>
      <c r="G302" s="60"/>
      <c r="H302" s="55"/>
      <c r="I302" s="176">
        <f>_xlfn.XLOOKUP(enrollment_table[[#This Row],[*Teacher Name]], teachers_table[*Teacher Name], teachers_table[*Teacher ID])</f>
        <v>0</v>
      </c>
      <c r="J302" s="60"/>
      <c r="K302" s="60"/>
      <c r="L302" s="55"/>
      <c r="M302" s="60"/>
      <c r="N302" s="60"/>
      <c r="O302" s="55"/>
      <c r="P302" s="161"/>
      <c r="Q302" s="160" t="str">
        <f>IF(enrollment_table[[#This Row],[Enrollment Date]]="","",TEXT(enrollment_table[[#This Row],[Enrollment Date]],"mmmm"))</f>
        <v/>
      </c>
      <c r="R302" s="60"/>
    </row>
    <row r="303" spans="1:18" ht="15" x14ac:dyDescent="0.3">
      <c r="A303" s="129"/>
      <c r="B303" s="60"/>
      <c r="C303" s="55"/>
      <c r="D303" s="60"/>
      <c r="E303" s="103">
        <f>_xlfn.XLOOKUP(enrollment_table[[#This Row],[*Subject]], classes_table[*Subject], classes_table[Fee])</f>
        <v>0</v>
      </c>
      <c r="F303" s="58"/>
      <c r="G303" s="60"/>
      <c r="H303" s="55"/>
      <c r="I303" s="176">
        <f>_xlfn.XLOOKUP(enrollment_table[[#This Row],[*Teacher Name]], teachers_table[*Teacher Name], teachers_table[*Teacher ID])</f>
        <v>0</v>
      </c>
      <c r="J303" s="60"/>
      <c r="K303" s="60"/>
      <c r="L303" s="55"/>
      <c r="M303" s="60"/>
      <c r="N303" s="60"/>
      <c r="O303" s="55"/>
      <c r="P303" s="161"/>
      <c r="Q303" s="160" t="str">
        <f>IF(enrollment_table[[#This Row],[Enrollment Date]]="","",TEXT(enrollment_table[[#This Row],[Enrollment Date]],"mmmm"))</f>
        <v/>
      </c>
      <c r="R303" s="60"/>
    </row>
    <row r="304" spans="1:18" ht="15" x14ac:dyDescent="0.3">
      <c r="A304" s="129"/>
      <c r="B304" s="60"/>
      <c r="C304" s="55"/>
      <c r="D304" s="60"/>
      <c r="E304" s="103">
        <f>_xlfn.XLOOKUP(enrollment_table[[#This Row],[*Subject]], classes_table[*Subject], classes_table[Fee])</f>
        <v>0</v>
      </c>
      <c r="F304" s="58"/>
      <c r="G304" s="60"/>
      <c r="H304" s="55"/>
      <c r="I304" s="176">
        <f>_xlfn.XLOOKUP(enrollment_table[[#This Row],[*Teacher Name]], teachers_table[*Teacher Name], teachers_table[*Teacher ID])</f>
        <v>0</v>
      </c>
      <c r="J304" s="60"/>
      <c r="K304" s="60"/>
      <c r="L304" s="55"/>
      <c r="M304" s="60"/>
      <c r="N304" s="60"/>
      <c r="O304" s="55"/>
      <c r="P304" s="161"/>
      <c r="Q304" s="160" t="str">
        <f>IF(enrollment_table[[#This Row],[Enrollment Date]]="","",TEXT(enrollment_table[[#This Row],[Enrollment Date]],"mmmm"))</f>
        <v/>
      </c>
      <c r="R304" s="60"/>
    </row>
    <row r="305" spans="1:18" ht="15" x14ac:dyDescent="0.3">
      <c r="A305" s="129"/>
      <c r="B305" s="60"/>
      <c r="C305" s="55"/>
      <c r="D305" s="60"/>
      <c r="E305" s="103">
        <f>_xlfn.XLOOKUP(enrollment_table[[#This Row],[*Subject]], classes_table[*Subject], classes_table[Fee])</f>
        <v>0</v>
      </c>
      <c r="F305" s="58"/>
      <c r="G305" s="60"/>
      <c r="H305" s="55"/>
      <c r="I305" s="176">
        <f>_xlfn.XLOOKUP(enrollment_table[[#This Row],[*Teacher Name]], teachers_table[*Teacher Name], teachers_table[*Teacher ID])</f>
        <v>0</v>
      </c>
      <c r="J305" s="60"/>
      <c r="K305" s="60"/>
      <c r="L305" s="55"/>
      <c r="M305" s="60"/>
      <c r="N305" s="60"/>
      <c r="O305" s="55"/>
      <c r="P305" s="161"/>
      <c r="Q305" s="160" t="str">
        <f>IF(enrollment_table[[#This Row],[Enrollment Date]]="","",TEXT(enrollment_table[[#This Row],[Enrollment Date]],"mmmm"))</f>
        <v/>
      </c>
      <c r="R305" s="60"/>
    </row>
    <row r="306" spans="1:18" ht="15" x14ac:dyDescent="0.3">
      <c r="A306" s="129"/>
      <c r="B306" s="60"/>
      <c r="C306" s="55"/>
      <c r="D306" s="60"/>
      <c r="E306" s="103">
        <f>_xlfn.XLOOKUP(enrollment_table[[#This Row],[*Subject]], classes_table[*Subject], classes_table[Fee])</f>
        <v>0</v>
      </c>
      <c r="F306" s="58"/>
      <c r="G306" s="60"/>
      <c r="H306" s="55"/>
      <c r="I306" s="176">
        <f>_xlfn.XLOOKUP(enrollment_table[[#This Row],[*Teacher Name]], teachers_table[*Teacher Name], teachers_table[*Teacher ID])</f>
        <v>0</v>
      </c>
      <c r="J306" s="60"/>
      <c r="K306" s="60"/>
      <c r="L306" s="55"/>
      <c r="M306" s="60"/>
      <c r="N306" s="60"/>
      <c r="O306" s="55"/>
      <c r="P306" s="161"/>
      <c r="Q306" s="160" t="str">
        <f>IF(enrollment_table[[#This Row],[Enrollment Date]]="","",TEXT(enrollment_table[[#This Row],[Enrollment Date]],"mmmm"))</f>
        <v/>
      </c>
      <c r="R306" s="60"/>
    </row>
    <row r="307" spans="1:18" ht="15" x14ac:dyDescent="0.3">
      <c r="A307" s="129"/>
      <c r="B307" s="60"/>
      <c r="C307" s="55"/>
      <c r="D307" s="60"/>
      <c r="E307" s="103">
        <f>_xlfn.XLOOKUP(enrollment_table[[#This Row],[*Subject]], classes_table[*Subject], classes_table[Fee])</f>
        <v>0</v>
      </c>
      <c r="F307" s="58"/>
      <c r="G307" s="60"/>
      <c r="H307" s="55"/>
      <c r="I307" s="176">
        <f>_xlfn.XLOOKUP(enrollment_table[[#This Row],[*Teacher Name]], teachers_table[*Teacher Name], teachers_table[*Teacher ID])</f>
        <v>0</v>
      </c>
      <c r="J307" s="60"/>
      <c r="K307" s="60"/>
      <c r="L307" s="55"/>
      <c r="M307" s="60"/>
      <c r="N307" s="60"/>
      <c r="O307" s="55"/>
      <c r="P307" s="161"/>
      <c r="Q307" s="160" t="str">
        <f>IF(enrollment_table[[#This Row],[Enrollment Date]]="","",TEXT(enrollment_table[[#This Row],[Enrollment Date]],"mmmm"))</f>
        <v/>
      </c>
      <c r="R307" s="60"/>
    </row>
    <row r="308" spans="1:18" ht="15" x14ac:dyDescent="0.3">
      <c r="A308" s="129"/>
      <c r="B308" s="60"/>
      <c r="C308" s="55"/>
      <c r="D308" s="60"/>
      <c r="E308" s="103">
        <f>_xlfn.XLOOKUP(enrollment_table[[#This Row],[*Subject]], classes_table[*Subject], classes_table[Fee])</f>
        <v>0</v>
      </c>
      <c r="F308" s="58"/>
      <c r="G308" s="60"/>
      <c r="H308" s="55"/>
      <c r="I308" s="176">
        <f>_xlfn.XLOOKUP(enrollment_table[[#This Row],[*Teacher Name]], teachers_table[*Teacher Name], teachers_table[*Teacher ID])</f>
        <v>0</v>
      </c>
      <c r="J308" s="60"/>
      <c r="K308" s="60"/>
      <c r="L308" s="55"/>
      <c r="M308" s="60"/>
      <c r="N308" s="60"/>
      <c r="O308" s="55"/>
      <c r="P308" s="161"/>
      <c r="Q308" s="160" t="str">
        <f>IF(enrollment_table[[#This Row],[Enrollment Date]]="","",TEXT(enrollment_table[[#This Row],[Enrollment Date]],"mmmm"))</f>
        <v/>
      </c>
      <c r="R308" s="60"/>
    </row>
    <row r="309" spans="1:18" ht="15" x14ac:dyDescent="0.3">
      <c r="A309" s="129"/>
      <c r="B309" s="60"/>
      <c r="C309" s="55"/>
      <c r="D309" s="60"/>
      <c r="E309" s="103">
        <f>_xlfn.XLOOKUP(enrollment_table[[#This Row],[*Subject]], classes_table[*Subject], classes_table[Fee])</f>
        <v>0</v>
      </c>
      <c r="F309" s="58"/>
      <c r="G309" s="60"/>
      <c r="H309" s="55"/>
      <c r="I309" s="176">
        <f>_xlfn.XLOOKUP(enrollment_table[[#This Row],[*Teacher Name]], teachers_table[*Teacher Name], teachers_table[*Teacher ID])</f>
        <v>0</v>
      </c>
      <c r="J309" s="60"/>
      <c r="K309" s="60"/>
      <c r="L309" s="55"/>
      <c r="M309" s="60"/>
      <c r="N309" s="60"/>
      <c r="O309" s="55"/>
      <c r="P309" s="161"/>
      <c r="Q309" s="160" t="str">
        <f>IF(enrollment_table[[#This Row],[Enrollment Date]]="","",TEXT(enrollment_table[[#This Row],[Enrollment Date]],"mmmm"))</f>
        <v/>
      </c>
      <c r="R309" s="60"/>
    </row>
    <row r="310" spans="1:18" ht="15" x14ac:dyDescent="0.3">
      <c r="A310" s="129"/>
      <c r="B310" s="60"/>
      <c r="C310" s="55"/>
      <c r="D310" s="60"/>
      <c r="E310" s="103">
        <f>_xlfn.XLOOKUP(enrollment_table[[#This Row],[*Subject]], classes_table[*Subject], classes_table[Fee])</f>
        <v>0</v>
      </c>
      <c r="F310" s="58"/>
      <c r="G310" s="60"/>
      <c r="H310" s="55"/>
      <c r="I310" s="176">
        <f>_xlfn.XLOOKUP(enrollment_table[[#This Row],[*Teacher Name]], teachers_table[*Teacher Name], teachers_table[*Teacher ID])</f>
        <v>0</v>
      </c>
      <c r="J310" s="60"/>
      <c r="K310" s="60"/>
      <c r="L310" s="55"/>
      <c r="M310" s="60"/>
      <c r="N310" s="60"/>
      <c r="O310" s="55"/>
      <c r="P310" s="161"/>
      <c r="Q310" s="160" t="str">
        <f>IF(enrollment_table[[#This Row],[Enrollment Date]]="","",TEXT(enrollment_table[[#This Row],[Enrollment Date]],"mmmm"))</f>
        <v/>
      </c>
      <c r="R310" s="60"/>
    </row>
    <row r="311" spans="1:18" ht="15" x14ac:dyDescent="0.3">
      <c r="A311" s="129"/>
      <c r="B311" s="60"/>
      <c r="C311" s="55"/>
      <c r="D311" s="60"/>
      <c r="E311" s="103">
        <f>_xlfn.XLOOKUP(enrollment_table[[#This Row],[*Subject]], classes_table[*Subject], classes_table[Fee])</f>
        <v>0</v>
      </c>
      <c r="F311" s="58"/>
      <c r="G311" s="60"/>
      <c r="H311" s="55"/>
      <c r="I311" s="176">
        <f>_xlfn.XLOOKUP(enrollment_table[[#This Row],[*Teacher Name]], teachers_table[*Teacher Name], teachers_table[*Teacher ID])</f>
        <v>0</v>
      </c>
      <c r="J311" s="60"/>
      <c r="K311" s="60"/>
      <c r="L311" s="55"/>
      <c r="M311" s="60"/>
      <c r="N311" s="60"/>
      <c r="O311" s="55"/>
      <c r="P311" s="161"/>
      <c r="Q311" s="160" t="str">
        <f>IF(enrollment_table[[#This Row],[Enrollment Date]]="","",TEXT(enrollment_table[[#This Row],[Enrollment Date]],"mmmm"))</f>
        <v/>
      </c>
      <c r="R311" s="60"/>
    </row>
    <row r="312" spans="1:18" ht="15" x14ac:dyDescent="0.3">
      <c r="A312" s="129"/>
      <c r="B312" s="60"/>
      <c r="C312" s="55"/>
      <c r="D312" s="60"/>
      <c r="E312" s="103">
        <f>_xlfn.XLOOKUP(enrollment_table[[#This Row],[*Subject]], classes_table[*Subject], classes_table[Fee])</f>
        <v>0</v>
      </c>
      <c r="F312" s="58"/>
      <c r="G312" s="60"/>
      <c r="H312" s="55"/>
      <c r="I312" s="176">
        <f>_xlfn.XLOOKUP(enrollment_table[[#This Row],[*Teacher Name]], teachers_table[*Teacher Name], teachers_table[*Teacher ID])</f>
        <v>0</v>
      </c>
      <c r="J312" s="60"/>
      <c r="K312" s="60"/>
      <c r="L312" s="55"/>
      <c r="M312" s="60"/>
      <c r="N312" s="60"/>
      <c r="O312" s="55"/>
      <c r="P312" s="161"/>
      <c r="Q312" s="160" t="str">
        <f>IF(enrollment_table[[#This Row],[Enrollment Date]]="","",TEXT(enrollment_table[[#This Row],[Enrollment Date]],"mmmm"))</f>
        <v/>
      </c>
      <c r="R312" s="60"/>
    </row>
    <row r="313" spans="1:18" ht="15" x14ac:dyDescent="0.3">
      <c r="A313" s="129"/>
      <c r="B313" s="60"/>
      <c r="C313" s="55"/>
      <c r="D313" s="60"/>
      <c r="E313" s="103">
        <f>_xlfn.XLOOKUP(enrollment_table[[#This Row],[*Subject]], classes_table[*Subject], classes_table[Fee])</f>
        <v>0</v>
      </c>
      <c r="F313" s="58"/>
      <c r="G313" s="60"/>
      <c r="H313" s="55"/>
      <c r="I313" s="176">
        <f>_xlfn.XLOOKUP(enrollment_table[[#This Row],[*Teacher Name]], teachers_table[*Teacher Name], teachers_table[*Teacher ID])</f>
        <v>0</v>
      </c>
      <c r="J313" s="60"/>
      <c r="K313" s="60"/>
      <c r="L313" s="55"/>
      <c r="M313" s="60"/>
      <c r="N313" s="60"/>
      <c r="O313" s="55"/>
      <c r="P313" s="161"/>
      <c r="Q313" s="160" t="str">
        <f>IF(enrollment_table[[#This Row],[Enrollment Date]]="","",TEXT(enrollment_table[[#This Row],[Enrollment Date]],"mmmm"))</f>
        <v/>
      </c>
      <c r="R313" s="60"/>
    </row>
    <row r="314" spans="1:18" ht="15" x14ac:dyDescent="0.3">
      <c r="A314" s="129"/>
      <c r="B314" s="60"/>
      <c r="C314" s="55"/>
      <c r="D314" s="60"/>
      <c r="E314" s="103">
        <f>_xlfn.XLOOKUP(enrollment_table[[#This Row],[*Subject]], classes_table[*Subject], classes_table[Fee])</f>
        <v>0</v>
      </c>
      <c r="F314" s="58"/>
      <c r="G314" s="60"/>
      <c r="H314" s="55"/>
      <c r="I314" s="176">
        <f>_xlfn.XLOOKUP(enrollment_table[[#This Row],[*Teacher Name]], teachers_table[*Teacher Name], teachers_table[*Teacher ID])</f>
        <v>0</v>
      </c>
      <c r="J314" s="60"/>
      <c r="K314" s="60"/>
      <c r="L314" s="55"/>
      <c r="M314" s="60"/>
      <c r="N314" s="60"/>
      <c r="O314" s="55"/>
      <c r="P314" s="161"/>
      <c r="Q314" s="160" t="str">
        <f>IF(enrollment_table[[#This Row],[Enrollment Date]]="","",TEXT(enrollment_table[[#This Row],[Enrollment Date]],"mmmm"))</f>
        <v/>
      </c>
      <c r="R314" s="60"/>
    </row>
    <row r="315" spans="1:18" ht="15" x14ac:dyDescent="0.3">
      <c r="A315" s="129"/>
      <c r="B315" s="60"/>
      <c r="C315" s="55"/>
      <c r="D315" s="60"/>
      <c r="E315" s="103">
        <f>_xlfn.XLOOKUP(enrollment_table[[#This Row],[*Subject]], classes_table[*Subject], classes_table[Fee])</f>
        <v>0</v>
      </c>
      <c r="F315" s="58"/>
      <c r="G315" s="60"/>
      <c r="H315" s="55"/>
      <c r="I315" s="176">
        <f>_xlfn.XLOOKUP(enrollment_table[[#This Row],[*Teacher Name]], teachers_table[*Teacher Name], teachers_table[*Teacher ID])</f>
        <v>0</v>
      </c>
      <c r="J315" s="60"/>
      <c r="K315" s="60"/>
      <c r="L315" s="55"/>
      <c r="M315" s="60"/>
      <c r="N315" s="60"/>
      <c r="O315" s="55"/>
      <c r="P315" s="161"/>
      <c r="Q315" s="160" t="str">
        <f>IF(enrollment_table[[#This Row],[Enrollment Date]]="","",TEXT(enrollment_table[[#This Row],[Enrollment Date]],"mmmm"))</f>
        <v/>
      </c>
      <c r="R315" s="60"/>
    </row>
    <row r="316" spans="1:18" ht="15" x14ac:dyDescent="0.3">
      <c r="A316" s="129"/>
      <c r="B316" s="60"/>
      <c r="C316" s="55"/>
      <c r="D316" s="60"/>
      <c r="E316" s="103">
        <f>_xlfn.XLOOKUP(enrollment_table[[#This Row],[*Subject]], classes_table[*Subject], classes_table[Fee])</f>
        <v>0</v>
      </c>
      <c r="F316" s="58"/>
      <c r="G316" s="60"/>
      <c r="H316" s="55"/>
      <c r="I316" s="176">
        <f>_xlfn.XLOOKUP(enrollment_table[[#This Row],[*Teacher Name]], teachers_table[*Teacher Name], teachers_table[*Teacher ID])</f>
        <v>0</v>
      </c>
      <c r="J316" s="60"/>
      <c r="K316" s="60"/>
      <c r="L316" s="55"/>
      <c r="M316" s="60"/>
      <c r="N316" s="60"/>
      <c r="O316" s="55"/>
      <c r="P316" s="161"/>
      <c r="Q316" s="160" t="str">
        <f>IF(enrollment_table[[#This Row],[Enrollment Date]]="","",TEXT(enrollment_table[[#This Row],[Enrollment Date]],"mmmm"))</f>
        <v/>
      </c>
      <c r="R316" s="60"/>
    </row>
    <row r="317" spans="1:18" ht="15" x14ac:dyDescent="0.3">
      <c r="A317" s="129"/>
      <c r="B317" s="60"/>
      <c r="C317" s="55"/>
      <c r="D317" s="60"/>
      <c r="E317" s="103">
        <f>_xlfn.XLOOKUP(enrollment_table[[#This Row],[*Subject]], classes_table[*Subject], classes_table[Fee])</f>
        <v>0</v>
      </c>
      <c r="F317" s="58"/>
      <c r="G317" s="60"/>
      <c r="H317" s="55"/>
      <c r="I317" s="176">
        <f>_xlfn.XLOOKUP(enrollment_table[[#This Row],[*Teacher Name]], teachers_table[*Teacher Name], teachers_table[*Teacher ID])</f>
        <v>0</v>
      </c>
      <c r="J317" s="60"/>
      <c r="K317" s="60"/>
      <c r="L317" s="55"/>
      <c r="M317" s="60"/>
      <c r="N317" s="60"/>
      <c r="O317" s="55"/>
      <c r="P317" s="161"/>
      <c r="Q317" s="160" t="str">
        <f>IF(enrollment_table[[#This Row],[Enrollment Date]]="","",TEXT(enrollment_table[[#This Row],[Enrollment Date]],"mmmm"))</f>
        <v/>
      </c>
      <c r="R317" s="60"/>
    </row>
    <row r="318" spans="1:18" ht="15" x14ac:dyDescent="0.3">
      <c r="A318" s="129"/>
      <c r="B318" s="60"/>
      <c r="C318" s="55"/>
      <c r="D318" s="60"/>
      <c r="E318" s="103">
        <f>_xlfn.XLOOKUP(enrollment_table[[#This Row],[*Subject]], classes_table[*Subject], classes_table[Fee])</f>
        <v>0</v>
      </c>
      <c r="F318" s="58"/>
      <c r="G318" s="60"/>
      <c r="H318" s="55"/>
      <c r="I318" s="176">
        <f>_xlfn.XLOOKUP(enrollment_table[[#This Row],[*Teacher Name]], teachers_table[*Teacher Name], teachers_table[*Teacher ID])</f>
        <v>0</v>
      </c>
      <c r="J318" s="60"/>
      <c r="K318" s="60"/>
      <c r="L318" s="55"/>
      <c r="M318" s="60"/>
      <c r="N318" s="60"/>
      <c r="O318" s="55"/>
      <c r="P318" s="161"/>
      <c r="Q318" s="160" t="str">
        <f>IF(enrollment_table[[#This Row],[Enrollment Date]]="","",TEXT(enrollment_table[[#This Row],[Enrollment Date]],"mmmm"))</f>
        <v/>
      </c>
      <c r="R318" s="60"/>
    </row>
    <row r="319" spans="1:18" ht="15" x14ac:dyDescent="0.3">
      <c r="A319" s="129"/>
      <c r="B319" s="60"/>
      <c r="C319" s="55"/>
      <c r="D319" s="60"/>
      <c r="E319" s="103">
        <f>_xlfn.XLOOKUP(enrollment_table[[#This Row],[*Subject]], classes_table[*Subject], classes_table[Fee])</f>
        <v>0</v>
      </c>
      <c r="F319" s="58"/>
      <c r="G319" s="60"/>
      <c r="H319" s="55"/>
      <c r="I319" s="176">
        <f>_xlfn.XLOOKUP(enrollment_table[[#This Row],[*Teacher Name]], teachers_table[*Teacher Name], teachers_table[*Teacher ID])</f>
        <v>0</v>
      </c>
      <c r="J319" s="60"/>
      <c r="K319" s="60"/>
      <c r="L319" s="55"/>
      <c r="M319" s="60"/>
      <c r="N319" s="60"/>
      <c r="O319" s="55"/>
      <c r="P319" s="161"/>
      <c r="Q319" s="160" t="str">
        <f>IF(enrollment_table[[#This Row],[Enrollment Date]]="","",TEXT(enrollment_table[[#This Row],[Enrollment Date]],"mmmm"))</f>
        <v/>
      </c>
      <c r="R319" s="60"/>
    </row>
    <row r="320" spans="1:18" ht="15" x14ac:dyDescent="0.3">
      <c r="A320" s="129"/>
      <c r="B320" s="60"/>
      <c r="C320" s="55"/>
      <c r="D320" s="60"/>
      <c r="E320" s="103">
        <f>_xlfn.XLOOKUP(enrollment_table[[#This Row],[*Subject]], classes_table[*Subject], classes_table[Fee])</f>
        <v>0</v>
      </c>
      <c r="F320" s="58"/>
      <c r="G320" s="60"/>
      <c r="H320" s="55"/>
      <c r="I320" s="176">
        <f>_xlfn.XLOOKUP(enrollment_table[[#This Row],[*Teacher Name]], teachers_table[*Teacher Name], teachers_table[*Teacher ID])</f>
        <v>0</v>
      </c>
      <c r="J320" s="60"/>
      <c r="K320" s="60"/>
      <c r="L320" s="55"/>
      <c r="M320" s="60"/>
      <c r="N320" s="60"/>
      <c r="O320" s="55"/>
      <c r="P320" s="161"/>
      <c r="Q320" s="160" t="str">
        <f>IF(enrollment_table[[#This Row],[Enrollment Date]]="","",TEXT(enrollment_table[[#This Row],[Enrollment Date]],"mmmm"))</f>
        <v/>
      </c>
      <c r="R320" s="60"/>
    </row>
    <row r="321" spans="1:18" ht="15" x14ac:dyDescent="0.3">
      <c r="A321" s="129"/>
      <c r="B321" s="60"/>
      <c r="C321" s="55"/>
      <c r="D321" s="60"/>
      <c r="E321" s="103">
        <f>_xlfn.XLOOKUP(enrollment_table[[#This Row],[*Subject]], classes_table[*Subject], classes_table[Fee])</f>
        <v>0</v>
      </c>
      <c r="F321" s="58"/>
      <c r="G321" s="60"/>
      <c r="H321" s="55"/>
      <c r="I321" s="176">
        <f>_xlfn.XLOOKUP(enrollment_table[[#This Row],[*Teacher Name]], teachers_table[*Teacher Name], teachers_table[*Teacher ID])</f>
        <v>0</v>
      </c>
      <c r="J321" s="60"/>
      <c r="K321" s="60"/>
      <c r="L321" s="55"/>
      <c r="M321" s="60"/>
      <c r="N321" s="60"/>
      <c r="O321" s="55"/>
      <c r="P321" s="161"/>
      <c r="Q321" s="160" t="str">
        <f>IF(enrollment_table[[#This Row],[Enrollment Date]]="","",TEXT(enrollment_table[[#This Row],[Enrollment Date]],"mmmm"))</f>
        <v/>
      </c>
      <c r="R321" s="60"/>
    </row>
    <row r="322" spans="1:18" ht="15" x14ac:dyDescent="0.3">
      <c r="A322" s="129"/>
      <c r="B322" s="60"/>
      <c r="C322" s="55"/>
      <c r="D322" s="60"/>
      <c r="E322" s="103">
        <f>_xlfn.XLOOKUP(enrollment_table[[#This Row],[*Subject]], classes_table[*Subject], classes_table[Fee])</f>
        <v>0</v>
      </c>
      <c r="F322" s="58"/>
      <c r="G322" s="60"/>
      <c r="H322" s="55"/>
      <c r="I322" s="176">
        <f>_xlfn.XLOOKUP(enrollment_table[[#This Row],[*Teacher Name]], teachers_table[*Teacher Name], teachers_table[*Teacher ID])</f>
        <v>0</v>
      </c>
      <c r="J322" s="60"/>
      <c r="K322" s="60"/>
      <c r="L322" s="55"/>
      <c r="M322" s="60"/>
      <c r="N322" s="60"/>
      <c r="O322" s="55"/>
      <c r="P322" s="161"/>
      <c r="Q322" s="160" t="str">
        <f>IF(enrollment_table[[#This Row],[Enrollment Date]]="","",TEXT(enrollment_table[[#This Row],[Enrollment Date]],"mmmm"))</f>
        <v/>
      </c>
      <c r="R322" s="60"/>
    </row>
    <row r="323" spans="1:18" ht="15" x14ac:dyDescent="0.3">
      <c r="A323" s="129"/>
      <c r="B323" s="60"/>
      <c r="C323" s="55"/>
      <c r="D323" s="60"/>
      <c r="E323" s="103">
        <f>_xlfn.XLOOKUP(enrollment_table[[#This Row],[*Subject]], classes_table[*Subject], classes_table[Fee])</f>
        <v>0</v>
      </c>
      <c r="F323" s="58"/>
      <c r="G323" s="60"/>
      <c r="H323" s="55"/>
      <c r="I323" s="176">
        <f>_xlfn.XLOOKUP(enrollment_table[[#This Row],[*Teacher Name]], teachers_table[*Teacher Name], teachers_table[*Teacher ID])</f>
        <v>0</v>
      </c>
      <c r="J323" s="60"/>
      <c r="K323" s="60"/>
      <c r="L323" s="55"/>
      <c r="M323" s="60"/>
      <c r="N323" s="60"/>
      <c r="O323" s="55"/>
      <c r="P323" s="161"/>
      <c r="Q323" s="160" t="str">
        <f>IF(enrollment_table[[#This Row],[Enrollment Date]]="","",TEXT(enrollment_table[[#This Row],[Enrollment Date]],"mmmm"))</f>
        <v/>
      </c>
      <c r="R323" s="60"/>
    </row>
    <row r="324" spans="1:18" ht="15" x14ac:dyDescent="0.3">
      <c r="A324" s="129"/>
      <c r="B324" s="60"/>
      <c r="C324" s="55"/>
      <c r="D324" s="60"/>
      <c r="E324" s="103">
        <f>_xlfn.XLOOKUP(enrollment_table[[#This Row],[*Subject]], classes_table[*Subject], classes_table[Fee])</f>
        <v>0</v>
      </c>
      <c r="F324" s="58"/>
      <c r="G324" s="60"/>
      <c r="H324" s="55"/>
      <c r="I324" s="176">
        <f>_xlfn.XLOOKUP(enrollment_table[[#This Row],[*Teacher Name]], teachers_table[*Teacher Name], teachers_table[*Teacher ID])</f>
        <v>0</v>
      </c>
      <c r="J324" s="60"/>
      <c r="K324" s="60"/>
      <c r="L324" s="55"/>
      <c r="M324" s="60"/>
      <c r="N324" s="60"/>
      <c r="O324" s="55"/>
      <c r="P324" s="161"/>
      <c r="Q324" s="160" t="str">
        <f>IF(enrollment_table[[#This Row],[Enrollment Date]]="","",TEXT(enrollment_table[[#This Row],[Enrollment Date]],"mmmm"))</f>
        <v/>
      </c>
      <c r="R324" s="60"/>
    </row>
    <row r="325" spans="1:18" ht="15" x14ac:dyDescent="0.3">
      <c r="A325" s="129"/>
      <c r="B325" s="60"/>
      <c r="C325" s="55"/>
      <c r="D325" s="60"/>
      <c r="E325" s="103">
        <f>_xlfn.XLOOKUP(enrollment_table[[#This Row],[*Subject]], classes_table[*Subject], classes_table[Fee])</f>
        <v>0</v>
      </c>
      <c r="F325" s="58"/>
      <c r="G325" s="60"/>
      <c r="H325" s="55"/>
      <c r="I325" s="176">
        <f>_xlfn.XLOOKUP(enrollment_table[[#This Row],[*Teacher Name]], teachers_table[*Teacher Name], teachers_table[*Teacher ID])</f>
        <v>0</v>
      </c>
      <c r="J325" s="60"/>
      <c r="K325" s="60"/>
      <c r="L325" s="55"/>
      <c r="M325" s="60"/>
      <c r="N325" s="60"/>
      <c r="O325" s="55"/>
      <c r="P325" s="161"/>
      <c r="Q325" s="160" t="str">
        <f>IF(enrollment_table[[#This Row],[Enrollment Date]]="","",TEXT(enrollment_table[[#This Row],[Enrollment Date]],"mmmm"))</f>
        <v/>
      </c>
      <c r="R325" s="60"/>
    </row>
    <row r="326" spans="1:18" ht="15" x14ac:dyDescent="0.3">
      <c r="A326" s="129"/>
      <c r="B326" s="60"/>
      <c r="C326" s="55"/>
      <c r="D326" s="60"/>
      <c r="E326" s="103">
        <f>_xlfn.XLOOKUP(enrollment_table[[#This Row],[*Subject]], classes_table[*Subject], classes_table[Fee])</f>
        <v>0</v>
      </c>
      <c r="F326" s="58"/>
      <c r="G326" s="60"/>
      <c r="H326" s="55"/>
      <c r="I326" s="176">
        <f>_xlfn.XLOOKUP(enrollment_table[[#This Row],[*Teacher Name]], teachers_table[*Teacher Name], teachers_table[*Teacher ID])</f>
        <v>0</v>
      </c>
      <c r="J326" s="60"/>
      <c r="K326" s="60"/>
      <c r="L326" s="55"/>
      <c r="M326" s="60"/>
      <c r="N326" s="60"/>
      <c r="O326" s="55"/>
      <c r="P326" s="161"/>
      <c r="Q326" s="160" t="str">
        <f>IF(enrollment_table[[#This Row],[Enrollment Date]]="","",TEXT(enrollment_table[[#This Row],[Enrollment Date]],"mmmm"))</f>
        <v/>
      </c>
      <c r="R326" s="60"/>
    </row>
    <row r="327" spans="1:18" ht="15" x14ac:dyDescent="0.3">
      <c r="A327" s="129"/>
      <c r="B327" s="60"/>
      <c r="C327" s="55"/>
      <c r="D327" s="60"/>
      <c r="E327" s="103">
        <f>_xlfn.XLOOKUP(enrollment_table[[#This Row],[*Subject]], classes_table[*Subject], classes_table[Fee])</f>
        <v>0</v>
      </c>
      <c r="F327" s="58"/>
      <c r="G327" s="60"/>
      <c r="H327" s="55"/>
      <c r="I327" s="176">
        <f>_xlfn.XLOOKUP(enrollment_table[[#This Row],[*Teacher Name]], teachers_table[*Teacher Name], teachers_table[*Teacher ID])</f>
        <v>0</v>
      </c>
      <c r="J327" s="60"/>
      <c r="K327" s="60"/>
      <c r="L327" s="55"/>
      <c r="M327" s="60"/>
      <c r="N327" s="60"/>
      <c r="O327" s="55"/>
      <c r="P327" s="161"/>
      <c r="Q327" s="160" t="str">
        <f>IF(enrollment_table[[#This Row],[Enrollment Date]]="","",TEXT(enrollment_table[[#This Row],[Enrollment Date]],"mmmm"))</f>
        <v/>
      </c>
      <c r="R327" s="60"/>
    </row>
    <row r="328" spans="1:18" ht="15" x14ac:dyDescent="0.3">
      <c r="A328" s="129"/>
      <c r="B328" s="60"/>
      <c r="C328" s="55"/>
      <c r="D328" s="60"/>
      <c r="E328" s="103">
        <f>_xlfn.XLOOKUP(enrollment_table[[#This Row],[*Subject]], classes_table[*Subject], classes_table[Fee])</f>
        <v>0</v>
      </c>
      <c r="F328" s="58"/>
      <c r="G328" s="60"/>
      <c r="H328" s="55"/>
      <c r="I328" s="176">
        <f>_xlfn.XLOOKUP(enrollment_table[[#This Row],[*Teacher Name]], teachers_table[*Teacher Name], teachers_table[*Teacher ID])</f>
        <v>0</v>
      </c>
      <c r="J328" s="60"/>
      <c r="K328" s="60"/>
      <c r="L328" s="55"/>
      <c r="M328" s="60"/>
      <c r="N328" s="60"/>
      <c r="O328" s="55"/>
      <c r="P328" s="161"/>
      <c r="Q328" s="160" t="str">
        <f>IF(enrollment_table[[#This Row],[Enrollment Date]]="","",TEXT(enrollment_table[[#This Row],[Enrollment Date]],"mmmm"))</f>
        <v/>
      </c>
      <c r="R328" s="60"/>
    </row>
    <row r="329" spans="1:18" ht="15" x14ac:dyDescent="0.3">
      <c r="A329" s="129"/>
      <c r="B329" s="60"/>
      <c r="C329" s="55"/>
      <c r="D329" s="60"/>
      <c r="E329" s="103">
        <f>_xlfn.XLOOKUP(enrollment_table[[#This Row],[*Subject]], classes_table[*Subject], classes_table[Fee])</f>
        <v>0</v>
      </c>
      <c r="F329" s="58"/>
      <c r="G329" s="60"/>
      <c r="H329" s="55"/>
      <c r="I329" s="176">
        <f>_xlfn.XLOOKUP(enrollment_table[[#This Row],[*Teacher Name]], teachers_table[*Teacher Name], teachers_table[*Teacher ID])</f>
        <v>0</v>
      </c>
      <c r="J329" s="60"/>
      <c r="K329" s="60"/>
      <c r="L329" s="55"/>
      <c r="M329" s="60"/>
      <c r="N329" s="60"/>
      <c r="O329" s="55"/>
      <c r="P329" s="161"/>
      <c r="Q329" s="160" t="str">
        <f>IF(enrollment_table[[#This Row],[Enrollment Date]]="","",TEXT(enrollment_table[[#This Row],[Enrollment Date]],"mmmm"))</f>
        <v/>
      </c>
      <c r="R329" s="60"/>
    </row>
    <row r="330" spans="1:18" ht="15" x14ac:dyDescent="0.3">
      <c r="A330" s="129"/>
      <c r="B330" s="60"/>
      <c r="C330" s="55"/>
      <c r="D330" s="60"/>
      <c r="E330" s="103">
        <f>_xlfn.XLOOKUP(enrollment_table[[#This Row],[*Subject]], classes_table[*Subject], classes_table[Fee])</f>
        <v>0</v>
      </c>
      <c r="F330" s="58"/>
      <c r="G330" s="60"/>
      <c r="H330" s="55"/>
      <c r="I330" s="176">
        <f>_xlfn.XLOOKUP(enrollment_table[[#This Row],[*Teacher Name]], teachers_table[*Teacher Name], teachers_table[*Teacher ID])</f>
        <v>0</v>
      </c>
      <c r="J330" s="60"/>
      <c r="K330" s="60"/>
      <c r="L330" s="55"/>
      <c r="M330" s="60"/>
      <c r="N330" s="60"/>
      <c r="O330" s="55"/>
      <c r="P330" s="161"/>
      <c r="Q330" s="160" t="str">
        <f>IF(enrollment_table[[#This Row],[Enrollment Date]]="","",TEXT(enrollment_table[[#This Row],[Enrollment Date]],"mmmm"))</f>
        <v/>
      </c>
      <c r="R330" s="60"/>
    </row>
    <row r="331" spans="1:18" ht="15" x14ac:dyDescent="0.3">
      <c r="A331" s="129"/>
      <c r="B331" s="60"/>
      <c r="C331" s="55"/>
      <c r="D331" s="60"/>
      <c r="E331" s="103">
        <f>_xlfn.XLOOKUP(enrollment_table[[#This Row],[*Subject]], classes_table[*Subject], classes_table[Fee])</f>
        <v>0</v>
      </c>
      <c r="F331" s="58"/>
      <c r="G331" s="60"/>
      <c r="H331" s="55"/>
      <c r="I331" s="176">
        <f>_xlfn.XLOOKUP(enrollment_table[[#This Row],[*Teacher Name]], teachers_table[*Teacher Name], teachers_table[*Teacher ID])</f>
        <v>0</v>
      </c>
      <c r="J331" s="60"/>
      <c r="K331" s="60"/>
      <c r="L331" s="55"/>
      <c r="M331" s="60"/>
      <c r="N331" s="60"/>
      <c r="O331" s="55"/>
      <c r="P331" s="161"/>
      <c r="Q331" s="160" t="str">
        <f>IF(enrollment_table[[#This Row],[Enrollment Date]]="","",TEXT(enrollment_table[[#This Row],[Enrollment Date]],"mmmm"))</f>
        <v/>
      </c>
      <c r="R331" s="60"/>
    </row>
    <row r="332" spans="1:18" ht="15" x14ac:dyDescent="0.3">
      <c r="A332" s="129"/>
      <c r="B332" s="60"/>
      <c r="C332" s="55"/>
      <c r="D332" s="60"/>
      <c r="E332" s="103">
        <f>_xlfn.XLOOKUP(enrollment_table[[#This Row],[*Subject]], classes_table[*Subject], classes_table[Fee])</f>
        <v>0</v>
      </c>
      <c r="F332" s="58"/>
      <c r="G332" s="60"/>
      <c r="H332" s="55"/>
      <c r="I332" s="176">
        <f>_xlfn.XLOOKUP(enrollment_table[[#This Row],[*Teacher Name]], teachers_table[*Teacher Name], teachers_table[*Teacher ID])</f>
        <v>0</v>
      </c>
      <c r="J332" s="60"/>
      <c r="K332" s="60"/>
      <c r="L332" s="55"/>
      <c r="M332" s="60"/>
      <c r="N332" s="60"/>
      <c r="O332" s="55"/>
      <c r="P332" s="161"/>
      <c r="Q332" s="160" t="str">
        <f>IF(enrollment_table[[#This Row],[Enrollment Date]]="","",TEXT(enrollment_table[[#This Row],[Enrollment Date]],"mmmm"))</f>
        <v/>
      </c>
      <c r="R332" s="60"/>
    </row>
    <row r="333" spans="1:18" ht="15" x14ac:dyDescent="0.3">
      <c r="A333" s="129"/>
      <c r="B333" s="60"/>
      <c r="C333" s="55"/>
      <c r="D333" s="60"/>
      <c r="E333" s="103">
        <f>_xlfn.XLOOKUP(enrollment_table[[#This Row],[*Subject]], classes_table[*Subject], classes_table[Fee])</f>
        <v>0</v>
      </c>
      <c r="F333" s="58"/>
      <c r="G333" s="60"/>
      <c r="H333" s="55"/>
      <c r="I333" s="176">
        <f>_xlfn.XLOOKUP(enrollment_table[[#This Row],[*Teacher Name]], teachers_table[*Teacher Name], teachers_table[*Teacher ID])</f>
        <v>0</v>
      </c>
      <c r="J333" s="60"/>
      <c r="K333" s="60"/>
      <c r="L333" s="55"/>
      <c r="M333" s="60"/>
      <c r="N333" s="60"/>
      <c r="O333" s="55"/>
      <c r="P333" s="161"/>
      <c r="Q333" s="160" t="str">
        <f>IF(enrollment_table[[#This Row],[Enrollment Date]]="","",TEXT(enrollment_table[[#This Row],[Enrollment Date]],"mmmm"))</f>
        <v/>
      </c>
      <c r="R333" s="60"/>
    </row>
    <row r="334" spans="1:18" ht="15" x14ac:dyDescent="0.3">
      <c r="A334" s="129"/>
      <c r="B334" s="60"/>
      <c r="C334" s="55"/>
      <c r="D334" s="60"/>
      <c r="E334" s="103">
        <f>_xlfn.XLOOKUP(enrollment_table[[#This Row],[*Subject]], classes_table[*Subject], classes_table[Fee])</f>
        <v>0</v>
      </c>
      <c r="F334" s="58"/>
      <c r="G334" s="60"/>
      <c r="H334" s="55"/>
      <c r="I334" s="176">
        <f>_xlfn.XLOOKUP(enrollment_table[[#This Row],[*Teacher Name]], teachers_table[*Teacher Name], teachers_table[*Teacher ID])</f>
        <v>0</v>
      </c>
      <c r="J334" s="60"/>
      <c r="K334" s="60"/>
      <c r="L334" s="55"/>
      <c r="M334" s="60"/>
      <c r="N334" s="60"/>
      <c r="O334" s="55"/>
      <c r="P334" s="161"/>
      <c r="Q334" s="160" t="str">
        <f>IF(enrollment_table[[#This Row],[Enrollment Date]]="","",TEXT(enrollment_table[[#This Row],[Enrollment Date]],"mmmm"))</f>
        <v/>
      </c>
      <c r="R334" s="60"/>
    </row>
    <row r="335" spans="1:18" ht="15" x14ac:dyDescent="0.3">
      <c r="A335" s="129"/>
      <c r="B335" s="60"/>
      <c r="C335" s="55"/>
      <c r="D335" s="60"/>
      <c r="E335" s="103">
        <f>_xlfn.XLOOKUP(enrollment_table[[#This Row],[*Subject]], classes_table[*Subject], classes_table[Fee])</f>
        <v>0</v>
      </c>
      <c r="F335" s="58"/>
      <c r="G335" s="60"/>
      <c r="H335" s="55"/>
      <c r="I335" s="176">
        <f>_xlfn.XLOOKUP(enrollment_table[[#This Row],[*Teacher Name]], teachers_table[*Teacher Name], teachers_table[*Teacher ID])</f>
        <v>0</v>
      </c>
      <c r="J335" s="60"/>
      <c r="K335" s="60"/>
      <c r="L335" s="55"/>
      <c r="M335" s="60"/>
      <c r="N335" s="60"/>
      <c r="O335" s="55"/>
      <c r="P335" s="161"/>
      <c r="Q335" s="160" t="str">
        <f>IF(enrollment_table[[#This Row],[Enrollment Date]]="","",TEXT(enrollment_table[[#This Row],[Enrollment Date]],"mmmm"))</f>
        <v/>
      </c>
      <c r="R335" s="60"/>
    </row>
    <row r="336" spans="1:18" ht="15" x14ac:dyDescent="0.3">
      <c r="A336" s="129"/>
      <c r="B336" s="60"/>
      <c r="C336" s="55"/>
      <c r="D336" s="60"/>
      <c r="E336" s="103">
        <f>_xlfn.XLOOKUP(enrollment_table[[#This Row],[*Subject]], classes_table[*Subject], classes_table[Fee])</f>
        <v>0</v>
      </c>
      <c r="F336" s="58"/>
      <c r="G336" s="60"/>
      <c r="H336" s="55"/>
      <c r="I336" s="176">
        <f>_xlfn.XLOOKUP(enrollment_table[[#This Row],[*Teacher Name]], teachers_table[*Teacher Name], teachers_table[*Teacher ID])</f>
        <v>0</v>
      </c>
      <c r="J336" s="60"/>
      <c r="K336" s="60"/>
      <c r="L336" s="55"/>
      <c r="M336" s="60"/>
      <c r="N336" s="60"/>
      <c r="O336" s="55"/>
      <c r="P336" s="161"/>
      <c r="Q336" s="160" t="str">
        <f>IF(enrollment_table[[#This Row],[Enrollment Date]]="","",TEXT(enrollment_table[[#This Row],[Enrollment Date]],"mmmm"))</f>
        <v/>
      </c>
      <c r="R336" s="60"/>
    </row>
    <row r="337" spans="1:18" ht="15" x14ac:dyDescent="0.3">
      <c r="A337" s="129"/>
      <c r="B337" s="60"/>
      <c r="C337" s="55"/>
      <c r="D337" s="60"/>
      <c r="E337" s="103">
        <f>_xlfn.XLOOKUP(enrollment_table[[#This Row],[*Subject]], classes_table[*Subject], classes_table[Fee])</f>
        <v>0</v>
      </c>
      <c r="F337" s="58"/>
      <c r="G337" s="60"/>
      <c r="H337" s="55"/>
      <c r="I337" s="176">
        <f>_xlfn.XLOOKUP(enrollment_table[[#This Row],[*Teacher Name]], teachers_table[*Teacher Name], teachers_table[*Teacher ID])</f>
        <v>0</v>
      </c>
      <c r="J337" s="60"/>
      <c r="K337" s="60"/>
      <c r="L337" s="55"/>
      <c r="M337" s="60"/>
      <c r="N337" s="60"/>
      <c r="O337" s="55"/>
      <c r="P337" s="161"/>
      <c r="Q337" s="160" t="str">
        <f>IF(enrollment_table[[#This Row],[Enrollment Date]]="","",TEXT(enrollment_table[[#This Row],[Enrollment Date]],"mmmm"))</f>
        <v/>
      </c>
      <c r="R337" s="60"/>
    </row>
    <row r="338" spans="1:18" ht="15" x14ac:dyDescent="0.3">
      <c r="A338" s="129"/>
      <c r="B338" s="60"/>
      <c r="C338" s="55"/>
      <c r="D338" s="60"/>
      <c r="E338" s="103">
        <f>_xlfn.XLOOKUP(enrollment_table[[#This Row],[*Subject]], classes_table[*Subject], classes_table[Fee])</f>
        <v>0</v>
      </c>
      <c r="F338" s="58"/>
      <c r="G338" s="60"/>
      <c r="H338" s="55"/>
      <c r="I338" s="176">
        <f>_xlfn.XLOOKUP(enrollment_table[[#This Row],[*Teacher Name]], teachers_table[*Teacher Name], teachers_table[*Teacher ID])</f>
        <v>0</v>
      </c>
      <c r="J338" s="60"/>
      <c r="K338" s="60"/>
      <c r="L338" s="55"/>
      <c r="M338" s="60"/>
      <c r="N338" s="60"/>
      <c r="O338" s="55"/>
      <c r="P338" s="161"/>
      <c r="Q338" s="160" t="str">
        <f>IF(enrollment_table[[#This Row],[Enrollment Date]]="","",TEXT(enrollment_table[[#This Row],[Enrollment Date]],"mmmm"))</f>
        <v/>
      </c>
      <c r="R338" s="60"/>
    </row>
    <row r="339" spans="1:18" ht="15" x14ac:dyDescent="0.3">
      <c r="A339" s="129"/>
      <c r="B339" s="60"/>
      <c r="C339" s="55"/>
      <c r="D339" s="60"/>
      <c r="E339" s="103">
        <f>_xlfn.XLOOKUP(enrollment_table[[#This Row],[*Subject]], classes_table[*Subject], classes_table[Fee])</f>
        <v>0</v>
      </c>
      <c r="F339" s="58"/>
      <c r="G339" s="60"/>
      <c r="H339" s="55"/>
      <c r="I339" s="176">
        <f>_xlfn.XLOOKUP(enrollment_table[[#This Row],[*Teacher Name]], teachers_table[*Teacher Name], teachers_table[*Teacher ID])</f>
        <v>0</v>
      </c>
      <c r="J339" s="60"/>
      <c r="K339" s="60"/>
      <c r="L339" s="55"/>
      <c r="M339" s="60"/>
      <c r="N339" s="60"/>
      <c r="O339" s="55"/>
      <c r="P339" s="161"/>
      <c r="Q339" s="160" t="str">
        <f>IF(enrollment_table[[#This Row],[Enrollment Date]]="","",TEXT(enrollment_table[[#This Row],[Enrollment Date]],"mmmm"))</f>
        <v/>
      </c>
      <c r="R339" s="60"/>
    </row>
    <row r="340" spans="1:18" ht="15" x14ac:dyDescent="0.3">
      <c r="A340" s="129"/>
      <c r="B340" s="60"/>
      <c r="C340" s="55"/>
      <c r="D340" s="60"/>
      <c r="E340" s="103">
        <f>_xlfn.XLOOKUP(enrollment_table[[#This Row],[*Subject]], classes_table[*Subject], classes_table[Fee])</f>
        <v>0</v>
      </c>
      <c r="F340" s="58"/>
      <c r="G340" s="60"/>
      <c r="H340" s="55"/>
      <c r="I340" s="176">
        <f>_xlfn.XLOOKUP(enrollment_table[[#This Row],[*Teacher Name]], teachers_table[*Teacher Name], teachers_table[*Teacher ID])</f>
        <v>0</v>
      </c>
      <c r="J340" s="60"/>
      <c r="K340" s="60"/>
      <c r="L340" s="55"/>
      <c r="M340" s="60"/>
      <c r="N340" s="60"/>
      <c r="O340" s="55"/>
      <c r="P340" s="161"/>
      <c r="Q340" s="160" t="str">
        <f>IF(enrollment_table[[#This Row],[Enrollment Date]]="","",TEXT(enrollment_table[[#This Row],[Enrollment Date]],"mmmm"))</f>
        <v/>
      </c>
      <c r="R340" s="60"/>
    </row>
    <row r="341" spans="1:18" ht="15" x14ac:dyDescent="0.3">
      <c r="A341" s="129"/>
      <c r="B341" s="60"/>
      <c r="C341" s="55"/>
      <c r="D341" s="60"/>
      <c r="E341" s="103">
        <f>_xlfn.XLOOKUP(enrollment_table[[#This Row],[*Subject]], classes_table[*Subject], classes_table[Fee])</f>
        <v>0</v>
      </c>
      <c r="F341" s="58"/>
      <c r="G341" s="60"/>
      <c r="H341" s="55"/>
      <c r="I341" s="176">
        <f>_xlfn.XLOOKUP(enrollment_table[[#This Row],[*Teacher Name]], teachers_table[*Teacher Name], teachers_table[*Teacher ID])</f>
        <v>0</v>
      </c>
      <c r="J341" s="60"/>
      <c r="K341" s="60"/>
      <c r="L341" s="55"/>
      <c r="M341" s="60"/>
      <c r="N341" s="60"/>
      <c r="O341" s="55"/>
      <c r="P341" s="161"/>
      <c r="Q341" s="160" t="str">
        <f>IF(enrollment_table[[#This Row],[Enrollment Date]]="","",TEXT(enrollment_table[[#This Row],[Enrollment Date]],"mmmm"))</f>
        <v/>
      </c>
      <c r="R341" s="60"/>
    </row>
    <row r="342" spans="1:18" ht="15" x14ac:dyDescent="0.3">
      <c r="A342" s="129"/>
      <c r="B342" s="60"/>
      <c r="C342" s="55"/>
      <c r="D342" s="60"/>
      <c r="E342" s="103">
        <f>_xlfn.XLOOKUP(enrollment_table[[#This Row],[*Subject]], classes_table[*Subject], classes_table[Fee])</f>
        <v>0</v>
      </c>
      <c r="F342" s="58"/>
      <c r="G342" s="60"/>
      <c r="H342" s="55"/>
      <c r="I342" s="176">
        <f>_xlfn.XLOOKUP(enrollment_table[[#This Row],[*Teacher Name]], teachers_table[*Teacher Name], teachers_table[*Teacher ID])</f>
        <v>0</v>
      </c>
      <c r="J342" s="60"/>
      <c r="K342" s="60"/>
      <c r="L342" s="55"/>
      <c r="M342" s="60"/>
      <c r="N342" s="60"/>
      <c r="O342" s="55"/>
      <c r="P342" s="161"/>
      <c r="Q342" s="160" t="str">
        <f>IF(enrollment_table[[#This Row],[Enrollment Date]]="","",TEXT(enrollment_table[[#This Row],[Enrollment Date]],"mmmm"))</f>
        <v/>
      </c>
      <c r="R342" s="60"/>
    </row>
    <row r="343" spans="1:18" ht="15" x14ac:dyDescent="0.3">
      <c r="A343" s="129"/>
      <c r="B343" s="60"/>
      <c r="C343" s="55"/>
      <c r="D343" s="60"/>
      <c r="E343" s="103">
        <f>_xlfn.XLOOKUP(enrollment_table[[#This Row],[*Subject]], classes_table[*Subject], classes_table[Fee])</f>
        <v>0</v>
      </c>
      <c r="F343" s="58"/>
      <c r="G343" s="60"/>
      <c r="H343" s="55"/>
      <c r="I343" s="176">
        <f>_xlfn.XLOOKUP(enrollment_table[[#This Row],[*Teacher Name]], teachers_table[*Teacher Name], teachers_table[*Teacher ID])</f>
        <v>0</v>
      </c>
      <c r="J343" s="60"/>
      <c r="K343" s="60"/>
      <c r="L343" s="55"/>
      <c r="M343" s="60"/>
      <c r="N343" s="60"/>
      <c r="O343" s="55"/>
      <c r="P343" s="161"/>
      <c r="Q343" s="160" t="str">
        <f>IF(enrollment_table[[#This Row],[Enrollment Date]]="","",TEXT(enrollment_table[[#This Row],[Enrollment Date]],"mmmm"))</f>
        <v/>
      </c>
      <c r="R343" s="60"/>
    </row>
    <row r="344" spans="1:18" ht="15" x14ac:dyDescent="0.3">
      <c r="A344" s="129"/>
      <c r="B344" s="60"/>
      <c r="C344" s="55"/>
      <c r="D344" s="60"/>
      <c r="E344" s="103">
        <f>_xlfn.XLOOKUP(enrollment_table[[#This Row],[*Subject]], classes_table[*Subject], classes_table[Fee])</f>
        <v>0</v>
      </c>
      <c r="F344" s="58"/>
      <c r="G344" s="60"/>
      <c r="H344" s="55"/>
      <c r="I344" s="176">
        <f>_xlfn.XLOOKUP(enrollment_table[[#This Row],[*Teacher Name]], teachers_table[*Teacher Name], teachers_table[*Teacher ID])</f>
        <v>0</v>
      </c>
      <c r="J344" s="60"/>
      <c r="K344" s="60"/>
      <c r="L344" s="55"/>
      <c r="M344" s="60"/>
      <c r="N344" s="60"/>
      <c r="O344" s="55"/>
      <c r="P344" s="161"/>
      <c r="Q344" s="160" t="str">
        <f>IF(enrollment_table[[#This Row],[Enrollment Date]]="","",TEXT(enrollment_table[[#This Row],[Enrollment Date]],"mmmm"))</f>
        <v/>
      </c>
      <c r="R344" s="60"/>
    </row>
    <row r="345" spans="1:18" ht="15" x14ac:dyDescent="0.3">
      <c r="A345" s="129"/>
      <c r="B345" s="60"/>
      <c r="C345" s="55"/>
      <c r="D345" s="60"/>
      <c r="E345" s="103">
        <f>_xlfn.XLOOKUP(enrollment_table[[#This Row],[*Subject]], classes_table[*Subject], classes_table[Fee])</f>
        <v>0</v>
      </c>
      <c r="F345" s="58"/>
      <c r="G345" s="60"/>
      <c r="H345" s="55"/>
      <c r="I345" s="176">
        <f>_xlfn.XLOOKUP(enrollment_table[[#This Row],[*Teacher Name]], teachers_table[*Teacher Name], teachers_table[*Teacher ID])</f>
        <v>0</v>
      </c>
      <c r="J345" s="60"/>
      <c r="K345" s="60"/>
      <c r="L345" s="55"/>
      <c r="M345" s="60"/>
      <c r="N345" s="60"/>
      <c r="O345" s="55"/>
      <c r="P345" s="161"/>
      <c r="Q345" s="160" t="str">
        <f>IF(enrollment_table[[#This Row],[Enrollment Date]]="","",TEXT(enrollment_table[[#This Row],[Enrollment Date]],"mmmm"))</f>
        <v/>
      </c>
      <c r="R345" s="60"/>
    </row>
    <row r="346" spans="1:18" ht="15" x14ac:dyDescent="0.3">
      <c r="A346" s="129"/>
      <c r="B346" s="60"/>
      <c r="C346" s="55"/>
      <c r="D346" s="60"/>
      <c r="E346" s="103">
        <f>_xlfn.XLOOKUP(enrollment_table[[#This Row],[*Subject]], classes_table[*Subject], classes_table[Fee])</f>
        <v>0</v>
      </c>
      <c r="F346" s="58"/>
      <c r="G346" s="60"/>
      <c r="H346" s="55"/>
      <c r="I346" s="176">
        <f>_xlfn.XLOOKUP(enrollment_table[[#This Row],[*Teacher Name]], teachers_table[*Teacher Name], teachers_table[*Teacher ID])</f>
        <v>0</v>
      </c>
      <c r="J346" s="60"/>
      <c r="K346" s="60"/>
      <c r="L346" s="55"/>
      <c r="M346" s="60"/>
      <c r="N346" s="60"/>
      <c r="O346" s="55"/>
      <c r="P346" s="161"/>
      <c r="Q346" s="160" t="str">
        <f>IF(enrollment_table[[#This Row],[Enrollment Date]]="","",TEXT(enrollment_table[[#This Row],[Enrollment Date]],"mmmm"))</f>
        <v/>
      </c>
      <c r="R346" s="60"/>
    </row>
    <row r="347" spans="1:18" ht="15" x14ac:dyDescent="0.3">
      <c r="A347" s="129"/>
      <c r="B347" s="60"/>
      <c r="C347" s="55"/>
      <c r="D347" s="60"/>
      <c r="E347" s="103">
        <f>_xlfn.XLOOKUP(enrollment_table[[#This Row],[*Subject]], classes_table[*Subject], classes_table[Fee])</f>
        <v>0</v>
      </c>
      <c r="F347" s="58"/>
      <c r="G347" s="60"/>
      <c r="H347" s="55"/>
      <c r="I347" s="176">
        <f>_xlfn.XLOOKUP(enrollment_table[[#This Row],[*Teacher Name]], teachers_table[*Teacher Name], teachers_table[*Teacher ID])</f>
        <v>0</v>
      </c>
      <c r="J347" s="60"/>
      <c r="K347" s="60"/>
      <c r="L347" s="55"/>
      <c r="M347" s="60"/>
      <c r="N347" s="60"/>
      <c r="O347" s="55"/>
      <c r="P347" s="161"/>
      <c r="Q347" s="160" t="str">
        <f>IF(enrollment_table[[#This Row],[Enrollment Date]]="","",TEXT(enrollment_table[[#This Row],[Enrollment Date]],"mmmm"))</f>
        <v/>
      </c>
      <c r="R347" s="60"/>
    </row>
    <row r="348" spans="1:18" ht="15" x14ac:dyDescent="0.3">
      <c r="A348" s="129"/>
      <c r="B348" s="60"/>
      <c r="C348" s="55"/>
      <c r="D348" s="60"/>
      <c r="E348" s="103">
        <f>_xlfn.XLOOKUP(enrollment_table[[#This Row],[*Subject]], classes_table[*Subject], classes_table[Fee])</f>
        <v>0</v>
      </c>
      <c r="F348" s="58"/>
      <c r="G348" s="60"/>
      <c r="H348" s="55"/>
      <c r="I348" s="176">
        <f>_xlfn.XLOOKUP(enrollment_table[[#This Row],[*Teacher Name]], teachers_table[*Teacher Name], teachers_table[*Teacher ID])</f>
        <v>0</v>
      </c>
      <c r="J348" s="60"/>
      <c r="K348" s="60"/>
      <c r="L348" s="55"/>
      <c r="M348" s="60"/>
      <c r="N348" s="60"/>
      <c r="O348" s="55"/>
      <c r="P348" s="161"/>
      <c r="Q348" s="160" t="str">
        <f>IF(enrollment_table[[#This Row],[Enrollment Date]]="","",TEXT(enrollment_table[[#This Row],[Enrollment Date]],"mmmm"))</f>
        <v/>
      </c>
      <c r="R348" s="60"/>
    </row>
    <row r="349" spans="1:18" ht="15" x14ac:dyDescent="0.3">
      <c r="A349" s="129"/>
      <c r="B349" s="60"/>
      <c r="C349" s="55"/>
      <c r="D349" s="60"/>
      <c r="E349" s="103">
        <f>_xlfn.XLOOKUP(enrollment_table[[#This Row],[*Subject]], classes_table[*Subject], classes_table[Fee])</f>
        <v>0</v>
      </c>
      <c r="F349" s="58"/>
      <c r="G349" s="60"/>
      <c r="H349" s="55"/>
      <c r="I349" s="176">
        <f>_xlfn.XLOOKUP(enrollment_table[[#This Row],[*Teacher Name]], teachers_table[*Teacher Name], teachers_table[*Teacher ID])</f>
        <v>0</v>
      </c>
      <c r="J349" s="60"/>
      <c r="K349" s="60"/>
      <c r="L349" s="55"/>
      <c r="M349" s="60"/>
      <c r="N349" s="60"/>
      <c r="O349" s="55"/>
      <c r="P349" s="161"/>
      <c r="Q349" s="160" t="str">
        <f>IF(enrollment_table[[#This Row],[Enrollment Date]]="","",TEXT(enrollment_table[[#This Row],[Enrollment Date]],"mmmm"))</f>
        <v/>
      </c>
      <c r="R349" s="60"/>
    </row>
    <row r="350" spans="1:18" ht="15" x14ac:dyDescent="0.3">
      <c r="A350" s="129"/>
      <c r="B350" s="60"/>
      <c r="C350" s="55"/>
      <c r="D350" s="60"/>
      <c r="E350" s="103">
        <f>_xlfn.XLOOKUP(enrollment_table[[#This Row],[*Subject]], classes_table[*Subject], classes_table[Fee])</f>
        <v>0</v>
      </c>
      <c r="F350" s="58"/>
      <c r="G350" s="60"/>
      <c r="H350" s="55"/>
      <c r="I350" s="176">
        <f>_xlfn.XLOOKUP(enrollment_table[[#This Row],[*Teacher Name]], teachers_table[*Teacher Name], teachers_table[*Teacher ID])</f>
        <v>0</v>
      </c>
      <c r="J350" s="60"/>
      <c r="K350" s="60"/>
      <c r="L350" s="55"/>
      <c r="M350" s="60"/>
      <c r="N350" s="60"/>
      <c r="O350" s="55"/>
      <c r="P350" s="161"/>
      <c r="Q350" s="160" t="str">
        <f>IF(enrollment_table[[#This Row],[Enrollment Date]]="","",TEXT(enrollment_table[[#This Row],[Enrollment Date]],"mmmm"))</f>
        <v/>
      </c>
      <c r="R350" s="60"/>
    </row>
    <row r="351" spans="1:18" ht="15" x14ac:dyDescent="0.3">
      <c r="A351" s="129"/>
      <c r="B351" s="60"/>
      <c r="C351" s="55"/>
      <c r="D351" s="60"/>
      <c r="E351" s="103">
        <f>_xlfn.XLOOKUP(enrollment_table[[#This Row],[*Subject]], classes_table[*Subject], classes_table[Fee])</f>
        <v>0</v>
      </c>
      <c r="F351" s="58"/>
      <c r="G351" s="60"/>
      <c r="H351" s="55"/>
      <c r="I351" s="176">
        <f>_xlfn.XLOOKUP(enrollment_table[[#This Row],[*Teacher Name]], teachers_table[*Teacher Name], teachers_table[*Teacher ID])</f>
        <v>0</v>
      </c>
      <c r="J351" s="60"/>
      <c r="K351" s="60"/>
      <c r="L351" s="55"/>
      <c r="M351" s="60"/>
      <c r="N351" s="60"/>
      <c r="O351" s="55"/>
      <c r="P351" s="161"/>
      <c r="Q351" s="160" t="str">
        <f>IF(enrollment_table[[#This Row],[Enrollment Date]]="","",TEXT(enrollment_table[[#This Row],[Enrollment Date]],"mmmm"))</f>
        <v/>
      </c>
      <c r="R351" s="60"/>
    </row>
    <row r="352" spans="1:18" ht="15" x14ac:dyDescent="0.3">
      <c r="A352" s="129"/>
      <c r="B352" s="60"/>
      <c r="C352" s="55"/>
      <c r="D352" s="60"/>
      <c r="E352" s="103">
        <f>_xlfn.XLOOKUP(enrollment_table[[#This Row],[*Subject]], classes_table[*Subject], classes_table[Fee])</f>
        <v>0</v>
      </c>
      <c r="F352" s="58"/>
      <c r="G352" s="60"/>
      <c r="H352" s="55"/>
      <c r="I352" s="176">
        <f>_xlfn.XLOOKUP(enrollment_table[[#This Row],[*Teacher Name]], teachers_table[*Teacher Name], teachers_table[*Teacher ID])</f>
        <v>0</v>
      </c>
      <c r="J352" s="60"/>
      <c r="K352" s="60"/>
      <c r="L352" s="55"/>
      <c r="M352" s="60"/>
      <c r="N352" s="60"/>
      <c r="O352" s="55"/>
      <c r="P352" s="161"/>
      <c r="Q352" s="160" t="str">
        <f>IF(enrollment_table[[#This Row],[Enrollment Date]]="","",TEXT(enrollment_table[[#This Row],[Enrollment Date]],"mmmm"))</f>
        <v/>
      </c>
      <c r="R352" s="60"/>
    </row>
    <row r="353" spans="1:18" ht="15" x14ac:dyDescent="0.3">
      <c r="A353" s="129"/>
      <c r="B353" s="60"/>
      <c r="C353" s="55"/>
      <c r="D353" s="60"/>
      <c r="E353" s="103">
        <f>_xlfn.XLOOKUP(enrollment_table[[#This Row],[*Subject]], classes_table[*Subject], classes_table[Fee])</f>
        <v>0</v>
      </c>
      <c r="F353" s="58"/>
      <c r="G353" s="60"/>
      <c r="H353" s="55"/>
      <c r="I353" s="176">
        <f>_xlfn.XLOOKUP(enrollment_table[[#This Row],[*Teacher Name]], teachers_table[*Teacher Name], teachers_table[*Teacher ID])</f>
        <v>0</v>
      </c>
      <c r="J353" s="60"/>
      <c r="K353" s="60"/>
      <c r="L353" s="55"/>
      <c r="M353" s="60"/>
      <c r="N353" s="60"/>
      <c r="O353" s="55"/>
      <c r="P353" s="161"/>
      <c r="Q353" s="160" t="str">
        <f>IF(enrollment_table[[#This Row],[Enrollment Date]]="","",TEXT(enrollment_table[[#This Row],[Enrollment Date]],"mmmm"))</f>
        <v/>
      </c>
      <c r="R353" s="60"/>
    </row>
    <row r="354" spans="1:18" ht="15" x14ac:dyDescent="0.3">
      <c r="A354" s="129"/>
      <c r="B354" s="60"/>
      <c r="C354" s="55"/>
      <c r="D354" s="60"/>
      <c r="E354" s="103">
        <f>_xlfn.XLOOKUP(enrollment_table[[#This Row],[*Subject]], classes_table[*Subject], classes_table[Fee])</f>
        <v>0</v>
      </c>
      <c r="F354" s="58"/>
      <c r="G354" s="60"/>
      <c r="H354" s="55"/>
      <c r="I354" s="176">
        <f>_xlfn.XLOOKUP(enrollment_table[[#This Row],[*Teacher Name]], teachers_table[*Teacher Name], teachers_table[*Teacher ID])</f>
        <v>0</v>
      </c>
      <c r="J354" s="60"/>
      <c r="K354" s="60"/>
      <c r="L354" s="55"/>
      <c r="M354" s="60"/>
      <c r="N354" s="60"/>
      <c r="O354" s="55"/>
      <c r="P354" s="161"/>
      <c r="Q354" s="160" t="str">
        <f>IF(enrollment_table[[#This Row],[Enrollment Date]]="","",TEXT(enrollment_table[[#This Row],[Enrollment Date]],"mmmm"))</f>
        <v/>
      </c>
      <c r="R354" s="60"/>
    </row>
    <row r="355" spans="1:18" ht="15" x14ac:dyDescent="0.3">
      <c r="A355" s="129"/>
      <c r="B355" s="60"/>
      <c r="C355" s="55"/>
      <c r="D355" s="60"/>
      <c r="E355" s="103">
        <f>_xlfn.XLOOKUP(enrollment_table[[#This Row],[*Subject]], classes_table[*Subject], classes_table[Fee])</f>
        <v>0</v>
      </c>
      <c r="F355" s="58"/>
      <c r="G355" s="60"/>
      <c r="H355" s="55"/>
      <c r="I355" s="176">
        <f>_xlfn.XLOOKUP(enrollment_table[[#This Row],[*Teacher Name]], teachers_table[*Teacher Name], teachers_table[*Teacher ID])</f>
        <v>0</v>
      </c>
      <c r="J355" s="60"/>
      <c r="K355" s="60"/>
      <c r="L355" s="55"/>
      <c r="M355" s="60"/>
      <c r="N355" s="60"/>
      <c r="O355" s="55"/>
      <c r="P355" s="161"/>
      <c r="Q355" s="160" t="str">
        <f>IF(enrollment_table[[#This Row],[Enrollment Date]]="","",TEXT(enrollment_table[[#This Row],[Enrollment Date]],"mmmm"))</f>
        <v/>
      </c>
      <c r="R355" s="60"/>
    </row>
    <row r="356" spans="1:18" ht="15" x14ac:dyDescent="0.3">
      <c r="A356" s="129"/>
      <c r="B356" s="60"/>
      <c r="C356" s="55"/>
      <c r="D356" s="60"/>
      <c r="E356" s="103">
        <f>_xlfn.XLOOKUP(enrollment_table[[#This Row],[*Subject]], classes_table[*Subject], classes_table[Fee])</f>
        <v>0</v>
      </c>
      <c r="F356" s="58"/>
      <c r="G356" s="60"/>
      <c r="H356" s="55"/>
      <c r="I356" s="176">
        <f>_xlfn.XLOOKUP(enrollment_table[[#This Row],[*Teacher Name]], teachers_table[*Teacher Name], teachers_table[*Teacher ID])</f>
        <v>0</v>
      </c>
      <c r="J356" s="60"/>
      <c r="K356" s="60"/>
      <c r="L356" s="55"/>
      <c r="M356" s="60"/>
      <c r="N356" s="60"/>
      <c r="O356" s="55"/>
      <c r="P356" s="161"/>
      <c r="Q356" s="160" t="str">
        <f>IF(enrollment_table[[#This Row],[Enrollment Date]]="","",TEXT(enrollment_table[[#This Row],[Enrollment Date]],"mmmm"))</f>
        <v/>
      </c>
      <c r="R356" s="60"/>
    </row>
    <row r="357" spans="1:18" ht="15" x14ac:dyDescent="0.3">
      <c r="A357" s="129"/>
      <c r="B357" s="60"/>
      <c r="C357" s="55"/>
      <c r="D357" s="60"/>
      <c r="E357" s="103">
        <f>_xlfn.XLOOKUP(enrollment_table[[#This Row],[*Subject]], classes_table[*Subject], classes_table[Fee])</f>
        <v>0</v>
      </c>
      <c r="F357" s="58"/>
      <c r="G357" s="60"/>
      <c r="H357" s="55"/>
      <c r="I357" s="176">
        <f>_xlfn.XLOOKUP(enrollment_table[[#This Row],[*Teacher Name]], teachers_table[*Teacher Name], teachers_table[*Teacher ID])</f>
        <v>0</v>
      </c>
      <c r="J357" s="60"/>
      <c r="K357" s="60"/>
      <c r="L357" s="55"/>
      <c r="M357" s="60"/>
      <c r="N357" s="60"/>
      <c r="O357" s="55"/>
      <c r="P357" s="161"/>
      <c r="Q357" s="160" t="str">
        <f>IF(enrollment_table[[#This Row],[Enrollment Date]]="","",TEXT(enrollment_table[[#This Row],[Enrollment Date]],"mmmm"))</f>
        <v/>
      </c>
      <c r="R357" s="60"/>
    </row>
    <row r="358" spans="1:18" ht="15" x14ac:dyDescent="0.3">
      <c r="A358" s="129"/>
      <c r="B358" s="60"/>
      <c r="C358" s="55"/>
      <c r="D358" s="60"/>
      <c r="E358" s="103">
        <f>_xlfn.XLOOKUP(enrollment_table[[#This Row],[*Subject]], classes_table[*Subject], classes_table[Fee])</f>
        <v>0</v>
      </c>
      <c r="F358" s="58"/>
      <c r="G358" s="60"/>
      <c r="H358" s="55"/>
      <c r="I358" s="176">
        <f>_xlfn.XLOOKUP(enrollment_table[[#This Row],[*Teacher Name]], teachers_table[*Teacher Name], teachers_table[*Teacher ID])</f>
        <v>0</v>
      </c>
      <c r="J358" s="60"/>
      <c r="K358" s="60"/>
      <c r="L358" s="55"/>
      <c r="M358" s="60"/>
      <c r="N358" s="60"/>
      <c r="O358" s="55"/>
      <c r="P358" s="161"/>
      <c r="Q358" s="160" t="str">
        <f>IF(enrollment_table[[#This Row],[Enrollment Date]]="","",TEXT(enrollment_table[[#This Row],[Enrollment Date]],"mmmm"))</f>
        <v/>
      </c>
      <c r="R358" s="60"/>
    </row>
    <row r="359" spans="1:18" ht="15" x14ac:dyDescent="0.3">
      <c r="A359" s="129"/>
      <c r="B359" s="60"/>
      <c r="C359" s="55"/>
      <c r="D359" s="60"/>
      <c r="E359" s="103">
        <f>_xlfn.XLOOKUP(enrollment_table[[#This Row],[*Subject]], classes_table[*Subject], classes_table[Fee])</f>
        <v>0</v>
      </c>
      <c r="F359" s="58"/>
      <c r="G359" s="60"/>
      <c r="H359" s="55"/>
      <c r="I359" s="176">
        <f>_xlfn.XLOOKUP(enrollment_table[[#This Row],[*Teacher Name]], teachers_table[*Teacher Name], teachers_table[*Teacher ID])</f>
        <v>0</v>
      </c>
      <c r="J359" s="60"/>
      <c r="K359" s="60"/>
      <c r="L359" s="55"/>
      <c r="M359" s="60"/>
      <c r="N359" s="60"/>
      <c r="O359" s="55"/>
      <c r="P359" s="161"/>
      <c r="Q359" s="160" t="str">
        <f>IF(enrollment_table[[#This Row],[Enrollment Date]]="","",TEXT(enrollment_table[[#This Row],[Enrollment Date]],"mmmm"))</f>
        <v/>
      </c>
      <c r="R359" s="60"/>
    </row>
    <row r="360" spans="1:18" ht="15" x14ac:dyDescent="0.3">
      <c r="A360" s="129"/>
      <c r="B360" s="60"/>
      <c r="C360" s="55"/>
      <c r="D360" s="60"/>
      <c r="E360" s="103">
        <f>_xlfn.XLOOKUP(enrollment_table[[#This Row],[*Subject]], classes_table[*Subject], classes_table[Fee])</f>
        <v>0</v>
      </c>
      <c r="F360" s="58"/>
      <c r="G360" s="60"/>
      <c r="H360" s="55"/>
      <c r="I360" s="176">
        <f>_xlfn.XLOOKUP(enrollment_table[[#This Row],[*Teacher Name]], teachers_table[*Teacher Name], teachers_table[*Teacher ID])</f>
        <v>0</v>
      </c>
      <c r="J360" s="60"/>
      <c r="K360" s="60"/>
      <c r="L360" s="55"/>
      <c r="M360" s="60"/>
      <c r="N360" s="60"/>
      <c r="O360" s="55"/>
      <c r="P360" s="161"/>
      <c r="Q360" s="160" t="str">
        <f>IF(enrollment_table[[#This Row],[Enrollment Date]]="","",TEXT(enrollment_table[[#This Row],[Enrollment Date]],"mmmm"))</f>
        <v/>
      </c>
      <c r="R360" s="60"/>
    </row>
    <row r="361" spans="1:18" ht="15" x14ac:dyDescent="0.3">
      <c r="A361" s="129"/>
      <c r="B361" s="60"/>
      <c r="C361" s="55"/>
      <c r="D361" s="60"/>
      <c r="E361" s="103">
        <f>_xlfn.XLOOKUP(enrollment_table[[#This Row],[*Subject]], classes_table[*Subject], classes_table[Fee])</f>
        <v>0</v>
      </c>
      <c r="F361" s="58"/>
      <c r="G361" s="60"/>
      <c r="H361" s="55"/>
      <c r="I361" s="176">
        <f>_xlfn.XLOOKUP(enrollment_table[[#This Row],[*Teacher Name]], teachers_table[*Teacher Name], teachers_table[*Teacher ID])</f>
        <v>0</v>
      </c>
      <c r="J361" s="60"/>
      <c r="K361" s="60"/>
      <c r="L361" s="55"/>
      <c r="M361" s="60"/>
      <c r="N361" s="60"/>
      <c r="O361" s="55"/>
      <c r="P361" s="161"/>
      <c r="Q361" s="160" t="str">
        <f>IF(enrollment_table[[#This Row],[Enrollment Date]]="","",TEXT(enrollment_table[[#This Row],[Enrollment Date]],"mmmm"))</f>
        <v/>
      </c>
      <c r="R361" s="60"/>
    </row>
    <row r="362" spans="1:18" ht="15" x14ac:dyDescent="0.3">
      <c r="A362" s="129"/>
      <c r="B362" s="60"/>
      <c r="C362" s="55"/>
      <c r="D362" s="60"/>
      <c r="E362" s="103">
        <f>_xlfn.XLOOKUP(enrollment_table[[#This Row],[*Subject]], classes_table[*Subject], classes_table[Fee])</f>
        <v>0</v>
      </c>
      <c r="F362" s="58"/>
      <c r="G362" s="60"/>
      <c r="H362" s="55"/>
      <c r="I362" s="176">
        <f>_xlfn.XLOOKUP(enrollment_table[[#This Row],[*Teacher Name]], teachers_table[*Teacher Name], teachers_table[*Teacher ID])</f>
        <v>0</v>
      </c>
      <c r="J362" s="60"/>
      <c r="K362" s="60"/>
      <c r="L362" s="55"/>
      <c r="M362" s="60"/>
      <c r="N362" s="60"/>
      <c r="O362" s="55"/>
      <c r="P362" s="161"/>
      <c r="Q362" s="160" t="str">
        <f>IF(enrollment_table[[#This Row],[Enrollment Date]]="","",TEXT(enrollment_table[[#This Row],[Enrollment Date]],"mmmm"))</f>
        <v/>
      </c>
      <c r="R362" s="60"/>
    </row>
    <row r="363" spans="1:18" ht="15" x14ac:dyDescent="0.3">
      <c r="A363" s="129"/>
      <c r="B363" s="60"/>
      <c r="C363" s="55"/>
      <c r="D363" s="60"/>
      <c r="E363" s="103">
        <f>_xlfn.XLOOKUP(enrollment_table[[#This Row],[*Subject]], classes_table[*Subject], classes_table[Fee])</f>
        <v>0</v>
      </c>
      <c r="F363" s="58"/>
      <c r="G363" s="60"/>
      <c r="H363" s="55"/>
      <c r="I363" s="176">
        <f>_xlfn.XLOOKUP(enrollment_table[[#This Row],[*Teacher Name]], teachers_table[*Teacher Name], teachers_table[*Teacher ID])</f>
        <v>0</v>
      </c>
      <c r="J363" s="60"/>
      <c r="K363" s="60"/>
      <c r="L363" s="55"/>
      <c r="M363" s="60"/>
      <c r="N363" s="60"/>
      <c r="O363" s="55"/>
      <c r="P363" s="161"/>
      <c r="Q363" s="160" t="str">
        <f>IF(enrollment_table[[#This Row],[Enrollment Date]]="","",TEXT(enrollment_table[[#This Row],[Enrollment Date]],"mmmm"))</f>
        <v/>
      </c>
      <c r="R363" s="60"/>
    </row>
    <row r="364" spans="1:18" ht="15" x14ac:dyDescent="0.3">
      <c r="A364" s="129"/>
      <c r="B364" s="60"/>
      <c r="C364" s="55"/>
      <c r="D364" s="60"/>
      <c r="E364" s="103">
        <f>_xlfn.XLOOKUP(enrollment_table[[#This Row],[*Subject]], classes_table[*Subject], classes_table[Fee])</f>
        <v>0</v>
      </c>
      <c r="F364" s="58"/>
      <c r="G364" s="60"/>
      <c r="H364" s="55"/>
      <c r="I364" s="176">
        <f>_xlfn.XLOOKUP(enrollment_table[[#This Row],[*Teacher Name]], teachers_table[*Teacher Name], teachers_table[*Teacher ID])</f>
        <v>0</v>
      </c>
      <c r="J364" s="60"/>
      <c r="K364" s="60"/>
      <c r="L364" s="55"/>
      <c r="M364" s="60"/>
      <c r="N364" s="60"/>
      <c r="O364" s="55"/>
      <c r="P364" s="161"/>
      <c r="Q364" s="160" t="str">
        <f>IF(enrollment_table[[#This Row],[Enrollment Date]]="","",TEXT(enrollment_table[[#This Row],[Enrollment Date]],"mmmm"))</f>
        <v/>
      </c>
      <c r="R364" s="60"/>
    </row>
    <row r="365" spans="1:18" ht="15" x14ac:dyDescent="0.3">
      <c r="A365" s="129"/>
      <c r="B365" s="60"/>
      <c r="C365" s="55"/>
      <c r="D365" s="60"/>
      <c r="E365" s="103">
        <f>_xlfn.XLOOKUP(enrollment_table[[#This Row],[*Subject]], classes_table[*Subject], classes_table[Fee])</f>
        <v>0</v>
      </c>
      <c r="F365" s="58"/>
      <c r="G365" s="60"/>
      <c r="H365" s="55"/>
      <c r="I365" s="176">
        <f>_xlfn.XLOOKUP(enrollment_table[[#This Row],[*Teacher Name]], teachers_table[*Teacher Name], teachers_table[*Teacher ID])</f>
        <v>0</v>
      </c>
      <c r="J365" s="60"/>
      <c r="K365" s="60"/>
      <c r="L365" s="55"/>
      <c r="M365" s="60"/>
      <c r="N365" s="60"/>
      <c r="O365" s="55"/>
      <c r="P365" s="161"/>
      <c r="Q365" s="160" t="str">
        <f>IF(enrollment_table[[#This Row],[Enrollment Date]]="","",TEXT(enrollment_table[[#This Row],[Enrollment Date]],"mmmm"))</f>
        <v/>
      </c>
      <c r="R365" s="60"/>
    </row>
    <row r="366" spans="1:18" ht="15" x14ac:dyDescent="0.3">
      <c r="A366" s="129"/>
      <c r="B366" s="60"/>
      <c r="C366" s="55"/>
      <c r="D366" s="60"/>
      <c r="E366" s="103">
        <f>_xlfn.XLOOKUP(enrollment_table[[#This Row],[*Subject]], classes_table[*Subject], classes_table[Fee])</f>
        <v>0</v>
      </c>
      <c r="F366" s="58"/>
      <c r="G366" s="60"/>
      <c r="H366" s="55"/>
      <c r="I366" s="176">
        <f>_xlfn.XLOOKUP(enrollment_table[[#This Row],[*Teacher Name]], teachers_table[*Teacher Name], teachers_table[*Teacher ID])</f>
        <v>0</v>
      </c>
      <c r="J366" s="60"/>
      <c r="K366" s="60"/>
      <c r="L366" s="55"/>
      <c r="M366" s="60"/>
      <c r="N366" s="60"/>
      <c r="O366" s="55"/>
      <c r="P366" s="161"/>
      <c r="Q366" s="160" t="str">
        <f>IF(enrollment_table[[#This Row],[Enrollment Date]]="","",TEXT(enrollment_table[[#This Row],[Enrollment Date]],"mmmm"))</f>
        <v/>
      </c>
      <c r="R366" s="60"/>
    </row>
    <row r="367" spans="1:18" ht="15" x14ac:dyDescent="0.3">
      <c r="A367" s="129"/>
      <c r="B367" s="60"/>
      <c r="C367" s="55"/>
      <c r="D367" s="60"/>
      <c r="E367" s="103">
        <f>_xlfn.XLOOKUP(enrollment_table[[#This Row],[*Subject]], classes_table[*Subject], classes_table[Fee])</f>
        <v>0</v>
      </c>
      <c r="F367" s="58"/>
      <c r="G367" s="60"/>
      <c r="H367" s="55"/>
      <c r="I367" s="176">
        <f>_xlfn.XLOOKUP(enrollment_table[[#This Row],[*Teacher Name]], teachers_table[*Teacher Name], teachers_table[*Teacher ID])</f>
        <v>0</v>
      </c>
      <c r="J367" s="60"/>
      <c r="K367" s="60"/>
      <c r="L367" s="55"/>
      <c r="M367" s="60"/>
      <c r="N367" s="60"/>
      <c r="O367" s="55"/>
      <c r="P367" s="161"/>
      <c r="Q367" s="160" t="str">
        <f>IF(enrollment_table[[#This Row],[Enrollment Date]]="","",TEXT(enrollment_table[[#This Row],[Enrollment Date]],"mmmm"))</f>
        <v/>
      </c>
      <c r="R367" s="60"/>
    </row>
    <row r="368" spans="1:18" ht="15" x14ac:dyDescent="0.3">
      <c r="A368" s="129"/>
      <c r="B368" s="60"/>
      <c r="C368" s="55"/>
      <c r="D368" s="60"/>
      <c r="E368" s="103">
        <f>_xlfn.XLOOKUP(enrollment_table[[#This Row],[*Subject]], classes_table[*Subject], classes_table[Fee])</f>
        <v>0</v>
      </c>
      <c r="F368" s="58"/>
      <c r="G368" s="60"/>
      <c r="H368" s="55"/>
      <c r="I368" s="176">
        <f>_xlfn.XLOOKUP(enrollment_table[[#This Row],[*Teacher Name]], teachers_table[*Teacher Name], teachers_table[*Teacher ID])</f>
        <v>0</v>
      </c>
      <c r="J368" s="60"/>
      <c r="K368" s="60"/>
      <c r="L368" s="55"/>
      <c r="M368" s="60"/>
      <c r="N368" s="60"/>
      <c r="O368" s="55"/>
      <c r="P368" s="161"/>
      <c r="Q368" s="160" t="str">
        <f>IF(enrollment_table[[#This Row],[Enrollment Date]]="","",TEXT(enrollment_table[[#This Row],[Enrollment Date]],"mmmm"))</f>
        <v/>
      </c>
      <c r="R368" s="60"/>
    </row>
    <row r="369" spans="1:18" ht="15" x14ac:dyDescent="0.3">
      <c r="A369" s="129"/>
      <c r="B369" s="60"/>
      <c r="C369" s="55"/>
      <c r="D369" s="60"/>
      <c r="E369" s="103">
        <f>_xlfn.XLOOKUP(enrollment_table[[#This Row],[*Subject]], classes_table[*Subject], classes_table[Fee])</f>
        <v>0</v>
      </c>
      <c r="F369" s="58"/>
      <c r="G369" s="60"/>
      <c r="H369" s="55"/>
      <c r="I369" s="176">
        <f>_xlfn.XLOOKUP(enrollment_table[[#This Row],[*Teacher Name]], teachers_table[*Teacher Name], teachers_table[*Teacher ID])</f>
        <v>0</v>
      </c>
      <c r="J369" s="60"/>
      <c r="K369" s="60"/>
      <c r="L369" s="55"/>
      <c r="M369" s="60"/>
      <c r="N369" s="60"/>
      <c r="O369" s="55"/>
      <c r="P369" s="161"/>
      <c r="Q369" s="160" t="str">
        <f>IF(enrollment_table[[#This Row],[Enrollment Date]]="","",TEXT(enrollment_table[[#This Row],[Enrollment Date]],"mmmm"))</f>
        <v/>
      </c>
      <c r="R369" s="60"/>
    </row>
    <row r="370" spans="1:18" ht="15" x14ac:dyDescent="0.3">
      <c r="A370" s="129"/>
      <c r="B370" s="60"/>
      <c r="C370" s="55"/>
      <c r="D370" s="60"/>
      <c r="E370" s="103">
        <f>_xlfn.XLOOKUP(enrollment_table[[#This Row],[*Subject]], classes_table[*Subject], classes_table[Fee])</f>
        <v>0</v>
      </c>
      <c r="F370" s="58"/>
      <c r="G370" s="60"/>
      <c r="H370" s="55"/>
      <c r="I370" s="176">
        <f>_xlfn.XLOOKUP(enrollment_table[[#This Row],[*Teacher Name]], teachers_table[*Teacher Name], teachers_table[*Teacher ID])</f>
        <v>0</v>
      </c>
      <c r="J370" s="60"/>
      <c r="K370" s="60"/>
      <c r="L370" s="55"/>
      <c r="M370" s="60"/>
      <c r="N370" s="60"/>
      <c r="O370" s="55"/>
      <c r="P370" s="161"/>
      <c r="Q370" s="160" t="str">
        <f>IF(enrollment_table[[#This Row],[Enrollment Date]]="","",TEXT(enrollment_table[[#This Row],[Enrollment Date]],"mmmm"))</f>
        <v/>
      </c>
      <c r="R370" s="60"/>
    </row>
    <row r="371" spans="1:18" ht="15" x14ac:dyDescent="0.3">
      <c r="A371" s="129"/>
      <c r="B371" s="60"/>
      <c r="C371" s="55"/>
      <c r="D371" s="60"/>
      <c r="E371" s="103">
        <f>_xlfn.XLOOKUP(enrollment_table[[#This Row],[*Subject]], classes_table[*Subject], classes_table[Fee])</f>
        <v>0</v>
      </c>
      <c r="F371" s="58"/>
      <c r="G371" s="60"/>
      <c r="H371" s="55"/>
      <c r="I371" s="176">
        <f>_xlfn.XLOOKUP(enrollment_table[[#This Row],[*Teacher Name]], teachers_table[*Teacher Name], teachers_table[*Teacher ID])</f>
        <v>0</v>
      </c>
      <c r="J371" s="60"/>
      <c r="K371" s="60"/>
      <c r="L371" s="55"/>
      <c r="M371" s="60"/>
      <c r="N371" s="60"/>
      <c r="O371" s="55"/>
      <c r="P371" s="161"/>
      <c r="Q371" s="160" t="str">
        <f>IF(enrollment_table[[#This Row],[Enrollment Date]]="","",TEXT(enrollment_table[[#This Row],[Enrollment Date]],"mmmm"))</f>
        <v/>
      </c>
      <c r="R371" s="60"/>
    </row>
    <row r="372" spans="1:18" ht="15" x14ac:dyDescent="0.3">
      <c r="A372" s="129"/>
      <c r="B372" s="60"/>
      <c r="C372" s="55"/>
      <c r="D372" s="60"/>
      <c r="E372" s="103">
        <f>_xlfn.XLOOKUP(enrollment_table[[#This Row],[*Subject]], classes_table[*Subject], classes_table[Fee])</f>
        <v>0</v>
      </c>
      <c r="F372" s="58"/>
      <c r="G372" s="60"/>
      <c r="H372" s="55"/>
      <c r="I372" s="176">
        <f>_xlfn.XLOOKUP(enrollment_table[[#This Row],[*Teacher Name]], teachers_table[*Teacher Name], teachers_table[*Teacher ID])</f>
        <v>0</v>
      </c>
      <c r="J372" s="60"/>
      <c r="K372" s="60"/>
      <c r="L372" s="55"/>
      <c r="M372" s="60"/>
      <c r="N372" s="60"/>
      <c r="O372" s="55"/>
      <c r="P372" s="161"/>
      <c r="Q372" s="160" t="str">
        <f>IF(enrollment_table[[#This Row],[Enrollment Date]]="","",TEXT(enrollment_table[[#This Row],[Enrollment Date]],"mmmm"))</f>
        <v/>
      </c>
      <c r="R372" s="60"/>
    </row>
    <row r="373" spans="1:18" ht="15" x14ac:dyDescent="0.3">
      <c r="A373" s="129"/>
      <c r="B373" s="60"/>
      <c r="C373" s="55"/>
      <c r="D373" s="60"/>
      <c r="E373" s="103">
        <f>_xlfn.XLOOKUP(enrollment_table[[#This Row],[*Subject]], classes_table[*Subject], classes_table[Fee])</f>
        <v>0</v>
      </c>
      <c r="F373" s="58"/>
      <c r="G373" s="60"/>
      <c r="H373" s="55"/>
      <c r="I373" s="176">
        <f>_xlfn.XLOOKUP(enrollment_table[[#This Row],[*Teacher Name]], teachers_table[*Teacher Name], teachers_table[*Teacher ID])</f>
        <v>0</v>
      </c>
      <c r="J373" s="60"/>
      <c r="K373" s="60"/>
      <c r="L373" s="55"/>
      <c r="M373" s="60"/>
      <c r="N373" s="60"/>
      <c r="O373" s="55"/>
      <c r="P373" s="161"/>
      <c r="Q373" s="160" t="str">
        <f>IF(enrollment_table[[#This Row],[Enrollment Date]]="","",TEXT(enrollment_table[[#This Row],[Enrollment Date]],"mmmm"))</f>
        <v/>
      </c>
      <c r="R373" s="60"/>
    </row>
    <row r="374" spans="1:18" ht="15" x14ac:dyDescent="0.3">
      <c r="A374" s="129"/>
      <c r="B374" s="60"/>
      <c r="C374" s="55"/>
      <c r="D374" s="60"/>
      <c r="E374" s="103">
        <f>_xlfn.XLOOKUP(enrollment_table[[#This Row],[*Subject]], classes_table[*Subject], classes_table[Fee])</f>
        <v>0</v>
      </c>
      <c r="F374" s="58"/>
      <c r="G374" s="60"/>
      <c r="H374" s="55"/>
      <c r="I374" s="176">
        <f>_xlfn.XLOOKUP(enrollment_table[[#This Row],[*Teacher Name]], teachers_table[*Teacher Name], teachers_table[*Teacher ID])</f>
        <v>0</v>
      </c>
      <c r="J374" s="60"/>
      <c r="K374" s="60"/>
      <c r="L374" s="55"/>
      <c r="M374" s="60"/>
      <c r="N374" s="60"/>
      <c r="O374" s="55"/>
      <c r="P374" s="161"/>
      <c r="Q374" s="160" t="str">
        <f>IF(enrollment_table[[#This Row],[Enrollment Date]]="","",TEXT(enrollment_table[[#This Row],[Enrollment Date]],"mmmm"))</f>
        <v/>
      </c>
      <c r="R374" s="60"/>
    </row>
    <row r="375" spans="1:18" ht="15" x14ac:dyDescent="0.3">
      <c r="A375" s="129"/>
      <c r="B375" s="60"/>
      <c r="C375" s="55"/>
      <c r="D375" s="60"/>
      <c r="E375" s="103">
        <f>_xlfn.XLOOKUP(enrollment_table[[#This Row],[*Subject]], classes_table[*Subject], classes_table[Fee])</f>
        <v>0</v>
      </c>
      <c r="F375" s="58"/>
      <c r="G375" s="60"/>
      <c r="H375" s="55"/>
      <c r="I375" s="176">
        <f>_xlfn.XLOOKUP(enrollment_table[[#This Row],[*Teacher Name]], teachers_table[*Teacher Name], teachers_table[*Teacher ID])</f>
        <v>0</v>
      </c>
      <c r="J375" s="60"/>
      <c r="K375" s="60"/>
      <c r="L375" s="55"/>
      <c r="M375" s="60"/>
      <c r="N375" s="60"/>
      <c r="O375" s="55"/>
      <c r="P375" s="161"/>
      <c r="Q375" s="160" t="str">
        <f>IF(enrollment_table[[#This Row],[Enrollment Date]]="","",TEXT(enrollment_table[[#This Row],[Enrollment Date]],"mmmm"))</f>
        <v/>
      </c>
      <c r="R375" s="60"/>
    </row>
    <row r="376" spans="1:18" ht="15" x14ac:dyDescent="0.3">
      <c r="A376" s="129"/>
      <c r="B376" s="60"/>
      <c r="C376" s="55"/>
      <c r="D376" s="60"/>
      <c r="E376" s="103">
        <f>_xlfn.XLOOKUP(enrollment_table[[#This Row],[*Subject]], classes_table[*Subject], classes_table[Fee])</f>
        <v>0</v>
      </c>
      <c r="F376" s="58"/>
      <c r="G376" s="60"/>
      <c r="H376" s="55"/>
      <c r="I376" s="176">
        <f>_xlfn.XLOOKUP(enrollment_table[[#This Row],[*Teacher Name]], teachers_table[*Teacher Name], teachers_table[*Teacher ID])</f>
        <v>0</v>
      </c>
      <c r="J376" s="60"/>
      <c r="K376" s="60"/>
      <c r="L376" s="55"/>
      <c r="M376" s="60"/>
      <c r="N376" s="60"/>
      <c r="O376" s="55"/>
      <c r="P376" s="161"/>
      <c r="Q376" s="160" t="str">
        <f>IF(enrollment_table[[#This Row],[Enrollment Date]]="","",TEXT(enrollment_table[[#This Row],[Enrollment Date]],"mmmm"))</f>
        <v/>
      </c>
      <c r="R376" s="60"/>
    </row>
    <row r="377" spans="1:18" ht="15" x14ac:dyDescent="0.3">
      <c r="A377" s="129"/>
      <c r="B377" s="60"/>
      <c r="C377" s="55"/>
      <c r="D377" s="60"/>
      <c r="E377" s="103">
        <f>_xlfn.XLOOKUP(enrollment_table[[#This Row],[*Subject]], classes_table[*Subject], classes_table[Fee])</f>
        <v>0</v>
      </c>
      <c r="F377" s="58"/>
      <c r="G377" s="60"/>
      <c r="H377" s="55"/>
      <c r="I377" s="176">
        <f>_xlfn.XLOOKUP(enrollment_table[[#This Row],[*Teacher Name]], teachers_table[*Teacher Name], teachers_table[*Teacher ID])</f>
        <v>0</v>
      </c>
      <c r="J377" s="60"/>
      <c r="K377" s="60"/>
      <c r="L377" s="55"/>
      <c r="M377" s="60"/>
      <c r="N377" s="60"/>
      <c r="O377" s="55"/>
      <c r="P377" s="161"/>
      <c r="Q377" s="160" t="str">
        <f>IF(enrollment_table[[#This Row],[Enrollment Date]]="","",TEXT(enrollment_table[[#This Row],[Enrollment Date]],"mmmm"))</f>
        <v/>
      </c>
      <c r="R377" s="60"/>
    </row>
    <row r="378" spans="1:18" ht="15" x14ac:dyDescent="0.3">
      <c r="A378" s="129"/>
      <c r="B378" s="60"/>
      <c r="C378" s="55"/>
      <c r="D378" s="60"/>
      <c r="E378" s="103">
        <f>_xlfn.XLOOKUP(enrollment_table[[#This Row],[*Subject]], classes_table[*Subject], classes_table[Fee])</f>
        <v>0</v>
      </c>
      <c r="F378" s="58"/>
      <c r="G378" s="60"/>
      <c r="H378" s="55"/>
      <c r="I378" s="176">
        <f>_xlfn.XLOOKUP(enrollment_table[[#This Row],[*Teacher Name]], teachers_table[*Teacher Name], teachers_table[*Teacher ID])</f>
        <v>0</v>
      </c>
      <c r="J378" s="60"/>
      <c r="K378" s="60"/>
      <c r="L378" s="55"/>
      <c r="M378" s="60"/>
      <c r="N378" s="60"/>
      <c r="O378" s="55"/>
      <c r="P378" s="161"/>
      <c r="Q378" s="160" t="str">
        <f>IF(enrollment_table[[#This Row],[Enrollment Date]]="","",TEXT(enrollment_table[[#This Row],[Enrollment Date]],"mmmm"))</f>
        <v/>
      </c>
      <c r="R378" s="60"/>
    </row>
    <row r="379" spans="1:18" ht="15" x14ac:dyDescent="0.3">
      <c r="A379" s="129"/>
      <c r="B379" s="60"/>
      <c r="C379" s="55"/>
      <c r="D379" s="60"/>
      <c r="E379" s="103">
        <f>_xlfn.XLOOKUP(enrollment_table[[#This Row],[*Subject]], classes_table[*Subject], classes_table[Fee])</f>
        <v>0</v>
      </c>
      <c r="F379" s="58"/>
      <c r="G379" s="60"/>
      <c r="H379" s="55"/>
      <c r="I379" s="176">
        <f>_xlfn.XLOOKUP(enrollment_table[[#This Row],[*Teacher Name]], teachers_table[*Teacher Name], teachers_table[*Teacher ID])</f>
        <v>0</v>
      </c>
      <c r="J379" s="60"/>
      <c r="K379" s="60"/>
      <c r="L379" s="55"/>
      <c r="M379" s="60"/>
      <c r="N379" s="60"/>
      <c r="O379" s="55"/>
      <c r="P379" s="161"/>
      <c r="Q379" s="160" t="str">
        <f>IF(enrollment_table[[#This Row],[Enrollment Date]]="","",TEXT(enrollment_table[[#This Row],[Enrollment Date]],"mmmm"))</f>
        <v/>
      </c>
      <c r="R379" s="60"/>
    </row>
    <row r="380" spans="1:18" ht="15" x14ac:dyDescent="0.3">
      <c r="A380" s="129"/>
      <c r="B380" s="60"/>
      <c r="C380" s="55"/>
      <c r="D380" s="60"/>
      <c r="E380" s="103">
        <f>_xlfn.XLOOKUP(enrollment_table[[#This Row],[*Subject]], classes_table[*Subject], classes_table[Fee])</f>
        <v>0</v>
      </c>
      <c r="F380" s="58"/>
      <c r="G380" s="60"/>
      <c r="H380" s="55"/>
      <c r="I380" s="176">
        <f>_xlfn.XLOOKUP(enrollment_table[[#This Row],[*Teacher Name]], teachers_table[*Teacher Name], teachers_table[*Teacher ID])</f>
        <v>0</v>
      </c>
      <c r="J380" s="60"/>
      <c r="K380" s="60"/>
      <c r="L380" s="55"/>
      <c r="M380" s="60"/>
      <c r="N380" s="60"/>
      <c r="O380" s="55"/>
      <c r="P380" s="161"/>
      <c r="Q380" s="160" t="str">
        <f>IF(enrollment_table[[#This Row],[Enrollment Date]]="","",TEXT(enrollment_table[[#This Row],[Enrollment Date]],"mmmm"))</f>
        <v/>
      </c>
      <c r="R380" s="60"/>
    </row>
    <row r="381" spans="1:18" ht="15" x14ac:dyDescent="0.3">
      <c r="A381" s="129"/>
      <c r="B381" s="60"/>
      <c r="C381" s="55"/>
      <c r="D381" s="60"/>
      <c r="E381" s="103">
        <f>_xlfn.XLOOKUP(enrollment_table[[#This Row],[*Subject]], classes_table[*Subject], classes_table[Fee])</f>
        <v>0</v>
      </c>
      <c r="F381" s="58"/>
      <c r="G381" s="60"/>
      <c r="H381" s="55"/>
      <c r="I381" s="176">
        <f>_xlfn.XLOOKUP(enrollment_table[[#This Row],[*Teacher Name]], teachers_table[*Teacher Name], teachers_table[*Teacher ID])</f>
        <v>0</v>
      </c>
      <c r="J381" s="60"/>
      <c r="K381" s="60"/>
      <c r="L381" s="55"/>
      <c r="M381" s="60"/>
      <c r="N381" s="60"/>
      <c r="O381" s="55"/>
      <c r="P381" s="161"/>
      <c r="Q381" s="160" t="str">
        <f>IF(enrollment_table[[#This Row],[Enrollment Date]]="","",TEXT(enrollment_table[[#This Row],[Enrollment Date]],"mmmm"))</f>
        <v/>
      </c>
      <c r="R381" s="60"/>
    </row>
    <row r="382" spans="1:18" ht="15" x14ac:dyDescent="0.3">
      <c r="A382" s="129"/>
      <c r="B382" s="60"/>
      <c r="C382" s="55"/>
      <c r="D382" s="60"/>
      <c r="E382" s="103">
        <f>_xlfn.XLOOKUP(enrollment_table[[#This Row],[*Subject]], classes_table[*Subject], classes_table[Fee])</f>
        <v>0</v>
      </c>
      <c r="F382" s="58"/>
      <c r="G382" s="60"/>
      <c r="H382" s="55"/>
      <c r="I382" s="176">
        <f>_xlfn.XLOOKUP(enrollment_table[[#This Row],[*Teacher Name]], teachers_table[*Teacher Name], teachers_table[*Teacher ID])</f>
        <v>0</v>
      </c>
      <c r="J382" s="60"/>
      <c r="K382" s="60"/>
      <c r="L382" s="55"/>
      <c r="M382" s="60"/>
      <c r="N382" s="60"/>
      <c r="O382" s="55"/>
      <c r="P382" s="161"/>
      <c r="Q382" s="160" t="str">
        <f>IF(enrollment_table[[#This Row],[Enrollment Date]]="","",TEXT(enrollment_table[[#This Row],[Enrollment Date]],"mmmm"))</f>
        <v/>
      </c>
      <c r="R382" s="60"/>
    </row>
    <row r="383" spans="1:18" ht="15" x14ac:dyDescent="0.3">
      <c r="A383" s="129"/>
      <c r="B383" s="60"/>
      <c r="C383" s="55"/>
      <c r="D383" s="60"/>
      <c r="E383" s="103">
        <f>_xlfn.XLOOKUP(enrollment_table[[#This Row],[*Subject]], classes_table[*Subject], classes_table[Fee])</f>
        <v>0</v>
      </c>
      <c r="F383" s="58"/>
      <c r="G383" s="60"/>
      <c r="H383" s="55"/>
      <c r="I383" s="176">
        <f>_xlfn.XLOOKUP(enrollment_table[[#This Row],[*Teacher Name]], teachers_table[*Teacher Name], teachers_table[*Teacher ID])</f>
        <v>0</v>
      </c>
      <c r="J383" s="60"/>
      <c r="K383" s="60"/>
      <c r="L383" s="55"/>
      <c r="M383" s="60"/>
      <c r="N383" s="60"/>
      <c r="O383" s="55"/>
      <c r="P383" s="161"/>
      <c r="Q383" s="160" t="str">
        <f>IF(enrollment_table[[#This Row],[Enrollment Date]]="","",TEXT(enrollment_table[[#This Row],[Enrollment Date]],"mmmm"))</f>
        <v/>
      </c>
      <c r="R383" s="60"/>
    </row>
    <row r="384" spans="1:18" ht="15" x14ac:dyDescent="0.3">
      <c r="A384" s="129"/>
      <c r="B384" s="60"/>
      <c r="C384" s="55"/>
      <c r="D384" s="60"/>
      <c r="E384" s="103">
        <f>_xlfn.XLOOKUP(enrollment_table[[#This Row],[*Subject]], classes_table[*Subject], classes_table[Fee])</f>
        <v>0</v>
      </c>
      <c r="F384" s="58"/>
      <c r="G384" s="60"/>
      <c r="H384" s="55"/>
      <c r="I384" s="176">
        <f>_xlfn.XLOOKUP(enrollment_table[[#This Row],[*Teacher Name]], teachers_table[*Teacher Name], teachers_table[*Teacher ID])</f>
        <v>0</v>
      </c>
      <c r="J384" s="60"/>
      <c r="K384" s="60"/>
      <c r="L384" s="55"/>
      <c r="M384" s="60"/>
      <c r="N384" s="60"/>
      <c r="O384" s="55"/>
      <c r="P384" s="161"/>
      <c r="Q384" s="160" t="str">
        <f>IF(enrollment_table[[#This Row],[Enrollment Date]]="","",TEXT(enrollment_table[[#This Row],[Enrollment Date]],"mmmm"))</f>
        <v/>
      </c>
      <c r="R384" s="60"/>
    </row>
    <row r="385" spans="1:18" ht="15" x14ac:dyDescent="0.3">
      <c r="A385" s="129"/>
      <c r="B385" s="60"/>
      <c r="C385" s="55"/>
      <c r="D385" s="60"/>
      <c r="E385" s="103">
        <f>_xlfn.XLOOKUP(enrollment_table[[#This Row],[*Subject]], classes_table[*Subject], classes_table[Fee])</f>
        <v>0</v>
      </c>
      <c r="F385" s="58"/>
      <c r="G385" s="60"/>
      <c r="H385" s="55"/>
      <c r="I385" s="176">
        <f>_xlfn.XLOOKUP(enrollment_table[[#This Row],[*Teacher Name]], teachers_table[*Teacher Name], teachers_table[*Teacher ID])</f>
        <v>0</v>
      </c>
      <c r="J385" s="60"/>
      <c r="K385" s="60"/>
      <c r="L385" s="55"/>
      <c r="M385" s="60"/>
      <c r="N385" s="60"/>
      <c r="O385" s="55"/>
      <c r="P385" s="161"/>
      <c r="Q385" s="160" t="str">
        <f>IF(enrollment_table[[#This Row],[Enrollment Date]]="","",TEXT(enrollment_table[[#This Row],[Enrollment Date]],"mmmm"))</f>
        <v/>
      </c>
      <c r="R385" s="60"/>
    </row>
    <row r="386" spans="1:18" ht="15" x14ac:dyDescent="0.3">
      <c r="A386" s="129"/>
      <c r="B386" s="60"/>
      <c r="C386" s="55"/>
      <c r="D386" s="60"/>
      <c r="E386" s="103">
        <f>_xlfn.XLOOKUP(enrollment_table[[#This Row],[*Subject]], classes_table[*Subject], classes_table[Fee])</f>
        <v>0</v>
      </c>
      <c r="F386" s="58"/>
      <c r="G386" s="60"/>
      <c r="H386" s="55"/>
      <c r="I386" s="176">
        <f>_xlfn.XLOOKUP(enrollment_table[[#This Row],[*Teacher Name]], teachers_table[*Teacher Name], teachers_table[*Teacher ID])</f>
        <v>0</v>
      </c>
      <c r="J386" s="60"/>
      <c r="K386" s="60"/>
      <c r="L386" s="55"/>
      <c r="M386" s="60"/>
      <c r="N386" s="60"/>
      <c r="O386" s="55"/>
      <c r="P386" s="161"/>
      <c r="Q386" s="160" t="str">
        <f>IF(enrollment_table[[#This Row],[Enrollment Date]]="","",TEXT(enrollment_table[[#This Row],[Enrollment Date]],"mmmm"))</f>
        <v/>
      </c>
      <c r="R386" s="60"/>
    </row>
    <row r="387" spans="1:18" ht="15" x14ac:dyDescent="0.3">
      <c r="A387" s="129"/>
      <c r="B387" s="60"/>
      <c r="C387" s="55"/>
      <c r="D387" s="60"/>
      <c r="E387" s="103">
        <f>_xlfn.XLOOKUP(enrollment_table[[#This Row],[*Subject]], classes_table[*Subject], classes_table[Fee])</f>
        <v>0</v>
      </c>
      <c r="F387" s="58"/>
      <c r="G387" s="60"/>
      <c r="H387" s="55"/>
      <c r="I387" s="176">
        <f>_xlfn.XLOOKUP(enrollment_table[[#This Row],[*Teacher Name]], teachers_table[*Teacher Name], teachers_table[*Teacher ID])</f>
        <v>0</v>
      </c>
      <c r="J387" s="60"/>
      <c r="K387" s="60"/>
      <c r="L387" s="55"/>
      <c r="M387" s="60"/>
      <c r="N387" s="60"/>
      <c r="O387" s="55"/>
      <c r="P387" s="161"/>
      <c r="Q387" s="160" t="str">
        <f>IF(enrollment_table[[#This Row],[Enrollment Date]]="","",TEXT(enrollment_table[[#This Row],[Enrollment Date]],"mmmm"))</f>
        <v/>
      </c>
      <c r="R387" s="60"/>
    </row>
    <row r="388" spans="1:18" ht="15" x14ac:dyDescent="0.3">
      <c r="A388" s="129"/>
      <c r="B388" s="60"/>
      <c r="C388" s="55"/>
      <c r="D388" s="60"/>
      <c r="E388" s="103">
        <f>_xlfn.XLOOKUP(enrollment_table[[#This Row],[*Subject]], classes_table[*Subject], classes_table[Fee])</f>
        <v>0</v>
      </c>
      <c r="F388" s="58"/>
      <c r="G388" s="60"/>
      <c r="H388" s="55"/>
      <c r="I388" s="176">
        <f>_xlfn.XLOOKUP(enrollment_table[[#This Row],[*Teacher Name]], teachers_table[*Teacher Name], teachers_table[*Teacher ID])</f>
        <v>0</v>
      </c>
      <c r="J388" s="60"/>
      <c r="K388" s="60"/>
      <c r="L388" s="55"/>
      <c r="M388" s="60"/>
      <c r="N388" s="60"/>
      <c r="O388" s="55"/>
      <c r="P388" s="161"/>
      <c r="Q388" s="160" t="str">
        <f>IF(enrollment_table[[#This Row],[Enrollment Date]]="","",TEXT(enrollment_table[[#This Row],[Enrollment Date]],"mmmm"))</f>
        <v/>
      </c>
      <c r="R388" s="60"/>
    </row>
    <row r="389" spans="1:18" ht="15" x14ac:dyDescent="0.3">
      <c r="A389" s="129"/>
      <c r="B389" s="60"/>
      <c r="C389" s="55"/>
      <c r="D389" s="60"/>
      <c r="E389" s="103">
        <f>_xlfn.XLOOKUP(enrollment_table[[#This Row],[*Subject]], classes_table[*Subject], classes_table[Fee])</f>
        <v>0</v>
      </c>
      <c r="F389" s="58"/>
      <c r="G389" s="60"/>
      <c r="H389" s="55"/>
      <c r="I389" s="176">
        <f>_xlfn.XLOOKUP(enrollment_table[[#This Row],[*Teacher Name]], teachers_table[*Teacher Name], teachers_table[*Teacher ID])</f>
        <v>0</v>
      </c>
      <c r="J389" s="60"/>
      <c r="K389" s="60"/>
      <c r="L389" s="55"/>
      <c r="M389" s="60"/>
      <c r="N389" s="60"/>
      <c r="O389" s="55"/>
      <c r="P389" s="161"/>
      <c r="Q389" s="160" t="str">
        <f>IF(enrollment_table[[#This Row],[Enrollment Date]]="","",TEXT(enrollment_table[[#This Row],[Enrollment Date]],"mmmm"))</f>
        <v/>
      </c>
      <c r="R389" s="60"/>
    </row>
    <row r="390" spans="1:18" ht="15" x14ac:dyDescent="0.3">
      <c r="A390" s="129"/>
      <c r="B390" s="60"/>
      <c r="C390" s="55"/>
      <c r="D390" s="60"/>
      <c r="E390" s="103">
        <f>_xlfn.XLOOKUP(enrollment_table[[#This Row],[*Subject]], classes_table[*Subject], classes_table[Fee])</f>
        <v>0</v>
      </c>
      <c r="F390" s="58"/>
      <c r="G390" s="60"/>
      <c r="H390" s="55"/>
      <c r="I390" s="176">
        <f>_xlfn.XLOOKUP(enrollment_table[[#This Row],[*Teacher Name]], teachers_table[*Teacher Name], teachers_table[*Teacher ID])</f>
        <v>0</v>
      </c>
      <c r="J390" s="60"/>
      <c r="K390" s="60"/>
      <c r="L390" s="55"/>
      <c r="M390" s="60"/>
      <c r="N390" s="60"/>
      <c r="O390" s="55"/>
      <c r="P390" s="161"/>
      <c r="Q390" s="160" t="str">
        <f>IF(enrollment_table[[#This Row],[Enrollment Date]]="","",TEXT(enrollment_table[[#This Row],[Enrollment Date]],"mmmm"))</f>
        <v/>
      </c>
      <c r="R390" s="60"/>
    </row>
    <row r="391" spans="1:18" ht="15" x14ac:dyDescent="0.3">
      <c r="A391" s="129"/>
      <c r="B391" s="60"/>
      <c r="C391" s="55"/>
      <c r="D391" s="60"/>
      <c r="E391" s="103">
        <f>_xlfn.XLOOKUP(enrollment_table[[#This Row],[*Subject]], classes_table[*Subject], classes_table[Fee])</f>
        <v>0</v>
      </c>
      <c r="F391" s="58"/>
      <c r="G391" s="60"/>
      <c r="H391" s="55"/>
      <c r="I391" s="176">
        <f>_xlfn.XLOOKUP(enrollment_table[[#This Row],[*Teacher Name]], teachers_table[*Teacher Name], teachers_table[*Teacher ID])</f>
        <v>0</v>
      </c>
      <c r="J391" s="60"/>
      <c r="K391" s="60"/>
      <c r="L391" s="55"/>
      <c r="M391" s="60"/>
      <c r="N391" s="60"/>
      <c r="O391" s="55"/>
      <c r="P391" s="161"/>
      <c r="Q391" s="160" t="str">
        <f>IF(enrollment_table[[#This Row],[Enrollment Date]]="","",TEXT(enrollment_table[[#This Row],[Enrollment Date]],"mmmm"))</f>
        <v/>
      </c>
      <c r="R391" s="60"/>
    </row>
    <row r="392" spans="1:18" ht="15" x14ac:dyDescent="0.3">
      <c r="A392" s="129"/>
      <c r="B392" s="60"/>
      <c r="C392" s="55"/>
      <c r="D392" s="60"/>
      <c r="E392" s="103">
        <f>_xlfn.XLOOKUP(enrollment_table[[#This Row],[*Subject]], classes_table[*Subject], classes_table[Fee])</f>
        <v>0</v>
      </c>
      <c r="F392" s="58"/>
      <c r="G392" s="60"/>
      <c r="H392" s="55"/>
      <c r="I392" s="176">
        <f>_xlfn.XLOOKUP(enrollment_table[[#This Row],[*Teacher Name]], teachers_table[*Teacher Name], teachers_table[*Teacher ID])</f>
        <v>0</v>
      </c>
      <c r="J392" s="60"/>
      <c r="K392" s="60"/>
      <c r="L392" s="55"/>
      <c r="M392" s="60"/>
      <c r="N392" s="60"/>
      <c r="O392" s="55"/>
      <c r="P392" s="161"/>
      <c r="Q392" s="160" t="str">
        <f>IF(enrollment_table[[#This Row],[Enrollment Date]]="","",TEXT(enrollment_table[[#This Row],[Enrollment Date]],"mmmm"))</f>
        <v/>
      </c>
      <c r="R392" s="60"/>
    </row>
    <row r="393" spans="1:18" ht="15" x14ac:dyDescent="0.3">
      <c r="A393" s="129"/>
      <c r="B393" s="60"/>
      <c r="C393" s="55"/>
      <c r="D393" s="60"/>
      <c r="E393" s="103">
        <f>_xlfn.XLOOKUP(enrollment_table[[#This Row],[*Subject]], classes_table[*Subject], classes_table[Fee])</f>
        <v>0</v>
      </c>
      <c r="F393" s="58"/>
      <c r="G393" s="60"/>
      <c r="H393" s="55"/>
      <c r="I393" s="176">
        <f>_xlfn.XLOOKUP(enrollment_table[[#This Row],[*Teacher Name]], teachers_table[*Teacher Name], teachers_table[*Teacher ID])</f>
        <v>0</v>
      </c>
      <c r="J393" s="60"/>
      <c r="K393" s="60"/>
      <c r="L393" s="55"/>
      <c r="M393" s="60"/>
      <c r="N393" s="60"/>
      <c r="O393" s="55"/>
      <c r="P393" s="161"/>
      <c r="Q393" s="160" t="str">
        <f>IF(enrollment_table[[#This Row],[Enrollment Date]]="","",TEXT(enrollment_table[[#This Row],[Enrollment Date]],"mmmm"))</f>
        <v/>
      </c>
      <c r="R393" s="60"/>
    </row>
    <row r="394" spans="1:18" ht="15" x14ac:dyDescent="0.3">
      <c r="A394" s="129"/>
      <c r="B394" s="60"/>
      <c r="C394" s="55"/>
      <c r="D394" s="60"/>
      <c r="E394" s="103">
        <f>_xlfn.XLOOKUP(enrollment_table[[#This Row],[*Subject]], classes_table[*Subject], classes_table[Fee])</f>
        <v>0</v>
      </c>
      <c r="F394" s="58"/>
      <c r="G394" s="60"/>
      <c r="H394" s="55"/>
      <c r="I394" s="176">
        <f>_xlfn.XLOOKUP(enrollment_table[[#This Row],[*Teacher Name]], teachers_table[*Teacher Name], teachers_table[*Teacher ID])</f>
        <v>0</v>
      </c>
      <c r="J394" s="60"/>
      <c r="K394" s="60"/>
      <c r="L394" s="55"/>
      <c r="M394" s="60"/>
      <c r="N394" s="60"/>
      <c r="O394" s="55"/>
      <c r="P394" s="161"/>
      <c r="Q394" s="160" t="str">
        <f>IF(enrollment_table[[#This Row],[Enrollment Date]]="","",TEXT(enrollment_table[[#This Row],[Enrollment Date]],"mmmm"))</f>
        <v/>
      </c>
      <c r="R394" s="60"/>
    </row>
    <row r="395" spans="1:18" ht="15" x14ac:dyDescent="0.3">
      <c r="A395" s="129"/>
      <c r="B395" s="60"/>
      <c r="C395" s="55"/>
      <c r="D395" s="60"/>
      <c r="E395" s="103">
        <f>_xlfn.XLOOKUP(enrollment_table[[#This Row],[*Subject]], classes_table[*Subject], classes_table[Fee])</f>
        <v>0</v>
      </c>
      <c r="F395" s="58"/>
      <c r="G395" s="60"/>
      <c r="H395" s="55"/>
      <c r="I395" s="176">
        <f>_xlfn.XLOOKUP(enrollment_table[[#This Row],[*Teacher Name]], teachers_table[*Teacher Name], teachers_table[*Teacher ID])</f>
        <v>0</v>
      </c>
      <c r="J395" s="60"/>
      <c r="K395" s="60"/>
      <c r="L395" s="55"/>
      <c r="M395" s="60"/>
      <c r="N395" s="60"/>
      <c r="O395" s="55"/>
      <c r="P395" s="161"/>
      <c r="Q395" s="160" t="str">
        <f>IF(enrollment_table[[#This Row],[Enrollment Date]]="","",TEXT(enrollment_table[[#This Row],[Enrollment Date]],"mmmm"))</f>
        <v/>
      </c>
      <c r="R395" s="60"/>
    </row>
    <row r="396" spans="1:18" ht="15" x14ac:dyDescent="0.3">
      <c r="A396" s="129"/>
      <c r="B396" s="60"/>
      <c r="C396" s="55"/>
      <c r="D396" s="60"/>
      <c r="E396" s="103">
        <f>_xlfn.XLOOKUP(enrollment_table[[#This Row],[*Subject]], classes_table[*Subject], classes_table[Fee])</f>
        <v>0</v>
      </c>
      <c r="F396" s="58"/>
      <c r="G396" s="60"/>
      <c r="H396" s="55"/>
      <c r="I396" s="176">
        <f>_xlfn.XLOOKUP(enrollment_table[[#This Row],[*Teacher Name]], teachers_table[*Teacher Name], teachers_table[*Teacher ID])</f>
        <v>0</v>
      </c>
      <c r="J396" s="60"/>
      <c r="K396" s="60"/>
      <c r="L396" s="55"/>
      <c r="M396" s="60"/>
      <c r="N396" s="60"/>
      <c r="O396" s="55"/>
      <c r="P396" s="161"/>
      <c r="Q396" s="160" t="str">
        <f>IF(enrollment_table[[#This Row],[Enrollment Date]]="","",TEXT(enrollment_table[[#This Row],[Enrollment Date]],"mmmm"))</f>
        <v/>
      </c>
      <c r="R396" s="60"/>
    </row>
    <row r="397" spans="1:18" ht="15" x14ac:dyDescent="0.3">
      <c r="A397" s="129"/>
      <c r="B397" s="60"/>
      <c r="C397" s="55"/>
      <c r="D397" s="60"/>
      <c r="E397" s="103">
        <f>_xlfn.XLOOKUP(enrollment_table[[#This Row],[*Subject]], classes_table[*Subject], classes_table[Fee])</f>
        <v>0</v>
      </c>
      <c r="F397" s="58"/>
      <c r="G397" s="60"/>
      <c r="H397" s="55"/>
      <c r="I397" s="176">
        <f>_xlfn.XLOOKUP(enrollment_table[[#This Row],[*Teacher Name]], teachers_table[*Teacher Name], teachers_table[*Teacher ID])</f>
        <v>0</v>
      </c>
      <c r="J397" s="60"/>
      <c r="K397" s="60"/>
      <c r="L397" s="55"/>
      <c r="M397" s="60"/>
      <c r="N397" s="60"/>
      <c r="O397" s="55"/>
      <c r="P397" s="161"/>
      <c r="Q397" s="160" t="str">
        <f>IF(enrollment_table[[#This Row],[Enrollment Date]]="","",TEXT(enrollment_table[[#This Row],[Enrollment Date]],"mmmm"))</f>
        <v/>
      </c>
      <c r="R397" s="60"/>
    </row>
    <row r="398" spans="1:18" ht="15" x14ac:dyDescent="0.3">
      <c r="A398" s="129"/>
      <c r="B398" s="60"/>
      <c r="C398" s="55"/>
      <c r="D398" s="60"/>
      <c r="E398" s="103">
        <f>_xlfn.XLOOKUP(enrollment_table[[#This Row],[*Subject]], classes_table[*Subject], classes_table[Fee])</f>
        <v>0</v>
      </c>
      <c r="F398" s="58"/>
      <c r="G398" s="60"/>
      <c r="H398" s="55"/>
      <c r="I398" s="176">
        <f>_xlfn.XLOOKUP(enrollment_table[[#This Row],[*Teacher Name]], teachers_table[*Teacher Name], teachers_table[*Teacher ID])</f>
        <v>0</v>
      </c>
      <c r="J398" s="60"/>
      <c r="K398" s="60"/>
      <c r="L398" s="55"/>
      <c r="M398" s="60"/>
      <c r="N398" s="60"/>
      <c r="O398" s="55"/>
      <c r="P398" s="161"/>
      <c r="Q398" s="160" t="str">
        <f>IF(enrollment_table[[#This Row],[Enrollment Date]]="","",TEXT(enrollment_table[[#This Row],[Enrollment Date]],"mmmm"))</f>
        <v/>
      </c>
      <c r="R398" s="60"/>
    </row>
    <row r="399" spans="1:18" ht="15" x14ac:dyDescent="0.3">
      <c r="A399" s="129"/>
      <c r="B399" s="60"/>
      <c r="C399" s="55"/>
      <c r="D399" s="60"/>
      <c r="E399" s="103">
        <f>_xlfn.XLOOKUP(enrollment_table[[#This Row],[*Subject]], classes_table[*Subject], classes_table[Fee])</f>
        <v>0</v>
      </c>
      <c r="F399" s="58"/>
      <c r="G399" s="60"/>
      <c r="H399" s="55"/>
      <c r="I399" s="176">
        <f>_xlfn.XLOOKUP(enrollment_table[[#This Row],[*Teacher Name]], teachers_table[*Teacher Name], teachers_table[*Teacher ID])</f>
        <v>0</v>
      </c>
      <c r="J399" s="60"/>
      <c r="K399" s="60"/>
      <c r="L399" s="55"/>
      <c r="M399" s="60"/>
      <c r="N399" s="60"/>
      <c r="O399" s="55"/>
      <c r="P399" s="161"/>
      <c r="Q399" s="160" t="str">
        <f>IF(enrollment_table[[#This Row],[Enrollment Date]]="","",TEXT(enrollment_table[[#This Row],[Enrollment Date]],"mmmm"))</f>
        <v/>
      </c>
      <c r="R399" s="60"/>
    </row>
    <row r="400" spans="1:18" ht="15" x14ac:dyDescent="0.3">
      <c r="A400" s="129"/>
      <c r="B400" s="60"/>
      <c r="C400" s="55"/>
      <c r="D400" s="60"/>
      <c r="E400" s="103">
        <f>_xlfn.XLOOKUP(enrollment_table[[#This Row],[*Subject]], classes_table[*Subject], classes_table[Fee])</f>
        <v>0</v>
      </c>
      <c r="F400" s="58"/>
      <c r="G400" s="60"/>
      <c r="H400" s="55"/>
      <c r="I400" s="176">
        <f>_xlfn.XLOOKUP(enrollment_table[[#This Row],[*Teacher Name]], teachers_table[*Teacher Name], teachers_table[*Teacher ID])</f>
        <v>0</v>
      </c>
      <c r="J400" s="60"/>
      <c r="K400" s="60"/>
      <c r="L400" s="55"/>
      <c r="M400" s="60"/>
      <c r="N400" s="60"/>
      <c r="O400" s="55"/>
      <c r="P400" s="161"/>
      <c r="Q400" s="160" t="str">
        <f>IF(enrollment_table[[#This Row],[Enrollment Date]]="","",TEXT(enrollment_table[[#This Row],[Enrollment Date]],"mmmm"))</f>
        <v/>
      </c>
      <c r="R400" s="60"/>
    </row>
    <row r="401" spans="1:18" ht="15" x14ac:dyDescent="0.3">
      <c r="A401" s="129"/>
      <c r="B401" s="60"/>
      <c r="C401" s="55"/>
      <c r="D401" s="60"/>
      <c r="E401" s="103">
        <f>_xlfn.XLOOKUP(enrollment_table[[#This Row],[*Subject]], classes_table[*Subject], classes_table[Fee])</f>
        <v>0</v>
      </c>
      <c r="F401" s="58"/>
      <c r="G401" s="60"/>
      <c r="H401" s="55"/>
      <c r="I401" s="176">
        <f>_xlfn.XLOOKUP(enrollment_table[[#This Row],[*Teacher Name]], teachers_table[*Teacher Name], teachers_table[*Teacher ID])</f>
        <v>0</v>
      </c>
      <c r="J401" s="60"/>
      <c r="K401" s="60"/>
      <c r="L401" s="55"/>
      <c r="M401" s="60"/>
      <c r="N401" s="60"/>
      <c r="O401" s="55"/>
      <c r="P401" s="161"/>
      <c r="Q401" s="160" t="str">
        <f>IF(enrollment_table[[#This Row],[Enrollment Date]]="","",TEXT(enrollment_table[[#This Row],[Enrollment Date]],"mmmm"))</f>
        <v/>
      </c>
      <c r="R401" s="60"/>
    </row>
    <row r="402" spans="1:18" ht="15" x14ac:dyDescent="0.3">
      <c r="A402" s="129"/>
      <c r="B402" s="60"/>
      <c r="C402" s="55"/>
      <c r="D402" s="60"/>
      <c r="E402" s="103">
        <f>_xlfn.XLOOKUP(enrollment_table[[#This Row],[*Subject]], classes_table[*Subject], classes_table[Fee])</f>
        <v>0</v>
      </c>
      <c r="F402" s="58"/>
      <c r="G402" s="60"/>
      <c r="H402" s="55"/>
      <c r="I402" s="176">
        <f>_xlfn.XLOOKUP(enrollment_table[[#This Row],[*Teacher Name]], teachers_table[*Teacher Name], teachers_table[*Teacher ID])</f>
        <v>0</v>
      </c>
      <c r="J402" s="60"/>
      <c r="K402" s="60"/>
      <c r="L402" s="55"/>
      <c r="M402" s="60"/>
      <c r="N402" s="60"/>
      <c r="O402" s="55"/>
      <c r="P402" s="161"/>
      <c r="Q402" s="160" t="str">
        <f>IF(enrollment_table[[#This Row],[Enrollment Date]]="","",TEXT(enrollment_table[[#This Row],[Enrollment Date]],"mmmm"))</f>
        <v/>
      </c>
      <c r="R402" s="60"/>
    </row>
    <row r="403" spans="1:18" ht="15" x14ac:dyDescent="0.3">
      <c r="A403" s="129"/>
      <c r="B403" s="60"/>
      <c r="C403" s="55"/>
      <c r="D403" s="60"/>
      <c r="E403" s="103">
        <f>_xlfn.XLOOKUP(enrollment_table[[#This Row],[*Subject]], classes_table[*Subject], classes_table[Fee])</f>
        <v>0</v>
      </c>
      <c r="F403" s="58"/>
      <c r="G403" s="60"/>
      <c r="H403" s="55"/>
      <c r="I403" s="176">
        <f>_xlfn.XLOOKUP(enrollment_table[[#This Row],[*Teacher Name]], teachers_table[*Teacher Name], teachers_table[*Teacher ID])</f>
        <v>0</v>
      </c>
      <c r="J403" s="60"/>
      <c r="K403" s="60"/>
      <c r="L403" s="55"/>
      <c r="M403" s="60"/>
      <c r="N403" s="60"/>
      <c r="O403" s="55"/>
      <c r="P403" s="161"/>
      <c r="Q403" s="160" t="str">
        <f>IF(enrollment_table[[#This Row],[Enrollment Date]]="","",TEXT(enrollment_table[[#This Row],[Enrollment Date]],"mmmm"))</f>
        <v/>
      </c>
      <c r="R403" s="60"/>
    </row>
    <row r="404" spans="1:18" ht="15" x14ac:dyDescent="0.3">
      <c r="A404" s="129"/>
      <c r="B404" s="60"/>
      <c r="C404" s="55"/>
      <c r="D404" s="60"/>
      <c r="E404" s="103">
        <f>_xlfn.XLOOKUP(enrollment_table[[#This Row],[*Subject]], classes_table[*Subject], classes_table[Fee])</f>
        <v>0</v>
      </c>
      <c r="F404" s="58"/>
      <c r="G404" s="60"/>
      <c r="H404" s="55"/>
      <c r="I404" s="176">
        <f>_xlfn.XLOOKUP(enrollment_table[[#This Row],[*Teacher Name]], teachers_table[*Teacher Name], teachers_table[*Teacher ID])</f>
        <v>0</v>
      </c>
      <c r="J404" s="60"/>
      <c r="K404" s="60"/>
      <c r="L404" s="55"/>
      <c r="M404" s="60"/>
      <c r="N404" s="60"/>
      <c r="O404" s="55"/>
      <c r="P404" s="161"/>
      <c r="Q404" s="160" t="str">
        <f>IF(enrollment_table[[#This Row],[Enrollment Date]]="","",TEXT(enrollment_table[[#This Row],[Enrollment Date]],"mmmm"))</f>
        <v/>
      </c>
      <c r="R404" s="60"/>
    </row>
    <row r="405" spans="1:18" ht="15" x14ac:dyDescent="0.3">
      <c r="A405" s="129"/>
      <c r="B405" s="60"/>
      <c r="C405" s="55"/>
      <c r="D405" s="60"/>
      <c r="E405" s="103">
        <f>_xlfn.XLOOKUP(enrollment_table[[#This Row],[*Subject]], classes_table[*Subject], classes_table[Fee])</f>
        <v>0</v>
      </c>
      <c r="F405" s="58"/>
      <c r="G405" s="60"/>
      <c r="H405" s="55"/>
      <c r="I405" s="176">
        <f>_xlfn.XLOOKUP(enrollment_table[[#This Row],[*Teacher Name]], teachers_table[*Teacher Name], teachers_table[*Teacher ID])</f>
        <v>0</v>
      </c>
      <c r="J405" s="60"/>
      <c r="K405" s="60"/>
      <c r="L405" s="55"/>
      <c r="M405" s="60"/>
      <c r="N405" s="60"/>
      <c r="O405" s="55"/>
      <c r="P405" s="161"/>
      <c r="Q405" s="160" t="str">
        <f>IF(enrollment_table[[#This Row],[Enrollment Date]]="","",TEXT(enrollment_table[[#This Row],[Enrollment Date]],"mmmm"))</f>
        <v/>
      </c>
      <c r="R405" s="60"/>
    </row>
    <row r="406" spans="1:18" ht="15" x14ac:dyDescent="0.3">
      <c r="A406" s="129"/>
      <c r="B406" s="60"/>
      <c r="C406" s="55"/>
      <c r="D406" s="60"/>
      <c r="E406" s="103">
        <f>_xlfn.XLOOKUP(enrollment_table[[#This Row],[*Subject]], classes_table[*Subject], classes_table[Fee])</f>
        <v>0</v>
      </c>
      <c r="F406" s="58"/>
      <c r="G406" s="60"/>
      <c r="H406" s="55"/>
      <c r="I406" s="176">
        <f>_xlfn.XLOOKUP(enrollment_table[[#This Row],[*Teacher Name]], teachers_table[*Teacher Name], teachers_table[*Teacher ID])</f>
        <v>0</v>
      </c>
      <c r="J406" s="60"/>
      <c r="K406" s="60"/>
      <c r="L406" s="55"/>
      <c r="M406" s="60"/>
      <c r="N406" s="60"/>
      <c r="O406" s="55"/>
      <c r="P406" s="161"/>
      <c r="Q406" s="160" t="str">
        <f>IF(enrollment_table[[#This Row],[Enrollment Date]]="","",TEXT(enrollment_table[[#This Row],[Enrollment Date]],"mmmm"))</f>
        <v/>
      </c>
      <c r="R406" s="60"/>
    </row>
    <row r="407" spans="1:18" ht="15" x14ac:dyDescent="0.3">
      <c r="A407" s="129"/>
      <c r="B407" s="60"/>
      <c r="C407" s="55"/>
      <c r="D407" s="60"/>
      <c r="E407" s="103">
        <f>_xlfn.XLOOKUP(enrollment_table[[#This Row],[*Subject]], classes_table[*Subject], classes_table[Fee])</f>
        <v>0</v>
      </c>
      <c r="F407" s="58"/>
      <c r="G407" s="60"/>
      <c r="H407" s="55"/>
      <c r="I407" s="176">
        <f>_xlfn.XLOOKUP(enrollment_table[[#This Row],[*Teacher Name]], teachers_table[*Teacher Name], teachers_table[*Teacher ID])</f>
        <v>0</v>
      </c>
      <c r="J407" s="60"/>
      <c r="K407" s="60"/>
      <c r="L407" s="55"/>
      <c r="M407" s="60"/>
      <c r="N407" s="60"/>
      <c r="O407" s="55"/>
      <c r="P407" s="161"/>
      <c r="Q407" s="160" t="str">
        <f>IF(enrollment_table[[#This Row],[Enrollment Date]]="","",TEXT(enrollment_table[[#This Row],[Enrollment Date]],"mmmm"))</f>
        <v/>
      </c>
      <c r="R407" s="60"/>
    </row>
    <row r="408" spans="1:18" ht="15" x14ac:dyDescent="0.3">
      <c r="A408" s="129"/>
      <c r="B408" s="60"/>
      <c r="C408" s="55"/>
      <c r="D408" s="60"/>
      <c r="E408" s="103">
        <f>_xlfn.XLOOKUP(enrollment_table[[#This Row],[*Subject]], classes_table[*Subject], classes_table[Fee])</f>
        <v>0</v>
      </c>
      <c r="F408" s="58"/>
      <c r="G408" s="60"/>
      <c r="H408" s="55"/>
      <c r="I408" s="176">
        <f>_xlfn.XLOOKUP(enrollment_table[[#This Row],[*Teacher Name]], teachers_table[*Teacher Name], teachers_table[*Teacher ID])</f>
        <v>0</v>
      </c>
      <c r="J408" s="60"/>
      <c r="K408" s="60"/>
      <c r="L408" s="55"/>
      <c r="M408" s="60"/>
      <c r="N408" s="60"/>
      <c r="O408" s="55"/>
      <c r="P408" s="161"/>
      <c r="Q408" s="160" t="str">
        <f>IF(enrollment_table[[#This Row],[Enrollment Date]]="","",TEXT(enrollment_table[[#This Row],[Enrollment Date]],"mmmm"))</f>
        <v/>
      </c>
      <c r="R408" s="60"/>
    </row>
    <row r="409" spans="1:18" ht="15" x14ac:dyDescent="0.3">
      <c r="A409" s="129"/>
      <c r="B409" s="60"/>
      <c r="C409" s="55"/>
      <c r="D409" s="60"/>
      <c r="E409" s="103">
        <f>_xlfn.XLOOKUP(enrollment_table[[#This Row],[*Subject]], classes_table[*Subject], classes_table[Fee])</f>
        <v>0</v>
      </c>
      <c r="F409" s="58"/>
      <c r="G409" s="60"/>
      <c r="H409" s="55"/>
      <c r="I409" s="176">
        <f>_xlfn.XLOOKUP(enrollment_table[[#This Row],[*Teacher Name]], teachers_table[*Teacher Name], teachers_table[*Teacher ID])</f>
        <v>0</v>
      </c>
      <c r="J409" s="60"/>
      <c r="K409" s="60"/>
      <c r="L409" s="55"/>
      <c r="M409" s="60"/>
      <c r="N409" s="60"/>
      <c r="O409" s="55"/>
      <c r="P409" s="161"/>
      <c r="Q409" s="160" t="str">
        <f>IF(enrollment_table[[#This Row],[Enrollment Date]]="","",TEXT(enrollment_table[[#This Row],[Enrollment Date]],"mmmm"))</f>
        <v/>
      </c>
      <c r="R409" s="60"/>
    </row>
    <row r="410" spans="1:18" ht="15" x14ac:dyDescent="0.3">
      <c r="A410" s="129"/>
      <c r="B410" s="60"/>
      <c r="C410" s="55"/>
      <c r="D410" s="60"/>
      <c r="E410" s="103">
        <f>_xlfn.XLOOKUP(enrollment_table[[#This Row],[*Subject]], classes_table[*Subject], classes_table[Fee])</f>
        <v>0</v>
      </c>
      <c r="F410" s="58"/>
      <c r="G410" s="60"/>
      <c r="H410" s="55"/>
      <c r="I410" s="176">
        <f>_xlfn.XLOOKUP(enrollment_table[[#This Row],[*Teacher Name]], teachers_table[*Teacher Name], teachers_table[*Teacher ID])</f>
        <v>0</v>
      </c>
      <c r="J410" s="60"/>
      <c r="K410" s="60"/>
      <c r="L410" s="55"/>
      <c r="M410" s="60"/>
      <c r="N410" s="60"/>
      <c r="O410" s="55"/>
      <c r="P410" s="161"/>
      <c r="Q410" s="160" t="str">
        <f>IF(enrollment_table[[#This Row],[Enrollment Date]]="","",TEXT(enrollment_table[[#This Row],[Enrollment Date]],"mmmm"))</f>
        <v/>
      </c>
      <c r="R410" s="60"/>
    </row>
    <row r="411" spans="1:18" ht="15" x14ac:dyDescent="0.3">
      <c r="A411" s="129"/>
      <c r="B411" s="60"/>
      <c r="C411" s="55"/>
      <c r="D411" s="60"/>
      <c r="E411" s="103">
        <f>_xlfn.XLOOKUP(enrollment_table[[#This Row],[*Subject]], classes_table[*Subject], classes_table[Fee])</f>
        <v>0</v>
      </c>
      <c r="F411" s="58"/>
      <c r="G411" s="60"/>
      <c r="H411" s="55"/>
      <c r="I411" s="176">
        <f>_xlfn.XLOOKUP(enrollment_table[[#This Row],[*Teacher Name]], teachers_table[*Teacher Name], teachers_table[*Teacher ID])</f>
        <v>0</v>
      </c>
      <c r="J411" s="60"/>
      <c r="K411" s="60"/>
      <c r="L411" s="55"/>
      <c r="M411" s="60"/>
      <c r="N411" s="60"/>
      <c r="O411" s="55"/>
      <c r="P411" s="161"/>
      <c r="Q411" s="160" t="str">
        <f>IF(enrollment_table[[#This Row],[Enrollment Date]]="","",TEXT(enrollment_table[[#This Row],[Enrollment Date]],"mmmm"))</f>
        <v/>
      </c>
      <c r="R411" s="60"/>
    </row>
    <row r="412" spans="1:18" ht="15" x14ac:dyDescent="0.3">
      <c r="A412" s="129"/>
      <c r="B412" s="60"/>
      <c r="C412" s="55"/>
      <c r="D412" s="60"/>
      <c r="E412" s="103">
        <f>_xlfn.XLOOKUP(enrollment_table[[#This Row],[*Subject]], classes_table[*Subject], classes_table[Fee])</f>
        <v>0</v>
      </c>
      <c r="F412" s="58"/>
      <c r="G412" s="60"/>
      <c r="H412" s="55"/>
      <c r="I412" s="176">
        <f>_xlfn.XLOOKUP(enrollment_table[[#This Row],[*Teacher Name]], teachers_table[*Teacher Name], teachers_table[*Teacher ID])</f>
        <v>0</v>
      </c>
      <c r="J412" s="60"/>
      <c r="K412" s="60"/>
      <c r="L412" s="55"/>
      <c r="M412" s="60"/>
      <c r="N412" s="60"/>
      <c r="O412" s="55"/>
      <c r="P412" s="161"/>
      <c r="Q412" s="160" t="str">
        <f>IF(enrollment_table[[#This Row],[Enrollment Date]]="","",TEXT(enrollment_table[[#This Row],[Enrollment Date]],"mmmm"))</f>
        <v/>
      </c>
      <c r="R412" s="60"/>
    </row>
    <row r="413" spans="1:18" ht="15" x14ac:dyDescent="0.3">
      <c r="A413" s="129"/>
      <c r="B413" s="60"/>
      <c r="C413" s="55"/>
      <c r="D413" s="60"/>
      <c r="E413" s="103">
        <f>_xlfn.XLOOKUP(enrollment_table[[#This Row],[*Subject]], classes_table[*Subject], classes_table[Fee])</f>
        <v>0</v>
      </c>
      <c r="F413" s="58"/>
      <c r="G413" s="60"/>
      <c r="H413" s="55"/>
      <c r="I413" s="176">
        <f>_xlfn.XLOOKUP(enrollment_table[[#This Row],[*Teacher Name]], teachers_table[*Teacher Name], teachers_table[*Teacher ID])</f>
        <v>0</v>
      </c>
      <c r="J413" s="60"/>
      <c r="K413" s="60"/>
      <c r="L413" s="55"/>
      <c r="M413" s="60"/>
      <c r="N413" s="60"/>
      <c r="O413" s="55"/>
      <c r="P413" s="161"/>
      <c r="Q413" s="160" t="str">
        <f>IF(enrollment_table[[#This Row],[Enrollment Date]]="","",TEXT(enrollment_table[[#This Row],[Enrollment Date]],"mmmm"))</f>
        <v/>
      </c>
      <c r="R413" s="60"/>
    </row>
    <row r="414" spans="1:18" ht="15" x14ac:dyDescent="0.3">
      <c r="A414" s="129"/>
      <c r="B414" s="60"/>
      <c r="C414" s="55"/>
      <c r="D414" s="60"/>
      <c r="E414" s="103">
        <f>_xlfn.XLOOKUP(enrollment_table[[#This Row],[*Subject]], classes_table[*Subject], classes_table[Fee])</f>
        <v>0</v>
      </c>
      <c r="F414" s="58"/>
      <c r="G414" s="60"/>
      <c r="H414" s="55"/>
      <c r="I414" s="176">
        <f>_xlfn.XLOOKUP(enrollment_table[[#This Row],[*Teacher Name]], teachers_table[*Teacher Name], teachers_table[*Teacher ID])</f>
        <v>0</v>
      </c>
      <c r="J414" s="60"/>
      <c r="K414" s="60"/>
      <c r="L414" s="55"/>
      <c r="M414" s="60"/>
      <c r="N414" s="60"/>
      <c r="O414" s="55"/>
      <c r="P414" s="161"/>
      <c r="Q414" s="160" t="str">
        <f>IF(enrollment_table[[#This Row],[Enrollment Date]]="","",TEXT(enrollment_table[[#This Row],[Enrollment Date]],"mmmm"))</f>
        <v/>
      </c>
      <c r="R414" s="60"/>
    </row>
    <row r="415" spans="1:18" ht="15" x14ac:dyDescent="0.3">
      <c r="A415" s="129"/>
      <c r="B415" s="60"/>
      <c r="C415" s="55"/>
      <c r="D415" s="60"/>
      <c r="E415" s="103">
        <f>_xlfn.XLOOKUP(enrollment_table[[#This Row],[*Subject]], classes_table[*Subject], classes_table[Fee])</f>
        <v>0</v>
      </c>
      <c r="F415" s="58"/>
      <c r="G415" s="60"/>
      <c r="H415" s="55"/>
      <c r="I415" s="176">
        <f>_xlfn.XLOOKUP(enrollment_table[[#This Row],[*Teacher Name]], teachers_table[*Teacher Name], teachers_table[*Teacher ID])</f>
        <v>0</v>
      </c>
      <c r="J415" s="60"/>
      <c r="K415" s="60"/>
      <c r="L415" s="55"/>
      <c r="M415" s="60"/>
      <c r="N415" s="60"/>
      <c r="O415" s="55"/>
      <c r="P415" s="161"/>
      <c r="Q415" s="160" t="str">
        <f>IF(enrollment_table[[#This Row],[Enrollment Date]]="","",TEXT(enrollment_table[[#This Row],[Enrollment Date]],"mmmm"))</f>
        <v/>
      </c>
      <c r="R415" s="60"/>
    </row>
    <row r="416" spans="1:18" ht="15" x14ac:dyDescent="0.3">
      <c r="A416" s="129"/>
      <c r="B416" s="60"/>
      <c r="C416" s="55"/>
      <c r="D416" s="60"/>
      <c r="E416" s="103">
        <f>_xlfn.XLOOKUP(enrollment_table[[#This Row],[*Subject]], classes_table[*Subject], classes_table[Fee])</f>
        <v>0</v>
      </c>
      <c r="F416" s="58"/>
      <c r="G416" s="60"/>
      <c r="H416" s="55"/>
      <c r="I416" s="176">
        <f>_xlfn.XLOOKUP(enrollment_table[[#This Row],[*Teacher Name]], teachers_table[*Teacher Name], teachers_table[*Teacher ID])</f>
        <v>0</v>
      </c>
      <c r="J416" s="60"/>
      <c r="K416" s="60"/>
      <c r="L416" s="55"/>
      <c r="M416" s="60"/>
      <c r="N416" s="60"/>
      <c r="O416" s="55"/>
      <c r="P416" s="161"/>
      <c r="Q416" s="160" t="str">
        <f>IF(enrollment_table[[#This Row],[Enrollment Date]]="","",TEXT(enrollment_table[[#This Row],[Enrollment Date]],"mmmm"))</f>
        <v/>
      </c>
      <c r="R416" s="60"/>
    </row>
    <row r="417" spans="1:18" ht="15" x14ac:dyDescent="0.3">
      <c r="A417" s="129"/>
      <c r="B417" s="60"/>
      <c r="C417" s="55"/>
      <c r="D417" s="60"/>
      <c r="E417" s="103">
        <f>_xlfn.XLOOKUP(enrollment_table[[#This Row],[*Subject]], classes_table[*Subject], classes_table[Fee])</f>
        <v>0</v>
      </c>
      <c r="F417" s="58"/>
      <c r="G417" s="60"/>
      <c r="H417" s="55"/>
      <c r="I417" s="176">
        <f>_xlfn.XLOOKUP(enrollment_table[[#This Row],[*Teacher Name]], teachers_table[*Teacher Name], teachers_table[*Teacher ID])</f>
        <v>0</v>
      </c>
      <c r="J417" s="60"/>
      <c r="K417" s="60"/>
      <c r="L417" s="55"/>
      <c r="M417" s="60"/>
      <c r="N417" s="60"/>
      <c r="O417" s="55"/>
      <c r="P417" s="161"/>
      <c r="Q417" s="160" t="str">
        <f>IF(enrollment_table[[#This Row],[Enrollment Date]]="","",TEXT(enrollment_table[[#This Row],[Enrollment Date]],"mmmm"))</f>
        <v/>
      </c>
      <c r="R417" s="60"/>
    </row>
    <row r="418" spans="1:18" ht="15" x14ac:dyDescent="0.3">
      <c r="A418" s="129"/>
      <c r="B418" s="60"/>
      <c r="C418" s="55"/>
      <c r="D418" s="60"/>
      <c r="E418" s="103">
        <f>_xlfn.XLOOKUP(enrollment_table[[#This Row],[*Subject]], classes_table[*Subject], classes_table[Fee])</f>
        <v>0</v>
      </c>
      <c r="F418" s="58"/>
      <c r="G418" s="60"/>
      <c r="H418" s="55"/>
      <c r="I418" s="176">
        <f>_xlfn.XLOOKUP(enrollment_table[[#This Row],[*Teacher Name]], teachers_table[*Teacher Name], teachers_table[*Teacher ID])</f>
        <v>0</v>
      </c>
      <c r="J418" s="60"/>
      <c r="K418" s="60"/>
      <c r="L418" s="55"/>
      <c r="M418" s="60"/>
      <c r="N418" s="60"/>
      <c r="O418" s="55"/>
      <c r="P418" s="161"/>
      <c r="Q418" s="160" t="str">
        <f>IF(enrollment_table[[#This Row],[Enrollment Date]]="","",TEXT(enrollment_table[[#This Row],[Enrollment Date]],"mmmm"))</f>
        <v/>
      </c>
      <c r="R418" s="60"/>
    </row>
    <row r="419" spans="1:18" ht="15" x14ac:dyDescent="0.3">
      <c r="A419" s="129"/>
      <c r="B419" s="60"/>
      <c r="C419" s="55"/>
      <c r="D419" s="60"/>
      <c r="E419" s="103">
        <f>_xlfn.XLOOKUP(enrollment_table[[#This Row],[*Subject]], classes_table[*Subject], classes_table[Fee])</f>
        <v>0</v>
      </c>
      <c r="F419" s="58"/>
      <c r="G419" s="60"/>
      <c r="H419" s="55"/>
      <c r="I419" s="176">
        <f>_xlfn.XLOOKUP(enrollment_table[[#This Row],[*Teacher Name]], teachers_table[*Teacher Name], teachers_table[*Teacher ID])</f>
        <v>0</v>
      </c>
      <c r="J419" s="60"/>
      <c r="K419" s="60"/>
      <c r="L419" s="55"/>
      <c r="M419" s="60"/>
      <c r="N419" s="60"/>
      <c r="O419" s="55"/>
      <c r="P419" s="161"/>
      <c r="Q419" s="160" t="str">
        <f>IF(enrollment_table[[#This Row],[Enrollment Date]]="","",TEXT(enrollment_table[[#This Row],[Enrollment Date]],"mmmm"))</f>
        <v/>
      </c>
      <c r="R419" s="60"/>
    </row>
    <row r="420" spans="1:18" ht="15" x14ac:dyDescent="0.3">
      <c r="A420" s="129"/>
      <c r="B420" s="60"/>
      <c r="C420" s="55"/>
      <c r="D420" s="60"/>
      <c r="E420" s="103">
        <f>_xlfn.XLOOKUP(enrollment_table[[#This Row],[*Subject]], classes_table[*Subject], classes_table[Fee])</f>
        <v>0</v>
      </c>
      <c r="F420" s="58"/>
      <c r="G420" s="60"/>
      <c r="H420" s="55"/>
      <c r="I420" s="176">
        <f>_xlfn.XLOOKUP(enrollment_table[[#This Row],[*Teacher Name]], teachers_table[*Teacher Name], teachers_table[*Teacher ID])</f>
        <v>0</v>
      </c>
      <c r="J420" s="60"/>
      <c r="K420" s="60"/>
      <c r="L420" s="55"/>
      <c r="M420" s="60"/>
      <c r="N420" s="60"/>
      <c r="O420" s="55"/>
      <c r="P420" s="161"/>
      <c r="Q420" s="160" t="str">
        <f>IF(enrollment_table[[#This Row],[Enrollment Date]]="","",TEXT(enrollment_table[[#This Row],[Enrollment Date]],"mmmm"))</f>
        <v/>
      </c>
      <c r="R420" s="60"/>
    </row>
    <row r="421" spans="1:18" ht="15" x14ac:dyDescent="0.3">
      <c r="A421" s="129"/>
      <c r="B421" s="60"/>
      <c r="C421" s="55"/>
      <c r="D421" s="60"/>
      <c r="E421" s="103">
        <f>_xlfn.XLOOKUP(enrollment_table[[#This Row],[*Subject]], classes_table[*Subject], classes_table[Fee])</f>
        <v>0</v>
      </c>
      <c r="F421" s="58"/>
      <c r="G421" s="60"/>
      <c r="H421" s="55"/>
      <c r="I421" s="176">
        <f>_xlfn.XLOOKUP(enrollment_table[[#This Row],[*Teacher Name]], teachers_table[*Teacher Name], teachers_table[*Teacher ID])</f>
        <v>0</v>
      </c>
      <c r="J421" s="60"/>
      <c r="K421" s="60"/>
      <c r="L421" s="55"/>
      <c r="M421" s="60"/>
      <c r="N421" s="60"/>
      <c r="O421" s="55"/>
      <c r="P421" s="161"/>
      <c r="Q421" s="160" t="str">
        <f>IF(enrollment_table[[#This Row],[Enrollment Date]]="","",TEXT(enrollment_table[[#This Row],[Enrollment Date]],"mmmm"))</f>
        <v/>
      </c>
      <c r="R421" s="60"/>
    </row>
    <row r="422" spans="1:18" ht="15" x14ac:dyDescent="0.3">
      <c r="A422" s="129"/>
      <c r="B422" s="60"/>
      <c r="C422" s="55"/>
      <c r="D422" s="60"/>
      <c r="E422" s="103">
        <f>_xlfn.XLOOKUP(enrollment_table[[#This Row],[*Subject]], classes_table[*Subject], classes_table[Fee])</f>
        <v>0</v>
      </c>
      <c r="F422" s="58"/>
      <c r="G422" s="60"/>
      <c r="H422" s="55"/>
      <c r="I422" s="176">
        <f>_xlfn.XLOOKUP(enrollment_table[[#This Row],[*Teacher Name]], teachers_table[*Teacher Name], teachers_table[*Teacher ID])</f>
        <v>0</v>
      </c>
      <c r="J422" s="60"/>
      <c r="K422" s="60"/>
      <c r="L422" s="55"/>
      <c r="M422" s="60"/>
      <c r="N422" s="60"/>
      <c r="O422" s="55"/>
      <c r="P422" s="161"/>
      <c r="Q422" s="160" t="str">
        <f>IF(enrollment_table[[#This Row],[Enrollment Date]]="","",TEXT(enrollment_table[[#This Row],[Enrollment Date]],"mmmm"))</f>
        <v/>
      </c>
      <c r="R422" s="60"/>
    </row>
    <row r="423" spans="1:18" ht="15" x14ac:dyDescent="0.3">
      <c r="A423" s="129"/>
      <c r="B423" s="60"/>
      <c r="C423" s="55"/>
      <c r="D423" s="60"/>
      <c r="E423" s="103">
        <f>_xlfn.XLOOKUP(enrollment_table[[#This Row],[*Subject]], classes_table[*Subject], classes_table[Fee])</f>
        <v>0</v>
      </c>
      <c r="F423" s="58"/>
      <c r="G423" s="60"/>
      <c r="H423" s="55"/>
      <c r="I423" s="176">
        <f>_xlfn.XLOOKUP(enrollment_table[[#This Row],[*Teacher Name]], teachers_table[*Teacher Name], teachers_table[*Teacher ID])</f>
        <v>0</v>
      </c>
      <c r="J423" s="60"/>
      <c r="K423" s="60"/>
      <c r="L423" s="55"/>
      <c r="M423" s="60"/>
      <c r="N423" s="60"/>
      <c r="O423" s="55"/>
      <c r="P423" s="161"/>
      <c r="Q423" s="160" t="str">
        <f>IF(enrollment_table[[#This Row],[Enrollment Date]]="","",TEXT(enrollment_table[[#This Row],[Enrollment Date]],"mmmm"))</f>
        <v/>
      </c>
      <c r="R423" s="60"/>
    </row>
    <row r="424" spans="1:18" ht="15" x14ac:dyDescent="0.3">
      <c r="A424" s="129"/>
      <c r="B424" s="60"/>
      <c r="C424" s="55"/>
      <c r="D424" s="60"/>
      <c r="E424" s="103">
        <f>_xlfn.XLOOKUP(enrollment_table[[#This Row],[*Subject]], classes_table[*Subject], classes_table[Fee])</f>
        <v>0</v>
      </c>
      <c r="F424" s="58"/>
      <c r="G424" s="60"/>
      <c r="H424" s="55"/>
      <c r="I424" s="176">
        <f>_xlfn.XLOOKUP(enrollment_table[[#This Row],[*Teacher Name]], teachers_table[*Teacher Name], teachers_table[*Teacher ID])</f>
        <v>0</v>
      </c>
      <c r="J424" s="60"/>
      <c r="K424" s="60"/>
      <c r="L424" s="55"/>
      <c r="M424" s="60"/>
      <c r="N424" s="60"/>
      <c r="O424" s="55"/>
      <c r="P424" s="161"/>
      <c r="Q424" s="160" t="str">
        <f>IF(enrollment_table[[#This Row],[Enrollment Date]]="","",TEXT(enrollment_table[[#This Row],[Enrollment Date]],"mmmm"))</f>
        <v/>
      </c>
      <c r="R424" s="60"/>
    </row>
    <row r="425" spans="1:18" ht="15" x14ac:dyDescent="0.3">
      <c r="A425" s="129"/>
      <c r="B425" s="60"/>
      <c r="C425" s="55"/>
      <c r="D425" s="60"/>
      <c r="E425" s="103">
        <f>_xlfn.XLOOKUP(enrollment_table[[#This Row],[*Subject]], classes_table[*Subject], classes_table[Fee])</f>
        <v>0</v>
      </c>
      <c r="F425" s="58"/>
      <c r="G425" s="60"/>
      <c r="H425" s="55"/>
      <c r="I425" s="176">
        <f>_xlfn.XLOOKUP(enrollment_table[[#This Row],[*Teacher Name]], teachers_table[*Teacher Name], teachers_table[*Teacher ID])</f>
        <v>0</v>
      </c>
      <c r="J425" s="60"/>
      <c r="K425" s="60"/>
      <c r="L425" s="55"/>
      <c r="M425" s="60"/>
      <c r="N425" s="60"/>
      <c r="O425" s="55"/>
      <c r="P425" s="161"/>
      <c r="Q425" s="160" t="str">
        <f>IF(enrollment_table[[#This Row],[Enrollment Date]]="","",TEXT(enrollment_table[[#This Row],[Enrollment Date]],"mmmm"))</f>
        <v/>
      </c>
      <c r="R425" s="60"/>
    </row>
    <row r="426" spans="1:18" ht="15" x14ac:dyDescent="0.3">
      <c r="A426" s="129"/>
      <c r="B426" s="60"/>
      <c r="C426" s="55"/>
      <c r="D426" s="60"/>
      <c r="E426" s="103">
        <f>_xlfn.XLOOKUP(enrollment_table[[#This Row],[*Subject]], classes_table[*Subject], classes_table[Fee])</f>
        <v>0</v>
      </c>
      <c r="F426" s="58"/>
      <c r="G426" s="60"/>
      <c r="H426" s="55"/>
      <c r="I426" s="176">
        <f>_xlfn.XLOOKUP(enrollment_table[[#This Row],[*Teacher Name]], teachers_table[*Teacher Name], teachers_table[*Teacher ID])</f>
        <v>0</v>
      </c>
      <c r="J426" s="60"/>
      <c r="K426" s="60"/>
      <c r="L426" s="55"/>
      <c r="M426" s="60"/>
      <c r="N426" s="60"/>
      <c r="O426" s="55"/>
      <c r="P426" s="161"/>
      <c r="Q426" s="160" t="str">
        <f>IF(enrollment_table[[#This Row],[Enrollment Date]]="","",TEXT(enrollment_table[[#This Row],[Enrollment Date]],"mmmm"))</f>
        <v/>
      </c>
      <c r="R426" s="60"/>
    </row>
    <row r="427" spans="1:18" ht="15" x14ac:dyDescent="0.3">
      <c r="A427" s="129"/>
      <c r="B427" s="60"/>
      <c r="C427" s="55"/>
      <c r="D427" s="60"/>
      <c r="E427" s="103">
        <f>_xlfn.XLOOKUP(enrollment_table[[#This Row],[*Subject]], classes_table[*Subject], classes_table[Fee])</f>
        <v>0</v>
      </c>
      <c r="F427" s="58"/>
      <c r="G427" s="60"/>
      <c r="H427" s="55"/>
      <c r="I427" s="176">
        <f>_xlfn.XLOOKUP(enrollment_table[[#This Row],[*Teacher Name]], teachers_table[*Teacher Name], teachers_table[*Teacher ID])</f>
        <v>0</v>
      </c>
      <c r="J427" s="60"/>
      <c r="K427" s="60"/>
      <c r="L427" s="55"/>
      <c r="M427" s="60"/>
      <c r="N427" s="60"/>
      <c r="O427" s="55"/>
      <c r="P427" s="161"/>
      <c r="Q427" s="160" t="str">
        <f>IF(enrollment_table[[#This Row],[Enrollment Date]]="","",TEXT(enrollment_table[[#This Row],[Enrollment Date]],"mmmm"))</f>
        <v/>
      </c>
      <c r="R427" s="60"/>
    </row>
    <row r="428" spans="1:18" ht="15" x14ac:dyDescent="0.3">
      <c r="A428" s="129"/>
      <c r="B428" s="60"/>
      <c r="C428" s="55"/>
      <c r="D428" s="60"/>
      <c r="E428" s="103">
        <f>_xlfn.XLOOKUP(enrollment_table[[#This Row],[*Subject]], classes_table[*Subject], classes_table[Fee])</f>
        <v>0</v>
      </c>
      <c r="F428" s="58"/>
      <c r="G428" s="60"/>
      <c r="H428" s="55"/>
      <c r="I428" s="176">
        <f>_xlfn.XLOOKUP(enrollment_table[[#This Row],[*Teacher Name]], teachers_table[*Teacher Name], teachers_table[*Teacher ID])</f>
        <v>0</v>
      </c>
      <c r="J428" s="60"/>
      <c r="K428" s="60"/>
      <c r="L428" s="55"/>
      <c r="M428" s="60"/>
      <c r="N428" s="60"/>
      <c r="O428" s="55"/>
      <c r="P428" s="161"/>
      <c r="Q428" s="160" t="str">
        <f>IF(enrollment_table[[#This Row],[Enrollment Date]]="","",TEXT(enrollment_table[[#This Row],[Enrollment Date]],"mmmm"))</f>
        <v/>
      </c>
      <c r="R428" s="60"/>
    </row>
    <row r="429" spans="1:18" ht="15" x14ac:dyDescent="0.3">
      <c r="A429" s="129"/>
      <c r="B429" s="60"/>
      <c r="C429" s="55"/>
      <c r="D429" s="60"/>
      <c r="E429" s="103">
        <f>_xlfn.XLOOKUP(enrollment_table[[#This Row],[*Subject]], classes_table[*Subject], classes_table[Fee])</f>
        <v>0</v>
      </c>
      <c r="F429" s="58"/>
      <c r="G429" s="60"/>
      <c r="H429" s="55"/>
      <c r="I429" s="176">
        <f>_xlfn.XLOOKUP(enrollment_table[[#This Row],[*Teacher Name]], teachers_table[*Teacher Name], teachers_table[*Teacher ID])</f>
        <v>0</v>
      </c>
      <c r="J429" s="60"/>
      <c r="K429" s="60"/>
      <c r="L429" s="55"/>
      <c r="M429" s="60"/>
      <c r="N429" s="60"/>
      <c r="O429" s="55"/>
      <c r="P429" s="161"/>
      <c r="Q429" s="160" t="str">
        <f>IF(enrollment_table[[#This Row],[Enrollment Date]]="","",TEXT(enrollment_table[[#This Row],[Enrollment Date]],"mmmm"))</f>
        <v/>
      </c>
      <c r="R429" s="60"/>
    </row>
    <row r="430" spans="1:18" ht="15" x14ac:dyDescent="0.3">
      <c r="A430" s="129"/>
      <c r="B430" s="60"/>
      <c r="C430" s="55"/>
      <c r="D430" s="60"/>
      <c r="E430" s="103">
        <f>_xlfn.XLOOKUP(enrollment_table[[#This Row],[*Subject]], classes_table[*Subject], classes_table[Fee])</f>
        <v>0</v>
      </c>
      <c r="F430" s="58"/>
      <c r="G430" s="60"/>
      <c r="H430" s="55"/>
      <c r="I430" s="176">
        <f>_xlfn.XLOOKUP(enrollment_table[[#This Row],[*Teacher Name]], teachers_table[*Teacher Name], teachers_table[*Teacher ID])</f>
        <v>0</v>
      </c>
      <c r="J430" s="60"/>
      <c r="K430" s="60"/>
      <c r="L430" s="55"/>
      <c r="M430" s="60"/>
      <c r="N430" s="60"/>
      <c r="O430" s="55"/>
      <c r="P430" s="161"/>
      <c r="Q430" s="160" t="str">
        <f>IF(enrollment_table[[#This Row],[Enrollment Date]]="","",TEXT(enrollment_table[[#This Row],[Enrollment Date]],"mmmm"))</f>
        <v/>
      </c>
      <c r="R430" s="60"/>
    </row>
    <row r="431" spans="1:18" ht="15" x14ac:dyDescent="0.3">
      <c r="A431" s="129"/>
      <c r="B431" s="60"/>
      <c r="C431" s="55"/>
      <c r="D431" s="60"/>
      <c r="E431" s="103">
        <f>_xlfn.XLOOKUP(enrollment_table[[#This Row],[*Subject]], classes_table[*Subject], classes_table[Fee])</f>
        <v>0</v>
      </c>
      <c r="F431" s="58"/>
      <c r="G431" s="60"/>
      <c r="H431" s="55"/>
      <c r="I431" s="176">
        <f>_xlfn.XLOOKUP(enrollment_table[[#This Row],[*Teacher Name]], teachers_table[*Teacher Name], teachers_table[*Teacher ID])</f>
        <v>0</v>
      </c>
      <c r="J431" s="60"/>
      <c r="K431" s="60"/>
      <c r="L431" s="55"/>
      <c r="M431" s="60"/>
      <c r="N431" s="60"/>
      <c r="O431" s="55"/>
      <c r="P431" s="161"/>
      <c r="Q431" s="160" t="str">
        <f>IF(enrollment_table[[#This Row],[Enrollment Date]]="","",TEXT(enrollment_table[[#This Row],[Enrollment Date]],"mmmm"))</f>
        <v/>
      </c>
      <c r="R431" s="60"/>
    </row>
    <row r="432" spans="1:18" ht="15" x14ac:dyDescent="0.3">
      <c r="A432" s="129"/>
      <c r="B432" s="60"/>
      <c r="C432" s="55"/>
      <c r="D432" s="60"/>
      <c r="E432" s="103">
        <f>_xlfn.XLOOKUP(enrollment_table[[#This Row],[*Subject]], classes_table[*Subject], classes_table[Fee])</f>
        <v>0</v>
      </c>
      <c r="F432" s="58"/>
      <c r="G432" s="60"/>
      <c r="H432" s="55"/>
      <c r="I432" s="176">
        <f>_xlfn.XLOOKUP(enrollment_table[[#This Row],[*Teacher Name]], teachers_table[*Teacher Name], teachers_table[*Teacher ID])</f>
        <v>0</v>
      </c>
      <c r="J432" s="60"/>
      <c r="K432" s="60"/>
      <c r="L432" s="55"/>
      <c r="M432" s="60"/>
      <c r="N432" s="60"/>
      <c r="O432" s="55"/>
      <c r="P432" s="161"/>
      <c r="Q432" s="160" t="str">
        <f>IF(enrollment_table[[#This Row],[Enrollment Date]]="","",TEXT(enrollment_table[[#This Row],[Enrollment Date]],"mmmm"))</f>
        <v/>
      </c>
      <c r="R432" s="60"/>
    </row>
    <row r="433" spans="1:18" ht="15" x14ac:dyDescent="0.3">
      <c r="A433" s="129"/>
      <c r="B433" s="60"/>
      <c r="C433" s="55"/>
      <c r="D433" s="60"/>
      <c r="E433" s="103">
        <f>_xlfn.XLOOKUP(enrollment_table[[#This Row],[*Subject]], classes_table[*Subject], classes_table[Fee])</f>
        <v>0</v>
      </c>
      <c r="F433" s="58"/>
      <c r="G433" s="60"/>
      <c r="H433" s="55"/>
      <c r="I433" s="176">
        <f>_xlfn.XLOOKUP(enrollment_table[[#This Row],[*Teacher Name]], teachers_table[*Teacher Name], teachers_table[*Teacher ID])</f>
        <v>0</v>
      </c>
      <c r="J433" s="60"/>
      <c r="K433" s="60"/>
      <c r="L433" s="55"/>
      <c r="M433" s="60"/>
      <c r="N433" s="60"/>
      <c r="O433" s="55"/>
      <c r="P433" s="161"/>
      <c r="Q433" s="160" t="str">
        <f>IF(enrollment_table[[#This Row],[Enrollment Date]]="","",TEXT(enrollment_table[[#This Row],[Enrollment Date]],"mmmm"))</f>
        <v/>
      </c>
      <c r="R433" s="60"/>
    </row>
    <row r="434" spans="1:18" ht="15" x14ac:dyDescent="0.3">
      <c r="A434" s="129"/>
      <c r="B434" s="60"/>
      <c r="C434" s="55"/>
      <c r="D434" s="60"/>
      <c r="E434" s="103">
        <f>_xlfn.XLOOKUP(enrollment_table[[#This Row],[*Subject]], classes_table[*Subject], classes_table[Fee])</f>
        <v>0</v>
      </c>
      <c r="F434" s="58"/>
      <c r="G434" s="60"/>
      <c r="H434" s="55"/>
      <c r="I434" s="176">
        <f>_xlfn.XLOOKUP(enrollment_table[[#This Row],[*Teacher Name]], teachers_table[*Teacher Name], teachers_table[*Teacher ID])</f>
        <v>0</v>
      </c>
      <c r="J434" s="60"/>
      <c r="K434" s="60"/>
      <c r="L434" s="55"/>
      <c r="M434" s="60"/>
      <c r="N434" s="60"/>
      <c r="O434" s="55"/>
      <c r="P434" s="161"/>
      <c r="Q434" s="160" t="str">
        <f>IF(enrollment_table[[#This Row],[Enrollment Date]]="","",TEXT(enrollment_table[[#This Row],[Enrollment Date]],"mmmm"))</f>
        <v/>
      </c>
      <c r="R434" s="60"/>
    </row>
    <row r="435" spans="1:18" ht="15" x14ac:dyDescent="0.3">
      <c r="A435" s="129"/>
      <c r="B435" s="60"/>
      <c r="C435" s="55"/>
      <c r="D435" s="60"/>
      <c r="E435" s="103">
        <f>_xlfn.XLOOKUP(enrollment_table[[#This Row],[*Subject]], classes_table[*Subject], classes_table[Fee])</f>
        <v>0</v>
      </c>
      <c r="F435" s="58"/>
      <c r="G435" s="60"/>
      <c r="H435" s="55"/>
      <c r="I435" s="176">
        <f>_xlfn.XLOOKUP(enrollment_table[[#This Row],[*Teacher Name]], teachers_table[*Teacher Name], teachers_table[*Teacher ID])</f>
        <v>0</v>
      </c>
      <c r="J435" s="60"/>
      <c r="K435" s="60"/>
      <c r="L435" s="55"/>
      <c r="M435" s="60"/>
      <c r="N435" s="60"/>
      <c r="O435" s="55"/>
      <c r="P435" s="161"/>
      <c r="Q435" s="160" t="str">
        <f>IF(enrollment_table[[#This Row],[Enrollment Date]]="","",TEXT(enrollment_table[[#This Row],[Enrollment Date]],"mmmm"))</f>
        <v/>
      </c>
      <c r="R435" s="60"/>
    </row>
    <row r="436" spans="1:18" ht="15" x14ac:dyDescent="0.3">
      <c r="A436" s="129"/>
      <c r="B436" s="60"/>
      <c r="C436" s="55"/>
      <c r="D436" s="60"/>
      <c r="E436" s="103">
        <f>_xlfn.XLOOKUP(enrollment_table[[#This Row],[*Subject]], classes_table[*Subject], classes_table[Fee])</f>
        <v>0</v>
      </c>
      <c r="F436" s="58"/>
      <c r="G436" s="60"/>
      <c r="H436" s="55"/>
      <c r="I436" s="176">
        <f>_xlfn.XLOOKUP(enrollment_table[[#This Row],[*Teacher Name]], teachers_table[*Teacher Name], teachers_table[*Teacher ID])</f>
        <v>0</v>
      </c>
      <c r="J436" s="60"/>
      <c r="K436" s="60"/>
      <c r="L436" s="55"/>
      <c r="M436" s="60"/>
      <c r="N436" s="60"/>
      <c r="O436" s="55"/>
      <c r="P436" s="161"/>
      <c r="Q436" s="160" t="str">
        <f>IF(enrollment_table[[#This Row],[Enrollment Date]]="","",TEXT(enrollment_table[[#This Row],[Enrollment Date]],"mmmm"))</f>
        <v/>
      </c>
      <c r="R436" s="60"/>
    </row>
    <row r="437" spans="1:18" ht="15" x14ac:dyDescent="0.3">
      <c r="A437" s="129"/>
      <c r="B437" s="60"/>
      <c r="C437" s="55"/>
      <c r="D437" s="60"/>
      <c r="E437" s="103">
        <f>_xlfn.XLOOKUP(enrollment_table[[#This Row],[*Subject]], classes_table[*Subject], classes_table[Fee])</f>
        <v>0</v>
      </c>
      <c r="F437" s="58"/>
      <c r="G437" s="60"/>
      <c r="H437" s="55"/>
      <c r="I437" s="176">
        <f>_xlfn.XLOOKUP(enrollment_table[[#This Row],[*Teacher Name]], teachers_table[*Teacher Name], teachers_table[*Teacher ID])</f>
        <v>0</v>
      </c>
      <c r="J437" s="60"/>
      <c r="K437" s="60"/>
      <c r="L437" s="55"/>
      <c r="M437" s="60"/>
      <c r="N437" s="60"/>
      <c r="O437" s="55"/>
      <c r="P437" s="161"/>
      <c r="Q437" s="160" t="str">
        <f>IF(enrollment_table[[#This Row],[Enrollment Date]]="","",TEXT(enrollment_table[[#This Row],[Enrollment Date]],"mmmm"))</f>
        <v/>
      </c>
      <c r="R437" s="60"/>
    </row>
    <row r="438" spans="1:18" ht="15" x14ac:dyDescent="0.3">
      <c r="A438" s="129"/>
      <c r="B438" s="60"/>
      <c r="C438" s="55"/>
      <c r="D438" s="60"/>
      <c r="E438" s="103">
        <f>_xlfn.XLOOKUP(enrollment_table[[#This Row],[*Subject]], classes_table[*Subject], classes_table[Fee])</f>
        <v>0</v>
      </c>
      <c r="F438" s="58"/>
      <c r="G438" s="60"/>
      <c r="H438" s="55"/>
      <c r="I438" s="176">
        <f>_xlfn.XLOOKUP(enrollment_table[[#This Row],[*Teacher Name]], teachers_table[*Teacher Name], teachers_table[*Teacher ID])</f>
        <v>0</v>
      </c>
      <c r="J438" s="60"/>
      <c r="K438" s="60"/>
      <c r="L438" s="55"/>
      <c r="M438" s="60"/>
      <c r="N438" s="60"/>
      <c r="O438" s="55"/>
      <c r="P438" s="161"/>
      <c r="Q438" s="160" t="str">
        <f>IF(enrollment_table[[#This Row],[Enrollment Date]]="","",TEXT(enrollment_table[[#This Row],[Enrollment Date]],"mmmm"))</f>
        <v/>
      </c>
      <c r="R438" s="60"/>
    </row>
    <row r="439" spans="1:18" ht="15" x14ac:dyDescent="0.3">
      <c r="A439" s="129"/>
      <c r="B439" s="60"/>
      <c r="C439" s="55"/>
      <c r="D439" s="60"/>
      <c r="E439" s="103">
        <f>_xlfn.XLOOKUP(enrollment_table[[#This Row],[*Subject]], classes_table[*Subject], classes_table[Fee])</f>
        <v>0</v>
      </c>
      <c r="F439" s="58"/>
      <c r="G439" s="60"/>
      <c r="H439" s="55"/>
      <c r="I439" s="176">
        <f>_xlfn.XLOOKUP(enrollment_table[[#This Row],[*Teacher Name]], teachers_table[*Teacher Name], teachers_table[*Teacher ID])</f>
        <v>0</v>
      </c>
      <c r="J439" s="60"/>
      <c r="K439" s="60"/>
      <c r="L439" s="55"/>
      <c r="M439" s="60"/>
      <c r="N439" s="60"/>
      <c r="O439" s="55"/>
      <c r="P439" s="161"/>
      <c r="Q439" s="160" t="str">
        <f>IF(enrollment_table[[#This Row],[Enrollment Date]]="","",TEXT(enrollment_table[[#This Row],[Enrollment Date]],"mmmm"))</f>
        <v/>
      </c>
      <c r="R439" s="60"/>
    </row>
    <row r="440" spans="1:18" ht="15" x14ac:dyDescent="0.3">
      <c r="A440" s="129"/>
      <c r="B440" s="60"/>
      <c r="C440" s="55"/>
      <c r="D440" s="60"/>
      <c r="E440" s="103">
        <f>_xlfn.XLOOKUP(enrollment_table[[#This Row],[*Subject]], classes_table[*Subject], classes_table[Fee])</f>
        <v>0</v>
      </c>
      <c r="F440" s="58"/>
      <c r="G440" s="60"/>
      <c r="H440" s="55"/>
      <c r="I440" s="176">
        <f>_xlfn.XLOOKUP(enrollment_table[[#This Row],[*Teacher Name]], teachers_table[*Teacher Name], teachers_table[*Teacher ID])</f>
        <v>0</v>
      </c>
      <c r="J440" s="60"/>
      <c r="K440" s="60"/>
      <c r="L440" s="55"/>
      <c r="M440" s="60"/>
      <c r="N440" s="60"/>
      <c r="O440" s="55"/>
      <c r="P440" s="161"/>
      <c r="Q440" s="160" t="str">
        <f>IF(enrollment_table[[#This Row],[Enrollment Date]]="","",TEXT(enrollment_table[[#This Row],[Enrollment Date]],"mmmm"))</f>
        <v/>
      </c>
      <c r="R440" s="60"/>
    </row>
    <row r="441" spans="1:18" ht="15" x14ac:dyDescent="0.3">
      <c r="A441" s="129"/>
      <c r="B441" s="60"/>
      <c r="C441" s="55"/>
      <c r="D441" s="60"/>
      <c r="E441" s="103">
        <f>_xlfn.XLOOKUP(enrollment_table[[#This Row],[*Subject]], classes_table[*Subject], classes_table[Fee])</f>
        <v>0</v>
      </c>
      <c r="F441" s="58"/>
      <c r="G441" s="60"/>
      <c r="H441" s="55"/>
      <c r="I441" s="176">
        <f>_xlfn.XLOOKUP(enrollment_table[[#This Row],[*Teacher Name]], teachers_table[*Teacher Name], teachers_table[*Teacher ID])</f>
        <v>0</v>
      </c>
      <c r="J441" s="60"/>
      <c r="K441" s="60"/>
      <c r="L441" s="55"/>
      <c r="M441" s="60"/>
      <c r="N441" s="60"/>
      <c r="O441" s="55"/>
      <c r="P441" s="161"/>
      <c r="Q441" s="160" t="str">
        <f>IF(enrollment_table[[#This Row],[Enrollment Date]]="","",TEXT(enrollment_table[[#This Row],[Enrollment Date]],"mmmm"))</f>
        <v/>
      </c>
      <c r="R441" s="60"/>
    </row>
    <row r="442" spans="1:18" ht="15" x14ac:dyDescent="0.3">
      <c r="A442" s="129"/>
      <c r="B442" s="60"/>
      <c r="C442" s="55"/>
      <c r="D442" s="60"/>
      <c r="E442" s="103">
        <f>_xlfn.XLOOKUP(enrollment_table[[#This Row],[*Subject]], classes_table[*Subject], classes_table[Fee])</f>
        <v>0</v>
      </c>
      <c r="F442" s="58"/>
      <c r="G442" s="60"/>
      <c r="H442" s="55"/>
      <c r="I442" s="176">
        <f>_xlfn.XLOOKUP(enrollment_table[[#This Row],[*Teacher Name]], teachers_table[*Teacher Name], teachers_table[*Teacher ID])</f>
        <v>0</v>
      </c>
      <c r="J442" s="60"/>
      <c r="K442" s="60"/>
      <c r="L442" s="55"/>
      <c r="M442" s="60"/>
      <c r="N442" s="60"/>
      <c r="O442" s="55"/>
      <c r="P442" s="161"/>
      <c r="Q442" s="160" t="str">
        <f>IF(enrollment_table[[#This Row],[Enrollment Date]]="","",TEXT(enrollment_table[[#This Row],[Enrollment Date]],"mmmm"))</f>
        <v/>
      </c>
      <c r="R442" s="60"/>
    </row>
    <row r="443" spans="1:18" ht="15" x14ac:dyDescent="0.3">
      <c r="A443" s="129"/>
      <c r="B443" s="60"/>
      <c r="C443" s="55"/>
      <c r="D443" s="60"/>
      <c r="E443" s="103">
        <f>_xlfn.XLOOKUP(enrollment_table[[#This Row],[*Subject]], classes_table[*Subject], classes_table[Fee])</f>
        <v>0</v>
      </c>
      <c r="F443" s="58"/>
      <c r="G443" s="60"/>
      <c r="H443" s="55"/>
      <c r="I443" s="176">
        <f>_xlfn.XLOOKUP(enrollment_table[[#This Row],[*Teacher Name]], teachers_table[*Teacher Name], teachers_table[*Teacher ID])</f>
        <v>0</v>
      </c>
      <c r="J443" s="60"/>
      <c r="K443" s="60"/>
      <c r="L443" s="55"/>
      <c r="M443" s="60"/>
      <c r="N443" s="60"/>
      <c r="O443" s="55"/>
      <c r="P443" s="161"/>
      <c r="Q443" s="160" t="str">
        <f>IF(enrollment_table[[#This Row],[Enrollment Date]]="","",TEXT(enrollment_table[[#This Row],[Enrollment Date]],"mmmm"))</f>
        <v/>
      </c>
      <c r="R443" s="60"/>
    </row>
    <row r="444" spans="1:18" ht="15" x14ac:dyDescent="0.3">
      <c r="A444" s="129"/>
      <c r="B444" s="60"/>
      <c r="C444" s="55"/>
      <c r="D444" s="60"/>
      <c r="E444" s="103">
        <f>_xlfn.XLOOKUP(enrollment_table[[#This Row],[*Subject]], classes_table[*Subject], classes_table[Fee])</f>
        <v>0</v>
      </c>
      <c r="F444" s="58"/>
      <c r="G444" s="60"/>
      <c r="H444" s="55"/>
      <c r="I444" s="176">
        <f>_xlfn.XLOOKUP(enrollment_table[[#This Row],[*Teacher Name]], teachers_table[*Teacher Name], teachers_table[*Teacher ID])</f>
        <v>0</v>
      </c>
      <c r="J444" s="60"/>
      <c r="K444" s="60"/>
      <c r="L444" s="55"/>
      <c r="M444" s="60"/>
      <c r="N444" s="60"/>
      <c r="O444" s="55"/>
      <c r="P444" s="161"/>
      <c r="Q444" s="160" t="str">
        <f>IF(enrollment_table[[#This Row],[Enrollment Date]]="","",TEXT(enrollment_table[[#This Row],[Enrollment Date]],"mmmm"))</f>
        <v/>
      </c>
      <c r="R444" s="60"/>
    </row>
    <row r="445" spans="1:18" ht="15" x14ac:dyDescent="0.3">
      <c r="A445" s="129"/>
      <c r="B445" s="60"/>
      <c r="C445" s="55"/>
      <c r="D445" s="60"/>
      <c r="E445" s="103">
        <f>_xlfn.XLOOKUP(enrollment_table[[#This Row],[*Subject]], classes_table[*Subject], classes_table[Fee])</f>
        <v>0</v>
      </c>
      <c r="F445" s="58"/>
      <c r="G445" s="60"/>
      <c r="H445" s="55"/>
      <c r="I445" s="176">
        <f>_xlfn.XLOOKUP(enrollment_table[[#This Row],[*Teacher Name]], teachers_table[*Teacher Name], teachers_table[*Teacher ID])</f>
        <v>0</v>
      </c>
      <c r="J445" s="60"/>
      <c r="K445" s="60"/>
      <c r="L445" s="55"/>
      <c r="M445" s="60"/>
      <c r="N445" s="60"/>
      <c r="O445" s="55"/>
      <c r="P445" s="161"/>
      <c r="Q445" s="160" t="str">
        <f>IF(enrollment_table[[#This Row],[Enrollment Date]]="","",TEXT(enrollment_table[[#This Row],[Enrollment Date]],"mmmm"))</f>
        <v/>
      </c>
      <c r="R445" s="60"/>
    </row>
    <row r="446" spans="1:18" ht="15" x14ac:dyDescent="0.3">
      <c r="A446" s="129"/>
      <c r="B446" s="60"/>
      <c r="C446" s="55"/>
      <c r="D446" s="60"/>
      <c r="E446" s="103">
        <f>_xlfn.XLOOKUP(enrollment_table[[#This Row],[*Subject]], classes_table[*Subject], classes_table[Fee])</f>
        <v>0</v>
      </c>
      <c r="F446" s="58"/>
      <c r="G446" s="60"/>
      <c r="H446" s="55"/>
      <c r="I446" s="176">
        <f>_xlfn.XLOOKUP(enrollment_table[[#This Row],[*Teacher Name]], teachers_table[*Teacher Name], teachers_table[*Teacher ID])</f>
        <v>0</v>
      </c>
      <c r="J446" s="60"/>
      <c r="K446" s="60"/>
      <c r="L446" s="55"/>
      <c r="M446" s="60"/>
      <c r="N446" s="60"/>
      <c r="O446" s="55"/>
      <c r="P446" s="161"/>
      <c r="Q446" s="160" t="str">
        <f>IF(enrollment_table[[#This Row],[Enrollment Date]]="","",TEXT(enrollment_table[[#This Row],[Enrollment Date]],"mmmm"))</f>
        <v/>
      </c>
      <c r="R446" s="60"/>
    </row>
    <row r="447" spans="1:18" ht="15" x14ac:dyDescent="0.3">
      <c r="A447" s="129"/>
      <c r="B447" s="60"/>
      <c r="C447" s="55"/>
      <c r="D447" s="60"/>
      <c r="E447" s="103">
        <f>_xlfn.XLOOKUP(enrollment_table[[#This Row],[*Subject]], classes_table[*Subject], classes_table[Fee])</f>
        <v>0</v>
      </c>
      <c r="F447" s="58"/>
      <c r="G447" s="60"/>
      <c r="H447" s="55"/>
      <c r="I447" s="176">
        <f>_xlfn.XLOOKUP(enrollment_table[[#This Row],[*Teacher Name]], teachers_table[*Teacher Name], teachers_table[*Teacher ID])</f>
        <v>0</v>
      </c>
      <c r="J447" s="60"/>
      <c r="K447" s="60"/>
      <c r="L447" s="55"/>
      <c r="M447" s="60"/>
      <c r="N447" s="60"/>
      <c r="O447" s="55"/>
      <c r="P447" s="161"/>
      <c r="Q447" s="160" t="str">
        <f>IF(enrollment_table[[#This Row],[Enrollment Date]]="","",TEXT(enrollment_table[[#This Row],[Enrollment Date]],"mmmm"))</f>
        <v/>
      </c>
      <c r="R447" s="60"/>
    </row>
    <row r="448" spans="1:18" ht="15" x14ac:dyDescent="0.3">
      <c r="A448" s="129"/>
      <c r="B448" s="60"/>
      <c r="C448" s="55"/>
      <c r="D448" s="60"/>
      <c r="E448" s="103">
        <f>_xlfn.XLOOKUP(enrollment_table[[#This Row],[*Subject]], classes_table[*Subject], classes_table[Fee])</f>
        <v>0</v>
      </c>
      <c r="F448" s="58"/>
      <c r="G448" s="60"/>
      <c r="H448" s="55"/>
      <c r="I448" s="176">
        <f>_xlfn.XLOOKUP(enrollment_table[[#This Row],[*Teacher Name]], teachers_table[*Teacher Name], teachers_table[*Teacher ID])</f>
        <v>0</v>
      </c>
      <c r="J448" s="60"/>
      <c r="K448" s="60"/>
      <c r="L448" s="55"/>
      <c r="M448" s="60"/>
      <c r="N448" s="60"/>
      <c r="O448" s="55"/>
      <c r="P448" s="161"/>
      <c r="Q448" s="160" t="str">
        <f>IF(enrollment_table[[#This Row],[Enrollment Date]]="","",TEXT(enrollment_table[[#This Row],[Enrollment Date]],"mmmm"))</f>
        <v/>
      </c>
      <c r="R448" s="60"/>
    </row>
    <row r="449" spans="1:18" ht="15" x14ac:dyDescent="0.3">
      <c r="A449" s="129"/>
      <c r="B449" s="60"/>
      <c r="C449" s="55"/>
      <c r="D449" s="60"/>
      <c r="E449" s="103">
        <f>_xlfn.XLOOKUP(enrollment_table[[#This Row],[*Subject]], classes_table[*Subject], classes_table[Fee])</f>
        <v>0</v>
      </c>
      <c r="F449" s="58"/>
      <c r="G449" s="60"/>
      <c r="H449" s="55"/>
      <c r="I449" s="176">
        <f>_xlfn.XLOOKUP(enrollment_table[[#This Row],[*Teacher Name]], teachers_table[*Teacher Name], teachers_table[*Teacher ID])</f>
        <v>0</v>
      </c>
      <c r="J449" s="60"/>
      <c r="K449" s="60"/>
      <c r="L449" s="55"/>
      <c r="M449" s="60"/>
      <c r="N449" s="60"/>
      <c r="O449" s="55"/>
      <c r="P449" s="161"/>
      <c r="Q449" s="160" t="str">
        <f>IF(enrollment_table[[#This Row],[Enrollment Date]]="","",TEXT(enrollment_table[[#This Row],[Enrollment Date]],"mmmm"))</f>
        <v/>
      </c>
      <c r="R449" s="60"/>
    </row>
    <row r="450" spans="1:18" ht="15" x14ac:dyDescent="0.3">
      <c r="A450" s="129"/>
      <c r="B450" s="60"/>
      <c r="C450" s="55"/>
      <c r="D450" s="60"/>
      <c r="E450" s="103">
        <f>_xlfn.XLOOKUP(enrollment_table[[#This Row],[*Subject]], classes_table[*Subject], classes_table[Fee])</f>
        <v>0</v>
      </c>
      <c r="F450" s="58"/>
      <c r="G450" s="60"/>
      <c r="H450" s="55"/>
      <c r="I450" s="176">
        <f>_xlfn.XLOOKUP(enrollment_table[[#This Row],[*Teacher Name]], teachers_table[*Teacher Name], teachers_table[*Teacher ID])</f>
        <v>0</v>
      </c>
      <c r="J450" s="60"/>
      <c r="K450" s="60"/>
      <c r="L450" s="55"/>
      <c r="M450" s="60"/>
      <c r="N450" s="60"/>
      <c r="O450" s="55"/>
      <c r="P450" s="161"/>
      <c r="Q450" s="160" t="str">
        <f>IF(enrollment_table[[#This Row],[Enrollment Date]]="","",TEXT(enrollment_table[[#This Row],[Enrollment Date]],"mmmm"))</f>
        <v/>
      </c>
      <c r="R450" s="60"/>
    </row>
    <row r="451" spans="1:18" ht="15" x14ac:dyDescent="0.3">
      <c r="A451" s="129"/>
      <c r="B451" s="60"/>
      <c r="C451" s="55"/>
      <c r="D451" s="60"/>
      <c r="E451" s="103">
        <f>_xlfn.XLOOKUP(enrollment_table[[#This Row],[*Subject]], classes_table[*Subject], classes_table[Fee])</f>
        <v>0</v>
      </c>
      <c r="F451" s="58"/>
      <c r="G451" s="60"/>
      <c r="H451" s="55"/>
      <c r="I451" s="176">
        <f>_xlfn.XLOOKUP(enrollment_table[[#This Row],[*Teacher Name]], teachers_table[*Teacher Name], teachers_table[*Teacher ID])</f>
        <v>0</v>
      </c>
      <c r="J451" s="60"/>
      <c r="K451" s="60"/>
      <c r="L451" s="55"/>
      <c r="M451" s="60"/>
      <c r="N451" s="60"/>
      <c r="O451" s="55"/>
      <c r="P451" s="161"/>
      <c r="Q451" s="160" t="str">
        <f>IF(enrollment_table[[#This Row],[Enrollment Date]]="","",TEXT(enrollment_table[[#This Row],[Enrollment Date]],"mmmm"))</f>
        <v/>
      </c>
      <c r="R451" s="60"/>
    </row>
    <row r="452" spans="1:18" ht="15" x14ac:dyDescent="0.3">
      <c r="A452" s="129"/>
      <c r="B452" s="60"/>
      <c r="C452" s="55"/>
      <c r="D452" s="60"/>
      <c r="E452" s="103">
        <f>_xlfn.XLOOKUP(enrollment_table[[#This Row],[*Subject]], classes_table[*Subject], classes_table[Fee])</f>
        <v>0</v>
      </c>
      <c r="F452" s="58"/>
      <c r="G452" s="60"/>
      <c r="H452" s="55"/>
      <c r="I452" s="176">
        <f>_xlfn.XLOOKUP(enrollment_table[[#This Row],[*Teacher Name]], teachers_table[*Teacher Name], teachers_table[*Teacher ID])</f>
        <v>0</v>
      </c>
      <c r="J452" s="60"/>
      <c r="K452" s="60"/>
      <c r="L452" s="55"/>
      <c r="M452" s="60"/>
      <c r="N452" s="60"/>
      <c r="O452" s="55"/>
      <c r="P452" s="161"/>
      <c r="Q452" s="160" t="str">
        <f>IF(enrollment_table[[#This Row],[Enrollment Date]]="","",TEXT(enrollment_table[[#This Row],[Enrollment Date]],"mmmm"))</f>
        <v/>
      </c>
      <c r="R452" s="60"/>
    </row>
    <row r="453" spans="1:18" ht="15" x14ac:dyDescent="0.3">
      <c r="A453" s="129"/>
      <c r="B453" s="60"/>
      <c r="C453" s="55"/>
      <c r="D453" s="60"/>
      <c r="E453" s="103">
        <f>_xlfn.XLOOKUP(enrollment_table[[#This Row],[*Subject]], classes_table[*Subject], classes_table[Fee])</f>
        <v>0</v>
      </c>
      <c r="F453" s="58"/>
      <c r="G453" s="60"/>
      <c r="H453" s="55"/>
      <c r="I453" s="176">
        <f>_xlfn.XLOOKUP(enrollment_table[[#This Row],[*Teacher Name]], teachers_table[*Teacher Name], teachers_table[*Teacher ID])</f>
        <v>0</v>
      </c>
      <c r="J453" s="60"/>
      <c r="K453" s="60"/>
      <c r="L453" s="55"/>
      <c r="M453" s="60"/>
      <c r="N453" s="60"/>
      <c r="O453" s="55"/>
      <c r="P453" s="161"/>
      <c r="Q453" s="160" t="str">
        <f>IF(enrollment_table[[#This Row],[Enrollment Date]]="","",TEXT(enrollment_table[[#This Row],[Enrollment Date]],"mmmm"))</f>
        <v/>
      </c>
      <c r="R453" s="60"/>
    </row>
    <row r="454" spans="1:18" ht="15" x14ac:dyDescent="0.3">
      <c r="A454" s="129"/>
      <c r="B454" s="60"/>
      <c r="C454" s="55"/>
      <c r="D454" s="60"/>
      <c r="E454" s="103">
        <f>_xlfn.XLOOKUP(enrollment_table[[#This Row],[*Subject]], classes_table[*Subject], classes_table[Fee])</f>
        <v>0</v>
      </c>
      <c r="F454" s="58"/>
      <c r="G454" s="60"/>
      <c r="H454" s="55"/>
      <c r="I454" s="176">
        <f>_xlfn.XLOOKUP(enrollment_table[[#This Row],[*Teacher Name]], teachers_table[*Teacher Name], teachers_table[*Teacher ID])</f>
        <v>0</v>
      </c>
      <c r="J454" s="60"/>
      <c r="K454" s="60"/>
      <c r="L454" s="55"/>
      <c r="M454" s="60"/>
      <c r="N454" s="60"/>
      <c r="O454" s="55"/>
      <c r="P454" s="161"/>
      <c r="Q454" s="160" t="str">
        <f>IF(enrollment_table[[#This Row],[Enrollment Date]]="","",TEXT(enrollment_table[[#This Row],[Enrollment Date]],"mmmm"))</f>
        <v/>
      </c>
      <c r="R454" s="60"/>
    </row>
    <row r="455" spans="1:18" ht="15" x14ac:dyDescent="0.3">
      <c r="A455" s="129"/>
      <c r="B455" s="60"/>
      <c r="C455" s="55"/>
      <c r="D455" s="60"/>
      <c r="E455" s="103">
        <f>_xlfn.XLOOKUP(enrollment_table[[#This Row],[*Subject]], classes_table[*Subject], classes_table[Fee])</f>
        <v>0</v>
      </c>
      <c r="F455" s="58"/>
      <c r="G455" s="60"/>
      <c r="H455" s="55"/>
      <c r="I455" s="176">
        <f>_xlfn.XLOOKUP(enrollment_table[[#This Row],[*Teacher Name]], teachers_table[*Teacher Name], teachers_table[*Teacher ID])</f>
        <v>0</v>
      </c>
      <c r="J455" s="60"/>
      <c r="K455" s="60"/>
      <c r="L455" s="55"/>
      <c r="M455" s="60"/>
      <c r="N455" s="60"/>
      <c r="O455" s="55"/>
      <c r="P455" s="161"/>
      <c r="Q455" s="160" t="str">
        <f>IF(enrollment_table[[#This Row],[Enrollment Date]]="","",TEXT(enrollment_table[[#This Row],[Enrollment Date]],"mmmm"))</f>
        <v/>
      </c>
      <c r="R455" s="60"/>
    </row>
    <row r="456" spans="1:18" ht="15" x14ac:dyDescent="0.3">
      <c r="A456" s="129"/>
      <c r="B456" s="60"/>
      <c r="C456" s="55"/>
      <c r="D456" s="60"/>
      <c r="E456" s="103">
        <f>_xlfn.XLOOKUP(enrollment_table[[#This Row],[*Subject]], classes_table[*Subject], classes_table[Fee])</f>
        <v>0</v>
      </c>
      <c r="F456" s="58"/>
      <c r="G456" s="60"/>
      <c r="H456" s="55"/>
      <c r="I456" s="176">
        <f>_xlfn.XLOOKUP(enrollment_table[[#This Row],[*Teacher Name]], teachers_table[*Teacher Name], teachers_table[*Teacher ID])</f>
        <v>0</v>
      </c>
      <c r="J456" s="60"/>
      <c r="K456" s="60"/>
      <c r="L456" s="55"/>
      <c r="M456" s="60"/>
      <c r="N456" s="60"/>
      <c r="O456" s="55"/>
      <c r="P456" s="161"/>
      <c r="Q456" s="160" t="str">
        <f>IF(enrollment_table[[#This Row],[Enrollment Date]]="","",TEXT(enrollment_table[[#This Row],[Enrollment Date]],"mmmm"))</f>
        <v/>
      </c>
      <c r="R456" s="60"/>
    </row>
    <row r="457" spans="1:18" ht="15" x14ac:dyDescent="0.3">
      <c r="A457" s="129"/>
      <c r="B457" s="60"/>
      <c r="C457" s="55"/>
      <c r="D457" s="60"/>
      <c r="E457" s="103">
        <f>_xlfn.XLOOKUP(enrollment_table[[#This Row],[*Subject]], classes_table[*Subject], classes_table[Fee])</f>
        <v>0</v>
      </c>
      <c r="F457" s="58"/>
      <c r="G457" s="60"/>
      <c r="H457" s="55"/>
      <c r="I457" s="176">
        <f>_xlfn.XLOOKUP(enrollment_table[[#This Row],[*Teacher Name]], teachers_table[*Teacher Name], teachers_table[*Teacher ID])</f>
        <v>0</v>
      </c>
      <c r="J457" s="60"/>
      <c r="K457" s="60"/>
      <c r="L457" s="55"/>
      <c r="M457" s="60"/>
      <c r="N457" s="60"/>
      <c r="O457" s="55"/>
      <c r="P457" s="161"/>
      <c r="Q457" s="160" t="str">
        <f>IF(enrollment_table[[#This Row],[Enrollment Date]]="","",TEXT(enrollment_table[[#This Row],[Enrollment Date]],"mmmm"))</f>
        <v/>
      </c>
      <c r="R457" s="60"/>
    </row>
    <row r="458" spans="1:18" ht="15" x14ac:dyDescent="0.3">
      <c r="A458" s="129"/>
      <c r="B458" s="60"/>
      <c r="C458" s="55"/>
      <c r="D458" s="60"/>
      <c r="E458" s="103">
        <f>_xlfn.XLOOKUP(enrollment_table[[#This Row],[*Subject]], classes_table[*Subject], classes_table[Fee])</f>
        <v>0</v>
      </c>
      <c r="F458" s="58"/>
      <c r="G458" s="60"/>
      <c r="H458" s="55"/>
      <c r="I458" s="176">
        <f>_xlfn.XLOOKUP(enrollment_table[[#This Row],[*Teacher Name]], teachers_table[*Teacher Name], teachers_table[*Teacher ID])</f>
        <v>0</v>
      </c>
      <c r="J458" s="60"/>
      <c r="K458" s="60"/>
      <c r="L458" s="55"/>
      <c r="M458" s="60"/>
      <c r="N458" s="60"/>
      <c r="O458" s="55"/>
      <c r="P458" s="161"/>
      <c r="Q458" s="160" t="str">
        <f>IF(enrollment_table[[#This Row],[Enrollment Date]]="","",TEXT(enrollment_table[[#This Row],[Enrollment Date]],"mmmm"))</f>
        <v/>
      </c>
      <c r="R458" s="60"/>
    </row>
    <row r="459" spans="1:18" ht="15" x14ac:dyDescent="0.3">
      <c r="A459" s="129"/>
      <c r="B459" s="60"/>
      <c r="C459" s="55"/>
      <c r="D459" s="60"/>
      <c r="E459" s="103">
        <f>_xlfn.XLOOKUP(enrollment_table[[#This Row],[*Subject]], classes_table[*Subject], classes_table[Fee])</f>
        <v>0</v>
      </c>
      <c r="F459" s="58"/>
      <c r="G459" s="60"/>
      <c r="H459" s="55"/>
      <c r="I459" s="176">
        <f>_xlfn.XLOOKUP(enrollment_table[[#This Row],[*Teacher Name]], teachers_table[*Teacher Name], teachers_table[*Teacher ID])</f>
        <v>0</v>
      </c>
      <c r="J459" s="60"/>
      <c r="K459" s="60"/>
      <c r="L459" s="55"/>
      <c r="M459" s="60"/>
      <c r="N459" s="60"/>
      <c r="O459" s="55"/>
      <c r="P459" s="161"/>
      <c r="Q459" s="160" t="str">
        <f>IF(enrollment_table[[#This Row],[Enrollment Date]]="","",TEXT(enrollment_table[[#This Row],[Enrollment Date]],"mmmm"))</f>
        <v/>
      </c>
      <c r="R459" s="60"/>
    </row>
    <row r="460" spans="1:18" ht="15" x14ac:dyDescent="0.3">
      <c r="A460" s="129"/>
      <c r="B460" s="60"/>
      <c r="C460" s="55"/>
      <c r="D460" s="60"/>
      <c r="E460" s="103">
        <f>_xlfn.XLOOKUP(enrollment_table[[#This Row],[*Subject]], classes_table[*Subject], classes_table[Fee])</f>
        <v>0</v>
      </c>
      <c r="F460" s="58"/>
      <c r="G460" s="60"/>
      <c r="H460" s="55"/>
      <c r="I460" s="176">
        <f>_xlfn.XLOOKUP(enrollment_table[[#This Row],[*Teacher Name]], teachers_table[*Teacher Name], teachers_table[*Teacher ID])</f>
        <v>0</v>
      </c>
      <c r="J460" s="60"/>
      <c r="K460" s="60"/>
      <c r="L460" s="55"/>
      <c r="M460" s="60"/>
      <c r="N460" s="60"/>
      <c r="O460" s="55"/>
      <c r="P460" s="161"/>
      <c r="Q460" s="160" t="str">
        <f>IF(enrollment_table[[#This Row],[Enrollment Date]]="","",TEXT(enrollment_table[[#This Row],[Enrollment Date]],"mmmm"))</f>
        <v/>
      </c>
      <c r="R460" s="60"/>
    </row>
    <row r="461" spans="1:18" ht="15" x14ac:dyDescent="0.3">
      <c r="A461" s="129"/>
      <c r="B461" s="60"/>
      <c r="C461" s="55"/>
      <c r="D461" s="60"/>
      <c r="E461" s="103">
        <f>_xlfn.XLOOKUP(enrollment_table[[#This Row],[*Subject]], classes_table[*Subject], classes_table[Fee])</f>
        <v>0</v>
      </c>
      <c r="F461" s="58"/>
      <c r="G461" s="60"/>
      <c r="H461" s="55"/>
      <c r="I461" s="176">
        <f>_xlfn.XLOOKUP(enrollment_table[[#This Row],[*Teacher Name]], teachers_table[*Teacher Name], teachers_table[*Teacher ID])</f>
        <v>0</v>
      </c>
      <c r="J461" s="60"/>
      <c r="K461" s="60"/>
      <c r="L461" s="55"/>
      <c r="M461" s="60"/>
      <c r="N461" s="60"/>
      <c r="O461" s="55"/>
      <c r="P461" s="161"/>
      <c r="Q461" s="160" t="str">
        <f>IF(enrollment_table[[#This Row],[Enrollment Date]]="","",TEXT(enrollment_table[[#This Row],[Enrollment Date]],"mmmm"))</f>
        <v/>
      </c>
      <c r="R461" s="60"/>
    </row>
    <row r="462" spans="1:18" ht="15" x14ac:dyDescent="0.3">
      <c r="A462" s="129"/>
      <c r="B462" s="60"/>
      <c r="C462" s="55"/>
      <c r="D462" s="60"/>
      <c r="E462" s="103">
        <f>_xlfn.XLOOKUP(enrollment_table[[#This Row],[*Subject]], classes_table[*Subject], classes_table[Fee])</f>
        <v>0</v>
      </c>
      <c r="F462" s="58"/>
      <c r="G462" s="60"/>
      <c r="H462" s="55"/>
      <c r="I462" s="176">
        <f>_xlfn.XLOOKUP(enrollment_table[[#This Row],[*Teacher Name]], teachers_table[*Teacher Name], teachers_table[*Teacher ID])</f>
        <v>0</v>
      </c>
      <c r="J462" s="60"/>
      <c r="K462" s="60"/>
      <c r="L462" s="55"/>
      <c r="M462" s="60"/>
      <c r="N462" s="60"/>
      <c r="O462" s="55"/>
      <c r="P462" s="161"/>
      <c r="Q462" s="160" t="str">
        <f>IF(enrollment_table[[#This Row],[Enrollment Date]]="","",TEXT(enrollment_table[[#This Row],[Enrollment Date]],"mmmm"))</f>
        <v/>
      </c>
      <c r="R462" s="60"/>
    </row>
    <row r="463" spans="1:18" ht="15" x14ac:dyDescent="0.3">
      <c r="A463" s="129"/>
      <c r="B463" s="60"/>
      <c r="C463" s="55"/>
      <c r="D463" s="60"/>
      <c r="E463" s="103">
        <f>_xlfn.XLOOKUP(enrollment_table[[#This Row],[*Subject]], classes_table[*Subject], classes_table[Fee])</f>
        <v>0</v>
      </c>
      <c r="F463" s="58"/>
      <c r="G463" s="60"/>
      <c r="H463" s="55"/>
      <c r="I463" s="176">
        <f>_xlfn.XLOOKUP(enrollment_table[[#This Row],[*Teacher Name]], teachers_table[*Teacher Name], teachers_table[*Teacher ID])</f>
        <v>0</v>
      </c>
      <c r="J463" s="60"/>
      <c r="K463" s="60"/>
      <c r="L463" s="55"/>
      <c r="M463" s="60"/>
      <c r="N463" s="60"/>
      <c r="O463" s="55"/>
      <c r="P463" s="161"/>
      <c r="Q463" s="160" t="str">
        <f>IF(enrollment_table[[#This Row],[Enrollment Date]]="","",TEXT(enrollment_table[[#This Row],[Enrollment Date]],"mmmm"))</f>
        <v/>
      </c>
      <c r="R463" s="60"/>
    </row>
    <row r="464" spans="1:18" ht="15" x14ac:dyDescent="0.3">
      <c r="A464" s="129"/>
      <c r="B464" s="60"/>
      <c r="C464" s="55"/>
      <c r="D464" s="60"/>
      <c r="E464" s="103">
        <f>_xlfn.XLOOKUP(enrollment_table[[#This Row],[*Subject]], classes_table[*Subject], classes_table[Fee])</f>
        <v>0</v>
      </c>
      <c r="F464" s="58"/>
      <c r="G464" s="60"/>
      <c r="H464" s="55"/>
      <c r="I464" s="176">
        <f>_xlfn.XLOOKUP(enrollment_table[[#This Row],[*Teacher Name]], teachers_table[*Teacher Name], teachers_table[*Teacher ID])</f>
        <v>0</v>
      </c>
      <c r="J464" s="60"/>
      <c r="K464" s="60"/>
      <c r="L464" s="55"/>
      <c r="M464" s="60"/>
      <c r="N464" s="60"/>
      <c r="O464" s="55"/>
      <c r="P464" s="161"/>
      <c r="Q464" s="160" t="str">
        <f>IF(enrollment_table[[#This Row],[Enrollment Date]]="","",TEXT(enrollment_table[[#This Row],[Enrollment Date]],"mmmm"))</f>
        <v/>
      </c>
      <c r="R464" s="60"/>
    </row>
    <row r="465" spans="1:18" ht="15" x14ac:dyDescent="0.3">
      <c r="A465" s="129"/>
      <c r="B465" s="60"/>
      <c r="C465" s="55"/>
      <c r="D465" s="60"/>
      <c r="E465" s="103">
        <f>_xlfn.XLOOKUP(enrollment_table[[#This Row],[*Subject]], classes_table[*Subject], classes_table[Fee])</f>
        <v>0</v>
      </c>
      <c r="F465" s="58"/>
      <c r="G465" s="60"/>
      <c r="H465" s="55"/>
      <c r="I465" s="176">
        <f>_xlfn.XLOOKUP(enrollment_table[[#This Row],[*Teacher Name]], teachers_table[*Teacher Name], teachers_table[*Teacher ID])</f>
        <v>0</v>
      </c>
      <c r="J465" s="60"/>
      <c r="K465" s="60"/>
      <c r="L465" s="55"/>
      <c r="M465" s="60"/>
      <c r="N465" s="60"/>
      <c r="O465" s="55"/>
      <c r="P465" s="161"/>
      <c r="Q465" s="160" t="str">
        <f>IF(enrollment_table[[#This Row],[Enrollment Date]]="","",TEXT(enrollment_table[[#This Row],[Enrollment Date]],"mmmm"))</f>
        <v/>
      </c>
      <c r="R465" s="60"/>
    </row>
    <row r="466" spans="1:18" ht="15" x14ac:dyDescent="0.3">
      <c r="A466" s="129"/>
      <c r="B466" s="60"/>
      <c r="C466" s="55"/>
      <c r="D466" s="60"/>
      <c r="E466" s="103">
        <f>_xlfn.XLOOKUP(enrollment_table[[#This Row],[*Subject]], classes_table[*Subject], classes_table[Fee])</f>
        <v>0</v>
      </c>
      <c r="F466" s="58"/>
      <c r="G466" s="60"/>
      <c r="H466" s="55"/>
      <c r="I466" s="176">
        <f>_xlfn.XLOOKUP(enrollment_table[[#This Row],[*Teacher Name]], teachers_table[*Teacher Name], teachers_table[*Teacher ID])</f>
        <v>0</v>
      </c>
      <c r="J466" s="60"/>
      <c r="K466" s="60"/>
      <c r="L466" s="55"/>
      <c r="M466" s="60"/>
      <c r="N466" s="60"/>
      <c r="O466" s="55"/>
      <c r="P466" s="161"/>
      <c r="Q466" s="160" t="str">
        <f>IF(enrollment_table[[#This Row],[Enrollment Date]]="","",TEXT(enrollment_table[[#This Row],[Enrollment Date]],"mmmm"))</f>
        <v/>
      </c>
      <c r="R466" s="60"/>
    </row>
    <row r="467" spans="1:18" ht="15" x14ac:dyDescent="0.3">
      <c r="A467" s="129"/>
      <c r="B467" s="60"/>
      <c r="C467" s="55"/>
      <c r="D467" s="60"/>
      <c r="E467" s="103">
        <f>_xlfn.XLOOKUP(enrollment_table[[#This Row],[*Subject]], classes_table[*Subject], classes_table[Fee])</f>
        <v>0</v>
      </c>
      <c r="F467" s="58"/>
      <c r="G467" s="60"/>
      <c r="H467" s="55"/>
      <c r="I467" s="176">
        <f>_xlfn.XLOOKUP(enrollment_table[[#This Row],[*Teacher Name]], teachers_table[*Teacher Name], teachers_table[*Teacher ID])</f>
        <v>0</v>
      </c>
      <c r="J467" s="60"/>
      <c r="K467" s="60"/>
      <c r="L467" s="55"/>
      <c r="M467" s="60"/>
      <c r="N467" s="60"/>
      <c r="O467" s="55"/>
      <c r="P467" s="161"/>
      <c r="Q467" s="160" t="str">
        <f>IF(enrollment_table[[#This Row],[Enrollment Date]]="","",TEXT(enrollment_table[[#This Row],[Enrollment Date]],"mmmm"))</f>
        <v/>
      </c>
      <c r="R467" s="60"/>
    </row>
    <row r="468" spans="1:18" ht="15" x14ac:dyDescent="0.3">
      <c r="A468" s="129"/>
      <c r="B468" s="60"/>
      <c r="C468" s="55"/>
      <c r="D468" s="60"/>
      <c r="E468" s="103">
        <f>_xlfn.XLOOKUP(enrollment_table[[#This Row],[*Subject]], classes_table[*Subject], classes_table[Fee])</f>
        <v>0</v>
      </c>
      <c r="F468" s="58"/>
      <c r="G468" s="60"/>
      <c r="H468" s="55"/>
      <c r="I468" s="176">
        <f>_xlfn.XLOOKUP(enrollment_table[[#This Row],[*Teacher Name]], teachers_table[*Teacher Name], teachers_table[*Teacher ID])</f>
        <v>0</v>
      </c>
      <c r="J468" s="60"/>
      <c r="K468" s="60"/>
      <c r="L468" s="55"/>
      <c r="M468" s="60"/>
      <c r="N468" s="60"/>
      <c r="O468" s="55"/>
      <c r="P468" s="161"/>
      <c r="Q468" s="160" t="str">
        <f>IF(enrollment_table[[#This Row],[Enrollment Date]]="","",TEXT(enrollment_table[[#This Row],[Enrollment Date]],"mmmm"))</f>
        <v/>
      </c>
      <c r="R468" s="60"/>
    </row>
    <row r="469" spans="1:18" ht="15" x14ac:dyDescent="0.3">
      <c r="A469" s="129"/>
      <c r="B469" s="60"/>
      <c r="C469" s="55"/>
      <c r="D469" s="60"/>
      <c r="E469" s="103">
        <f>_xlfn.XLOOKUP(enrollment_table[[#This Row],[*Subject]], classes_table[*Subject], classes_table[Fee])</f>
        <v>0</v>
      </c>
      <c r="F469" s="58"/>
      <c r="G469" s="60"/>
      <c r="H469" s="55"/>
      <c r="I469" s="176">
        <f>_xlfn.XLOOKUP(enrollment_table[[#This Row],[*Teacher Name]], teachers_table[*Teacher Name], teachers_table[*Teacher ID])</f>
        <v>0</v>
      </c>
      <c r="J469" s="60"/>
      <c r="K469" s="60"/>
      <c r="L469" s="55"/>
      <c r="M469" s="60"/>
      <c r="N469" s="60"/>
      <c r="O469" s="55"/>
      <c r="P469" s="161"/>
      <c r="Q469" s="160" t="str">
        <f>IF(enrollment_table[[#This Row],[Enrollment Date]]="","",TEXT(enrollment_table[[#This Row],[Enrollment Date]],"mmmm"))</f>
        <v/>
      </c>
      <c r="R469" s="60"/>
    </row>
    <row r="470" spans="1:18" ht="15" x14ac:dyDescent="0.3">
      <c r="A470" s="129"/>
      <c r="B470" s="60"/>
      <c r="C470" s="55"/>
      <c r="D470" s="60"/>
      <c r="E470" s="103">
        <f>_xlfn.XLOOKUP(enrollment_table[[#This Row],[*Subject]], classes_table[*Subject], classes_table[Fee])</f>
        <v>0</v>
      </c>
      <c r="F470" s="58"/>
      <c r="G470" s="60"/>
      <c r="H470" s="55"/>
      <c r="I470" s="176">
        <f>_xlfn.XLOOKUP(enrollment_table[[#This Row],[*Teacher Name]], teachers_table[*Teacher Name], teachers_table[*Teacher ID])</f>
        <v>0</v>
      </c>
      <c r="J470" s="60"/>
      <c r="K470" s="60"/>
      <c r="L470" s="55"/>
      <c r="M470" s="60"/>
      <c r="N470" s="60"/>
      <c r="O470" s="55"/>
      <c r="P470" s="161"/>
      <c r="Q470" s="160" t="str">
        <f>IF(enrollment_table[[#This Row],[Enrollment Date]]="","",TEXT(enrollment_table[[#This Row],[Enrollment Date]],"mmmm"))</f>
        <v/>
      </c>
      <c r="R470" s="60"/>
    </row>
    <row r="471" spans="1:18" ht="15" x14ac:dyDescent="0.3">
      <c r="A471" s="129"/>
      <c r="B471" s="60"/>
      <c r="C471" s="55"/>
      <c r="D471" s="60"/>
      <c r="E471" s="103">
        <f>_xlfn.XLOOKUP(enrollment_table[[#This Row],[*Subject]], classes_table[*Subject], classes_table[Fee])</f>
        <v>0</v>
      </c>
      <c r="F471" s="58"/>
      <c r="G471" s="60"/>
      <c r="H471" s="55"/>
      <c r="I471" s="176">
        <f>_xlfn.XLOOKUP(enrollment_table[[#This Row],[*Teacher Name]], teachers_table[*Teacher Name], teachers_table[*Teacher ID])</f>
        <v>0</v>
      </c>
      <c r="J471" s="60"/>
      <c r="K471" s="60"/>
      <c r="L471" s="55"/>
      <c r="M471" s="60"/>
      <c r="N471" s="60"/>
      <c r="O471" s="55"/>
      <c r="P471" s="161"/>
      <c r="Q471" s="160" t="str">
        <f>IF(enrollment_table[[#This Row],[Enrollment Date]]="","",TEXT(enrollment_table[[#This Row],[Enrollment Date]],"mmmm"))</f>
        <v/>
      </c>
      <c r="R471" s="60"/>
    </row>
    <row r="472" spans="1:18" ht="15" x14ac:dyDescent="0.3">
      <c r="A472" s="129"/>
      <c r="B472" s="60"/>
      <c r="C472" s="55"/>
      <c r="D472" s="60"/>
      <c r="E472" s="103">
        <f>_xlfn.XLOOKUP(enrollment_table[[#This Row],[*Subject]], classes_table[*Subject], classes_table[Fee])</f>
        <v>0</v>
      </c>
      <c r="F472" s="58"/>
      <c r="G472" s="60"/>
      <c r="H472" s="55"/>
      <c r="I472" s="176">
        <f>_xlfn.XLOOKUP(enrollment_table[[#This Row],[*Teacher Name]], teachers_table[*Teacher Name], teachers_table[*Teacher ID])</f>
        <v>0</v>
      </c>
      <c r="J472" s="60"/>
      <c r="K472" s="60"/>
      <c r="L472" s="55"/>
      <c r="M472" s="60"/>
      <c r="N472" s="60"/>
      <c r="O472" s="55"/>
      <c r="P472" s="161"/>
      <c r="Q472" s="160" t="str">
        <f>IF(enrollment_table[[#This Row],[Enrollment Date]]="","",TEXT(enrollment_table[[#This Row],[Enrollment Date]],"mmmm"))</f>
        <v/>
      </c>
      <c r="R472" s="60"/>
    </row>
    <row r="473" spans="1:18" ht="15" x14ac:dyDescent="0.3">
      <c r="A473" s="129"/>
      <c r="B473" s="60"/>
      <c r="C473" s="55"/>
      <c r="D473" s="60"/>
      <c r="E473" s="103">
        <f>_xlfn.XLOOKUP(enrollment_table[[#This Row],[*Subject]], classes_table[*Subject], classes_table[Fee])</f>
        <v>0</v>
      </c>
      <c r="F473" s="58"/>
      <c r="G473" s="60"/>
      <c r="H473" s="55"/>
      <c r="I473" s="176">
        <f>_xlfn.XLOOKUP(enrollment_table[[#This Row],[*Teacher Name]], teachers_table[*Teacher Name], teachers_table[*Teacher ID])</f>
        <v>0</v>
      </c>
      <c r="J473" s="60"/>
      <c r="K473" s="60"/>
      <c r="L473" s="55"/>
      <c r="M473" s="60"/>
      <c r="N473" s="60"/>
      <c r="O473" s="55"/>
      <c r="P473" s="161"/>
      <c r="Q473" s="160" t="str">
        <f>IF(enrollment_table[[#This Row],[Enrollment Date]]="","",TEXT(enrollment_table[[#This Row],[Enrollment Date]],"mmmm"))</f>
        <v/>
      </c>
      <c r="R473" s="60"/>
    </row>
    <row r="474" spans="1:18" ht="15" x14ac:dyDescent="0.3">
      <c r="A474" s="129"/>
      <c r="B474" s="60"/>
      <c r="C474" s="55"/>
      <c r="D474" s="60"/>
      <c r="E474" s="103">
        <f>_xlfn.XLOOKUP(enrollment_table[[#This Row],[*Subject]], classes_table[*Subject], classes_table[Fee])</f>
        <v>0</v>
      </c>
      <c r="F474" s="58"/>
      <c r="G474" s="60"/>
      <c r="H474" s="55"/>
      <c r="I474" s="176">
        <f>_xlfn.XLOOKUP(enrollment_table[[#This Row],[*Teacher Name]], teachers_table[*Teacher Name], teachers_table[*Teacher ID])</f>
        <v>0</v>
      </c>
      <c r="J474" s="60"/>
      <c r="K474" s="60"/>
      <c r="L474" s="55"/>
      <c r="M474" s="60"/>
      <c r="N474" s="60"/>
      <c r="O474" s="55"/>
      <c r="P474" s="161"/>
      <c r="Q474" s="160" t="str">
        <f>IF(enrollment_table[[#This Row],[Enrollment Date]]="","",TEXT(enrollment_table[[#This Row],[Enrollment Date]],"mmmm"))</f>
        <v/>
      </c>
      <c r="R474" s="60"/>
    </row>
    <row r="475" spans="1:18" ht="15" x14ac:dyDescent="0.3">
      <c r="A475" s="129"/>
      <c r="B475" s="60"/>
      <c r="C475" s="55"/>
      <c r="D475" s="60"/>
      <c r="E475" s="103">
        <f>_xlfn.XLOOKUP(enrollment_table[[#This Row],[*Subject]], classes_table[*Subject], classes_table[Fee])</f>
        <v>0</v>
      </c>
      <c r="F475" s="58"/>
      <c r="G475" s="60"/>
      <c r="H475" s="55"/>
      <c r="I475" s="176">
        <f>_xlfn.XLOOKUP(enrollment_table[[#This Row],[*Teacher Name]], teachers_table[*Teacher Name], teachers_table[*Teacher ID])</f>
        <v>0</v>
      </c>
      <c r="J475" s="60"/>
      <c r="K475" s="60"/>
      <c r="L475" s="55"/>
      <c r="M475" s="60"/>
      <c r="N475" s="60"/>
      <c r="O475" s="55"/>
      <c r="P475" s="161"/>
      <c r="Q475" s="160" t="str">
        <f>IF(enrollment_table[[#This Row],[Enrollment Date]]="","",TEXT(enrollment_table[[#This Row],[Enrollment Date]],"mmmm"))</f>
        <v/>
      </c>
      <c r="R475" s="60"/>
    </row>
    <row r="476" spans="1:18" ht="15" x14ac:dyDescent="0.3">
      <c r="A476" s="129"/>
      <c r="B476" s="60"/>
      <c r="C476" s="55"/>
      <c r="D476" s="60"/>
      <c r="E476" s="103">
        <f>_xlfn.XLOOKUP(enrollment_table[[#This Row],[*Subject]], classes_table[*Subject], classes_table[Fee])</f>
        <v>0</v>
      </c>
      <c r="F476" s="58"/>
      <c r="G476" s="60"/>
      <c r="H476" s="55"/>
      <c r="I476" s="176">
        <f>_xlfn.XLOOKUP(enrollment_table[[#This Row],[*Teacher Name]], teachers_table[*Teacher Name], teachers_table[*Teacher ID])</f>
        <v>0</v>
      </c>
      <c r="J476" s="60"/>
      <c r="K476" s="60"/>
      <c r="L476" s="55"/>
      <c r="M476" s="60"/>
      <c r="N476" s="60"/>
      <c r="O476" s="55"/>
      <c r="P476" s="161"/>
      <c r="Q476" s="160" t="str">
        <f>IF(enrollment_table[[#This Row],[Enrollment Date]]="","",TEXT(enrollment_table[[#This Row],[Enrollment Date]],"mmmm"))</f>
        <v/>
      </c>
      <c r="R476" s="60"/>
    </row>
    <row r="477" spans="1:18" ht="15" x14ac:dyDescent="0.3">
      <c r="A477" s="129"/>
      <c r="B477" s="60"/>
      <c r="C477" s="55"/>
      <c r="D477" s="60"/>
      <c r="E477" s="103">
        <f>_xlfn.XLOOKUP(enrollment_table[[#This Row],[*Subject]], classes_table[*Subject], classes_table[Fee])</f>
        <v>0</v>
      </c>
      <c r="F477" s="58"/>
      <c r="G477" s="60"/>
      <c r="H477" s="55"/>
      <c r="I477" s="176">
        <f>_xlfn.XLOOKUP(enrollment_table[[#This Row],[*Teacher Name]], teachers_table[*Teacher Name], teachers_table[*Teacher ID])</f>
        <v>0</v>
      </c>
      <c r="J477" s="60"/>
      <c r="K477" s="60"/>
      <c r="L477" s="55"/>
      <c r="M477" s="60"/>
      <c r="N477" s="60"/>
      <c r="O477" s="55"/>
      <c r="P477" s="161"/>
      <c r="Q477" s="160" t="str">
        <f>IF(enrollment_table[[#This Row],[Enrollment Date]]="","",TEXT(enrollment_table[[#This Row],[Enrollment Date]],"mmmm"))</f>
        <v/>
      </c>
      <c r="R477" s="60"/>
    </row>
    <row r="478" spans="1:18" ht="15" x14ac:dyDescent="0.3">
      <c r="A478" s="129"/>
      <c r="B478" s="60"/>
      <c r="C478" s="55"/>
      <c r="D478" s="60"/>
      <c r="E478" s="103">
        <f>_xlfn.XLOOKUP(enrollment_table[[#This Row],[*Subject]], classes_table[*Subject], classes_table[Fee])</f>
        <v>0</v>
      </c>
      <c r="F478" s="58"/>
      <c r="G478" s="60"/>
      <c r="H478" s="55"/>
      <c r="I478" s="176">
        <f>_xlfn.XLOOKUP(enrollment_table[[#This Row],[*Teacher Name]], teachers_table[*Teacher Name], teachers_table[*Teacher ID])</f>
        <v>0</v>
      </c>
      <c r="J478" s="60"/>
      <c r="K478" s="60"/>
      <c r="L478" s="55"/>
      <c r="M478" s="60"/>
      <c r="N478" s="60"/>
      <c r="O478" s="55"/>
      <c r="P478" s="161"/>
      <c r="Q478" s="160" t="str">
        <f>IF(enrollment_table[[#This Row],[Enrollment Date]]="","",TEXT(enrollment_table[[#This Row],[Enrollment Date]],"mmmm"))</f>
        <v/>
      </c>
      <c r="R478" s="60"/>
    </row>
    <row r="479" spans="1:18" ht="15" x14ac:dyDescent="0.3">
      <c r="A479" s="129"/>
      <c r="B479" s="60"/>
      <c r="C479" s="55"/>
      <c r="D479" s="60"/>
      <c r="E479" s="103">
        <f>_xlfn.XLOOKUP(enrollment_table[[#This Row],[*Subject]], classes_table[*Subject], classes_table[Fee])</f>
        <v>0</v>
      </c>
      <c r="F479" s="58"/>
      <c r="G479" s="60"/>
      <c r="H479" s="55"/>
      <c r="I479" s="176">
        <f>_xlfn.XLOOKUP(enrollment_table[[#This Row],[*Teacher Name]], teachers_table[*Teacher Name], teachers_table[*Teacher ID])</f>
        <v>0</v>
      </c>
      <c r="J479" s="60"/>
      <c r="K479" s="60"/>
      <c r="L479" s="55"/>
      <c r="M479" s="60"/>
      <c r="N479" s="60"/>
      <c r="O479" s="55"/>
      <c r="P479" s="161"/>
      <c r="Q479" s="160" t="str">
        <f>IF(enrollment_table[[#This Row],[Enrollment Date]]="","",TEXT(enrollment_table[[#This Row],[Enrollment Date]],"mmmm"))</f>
        <v/>
      </c>
      <c r="R479" s="60"/>
    </row>
    <row r="480" spans="1:18" ht="15" x14ac:dyDescent="0.3">
      <c r="A480" s="129"/>
      <c r="B480" s="60"/>
      <c r="C480" s="55"/>
      <c r="D480" s="60"/>
      <c r="E480" s="103">
        <f>_xlfn.XLOOKUP(enrollment_table[[#This Row],[*Subject]], classes_table[*Subject], classes_table[Fee])</f>
        <v>0</v>
      </c>
      <c r="F480" s="58"/>
      <c r="G480" s="60"/>
      <c r="H480" s="55"/>
      <c r="I480" s="176">
        <f>_xlfn.XLOOKUP(enrollment_table[[#This Row],[*Teacher Name]], teachers_table[*Teacher Name], teachers_table[*Teacher ID])</f>
        <v>0</v>
      </c>
      <c r="J480" s="60"/>
      <c r="K480" s="60"/>
      <c r="L480" s="55"/>
      <c r="M480" s="60"/>
      <c r="N480" s="60"/>
      <c r="O480" s="55"/>
      <c r="P480" s="161"/>
      <c r="Q480" s="160" t="str">
        <f>IF(enrollment_table[[#This Row],[Enrollment Date]]="","",TEXT(enrollment_table[[#This Row],[Enrollment Date]],"mmmm"))</f>
        <v/>
      </c>
      <c r="R480" s="60"/>
    </row>
    <row r="481" spans="1:18" ht="15" x14ac:dyDescent="0.3">
      <c r="A481" s="129"/>
      <c r="B481" s="60"/>
      <c r="C481" s="55"/>
      <c r="D481" s="60"/>
      <c r="E481" s="103">
        <f>_xlfn.XLOOKUP(enrollment_table[[#This Row],[*Subject]], classes_table[*Subject], classes_table[Fee])</f>
        <v>0</v>
      </c>
      <c r="F481" s="58"/>
      <c r="G481" s="60"/>
      <c r="H481" s="55"/>
      <c r="I481" s="176">
        <f>_xlfn.XLOOKUP(enrollment_table[[#This Row],[*Teacher Name]], teachers_table[*Teacher Name], teachers_table[*Teacher ID])</f>
        <v>0</v>
      </c>
      <c r="J481" s="60"/>
      <c r="K481" s="60"/>
      <c r="L481" s="55"/>
      <c r="M481" s="60"/>
      <c r="N481" s="60"/>
      <c r="O481" s="55"/>
      <c r="P481" s="161"/>
      <c r="Q481" s="160" t="str">
        <f>IF(enrollment_table[[#This Row],[Enrollment Date]]="","",TEXT(enrollment_table[[#This Row],[Enrollment Date]],"mmmm"))</f>
        <v/>
      </c>
      <c r="R481" s="60"/>
    </row>
    <row r="482" spans="1:18" ht="15" x14ac:dyDescent="0.3">
      <c r="A482" s="129"/>
      <c r="B482" s="60"/>
      <c r="C482" s="55"/>
      <c r="D482" s="60"/>
      <c r="E482" s="103">
        <f>_xlfn.XLOOKUP(enrollment_table[[#This Row],[*Subject]], classes_table[*Subject], classes_table[Fee])</f>
        <v>0</v>
      </c>
      <c r="F482" s="58"/>
      <c r="G482" s="60"/>
      <c r="H482" s="55"/>
      <c r="I482" s="176">
        <f>_xlfn.XLOOKUP(enrollment_table[[#This Row],[*Teacher Name]], teachers_table[*Teacher Name], teachers_table[*Teacher ID])</f>
        <v>0</v>
      </c>
      <c r="J482" s="60"/>
      <c r="K482" s="60"/>
      <c r="L482" s="55"/>
      <c r="M482" s="60"/>
      <c r="N482" s="60"/>
      <c r="O482" s="55"/>
      <c r="P482" s="161"/>
      <c r="Q482" s="160" t="str">
        <f>IF(enrollment_table[[#This Row],[Enrollment Date]]="","",TEXT(enrollment_table[[#This Row],[Enrollment Date]],"mmmm"))</f>
        <v/>
      </c>
      <c r="R482" s="60"/>
    </row>
    <row r="483" spans="1:18" ht="15" x14ac:dyDescent="0.3">
      <c r="A483" s="129"/>
      <c r="B483" s="60"/>
      <c r="C483" s="55"/>
      <c r="D483" s="60"/>
      <c r="E483" s="103">
        <f>_xlfn.XLOOKUP(enrollment_table[[#This Row],[*Subject]], classes_table[*Subject], classes_table[Fee])</f>
        <v>0</v>
      </c>
      <c r="F483" s="58"/>
      <c r="G483" s="60"/>
      <c r="H483" s="55"/>
      <c r="I483" s="176">
        <f>_xlfn.XLOOKUP(enrollment_table[[#This Row],[*Teacher Name]], teachers_table[*Teacher Name], teachers_table[*Teacher ID])</f>
        <v>0</v>
      </c>
      <c r="J483" s="60"/>
      <c r="K483" s="60"/>
      <c r="L483" s="55"/>
      <c r="M483" s="60"/>
      <c r="N483" s="60"/>
      <c r="O483" s="55"/>
      <c r="P483" s="161"/>
      <c r="Q483" s="160" t="str">
        <f>IF(enrollment_table[[#This Row],[Enrollment Date]]="","",TEXT(enrollment_table[[#This Row],[Enrollment Date]],"mmmm"))</f>
        <v/>
      </c>
      <c r="R483" s="60"/>
    </row>
    <row r="484" spans="1:18" ht="15" x14ac:dyDescent="0.3">
      <c r="A484" s="129"/>
      <c r="B484" s="60"/>
      <c r="C484" s="55"/>
      <c r="D484" s="60"/>
      <c r="E484" s="103">
        <f>_xlfn.XLOOKUP(enrollment_table[[#This Row],[*Subject]], classes_table[*Subject], classes_table[Fee])</f>
        <v>0</v>
      </c>
      <c r="F484" s="58"/>
      <c r="G484" s="60"/>
      <c r="H484" s="55"/>
      <c r="I484" s="176">
        <f>_xlfn.XLOOKUP(enrollment_table[[#This Row],[*Teacher Name]], teachers_table[*Teacher Name], teachers_table[*Teacher ID])</f>
        <v>0</v>
      </c>
      <c r="J484" s="60"/>
      <c r="K484" s="60"/>
      <c r="L484" s="55"/>
      <c r="M484" s="60"/>
      <c r="N484" s="60"/>
      <c r="O484" s="55"/>
      <c r="P484" s="161"/>
      <c r="Q484" s="160" t="str">
        <f>IF(enrollment_table[[#This Row],[Enrollment Date]]="","",TEXT(enrollment_table[[#This Row],[Enrollment Date]],"mmmm"))</f>
        <v/>
      </c>
      <c r="R484" s="60"/>
    </row>
    <row r="485" spans="1:18" ht="15" x14ac:dyDescent="0.3">
      <c r="A485" s="129"/>
      <c r="B485" s="60"/>
      <c r="C485" s="55"/>
      <c r="D485" s="60"/>
      <c r="E485" s="103">
        <f>_xlfn.XLOOKUP(enrollment_table[[#This Row],[*Subject]], classes_table[*Subject], classes_table[Fee])</f>
        <v>0</v>
      </c>
      <c r="F485" s="58"/>
      <c r="G485" s="60"/>
      <c r="H485" s="55"/>
      <c r="I485" s="176">
        <f>_xlfn.XLOOKUP(enrollment_table[[#This Row],[*Teacher Name]], teachers_table[*Teacher Name], teachers_table[*Teacher ID])</f>
        <v>0</v>
      </c>
      <c r="J485" s="60"/>
      <c r="K485" s="60"/>
      <c r="L485" s="55"/>
      <c r="M485" s="60"/>
      <c r="N485" s="60"/>
      <c r="O485" s="55"/>
      <c r="P485" s="161"/>
      <c r="Q485" s="160" t="str">
        <f>IF(enrollment_table[[#This Row],[Enrollment Date]]="","",TEXT(enrollment_table[[#This Row],[Enrollment Date]],"mmmm"))</f>
        <v/>
      </c>
      <c r="R485" s="60"/>
    </row>
    <row r="486" spans="1:18" ht="15" x14ac:dyDescent="0.3">
      <c r="A486" s="129"/>
      <c r="B486" s="60"/>
      <c r="C486" s="55"/>
      <c r="D486" s="60"/>
      <c r="E486" s="103">
        <f>_xlfn.XLOOKUP(enrollment_table[[#This Row],[*Subject]], classes_table[*Subject], classes_table[Fee])</f>
        <v>0</v>
      </c>
      <c r="F486" s="58"/>
      <c r="G486" s="60"/>
      <c r="H486" s="55"/>
      <c r="I486" s="176">
        <f>_xlfn.XLOOKUP(enrollment_table[[#This Row],[*Teacher Name]], teachers_table[*Teacher Name], teachers_table[*Teacher ID])</f>
        <v>0</v>
      </c>
      <c r="J486" s="60"/>
      <c r="K486" s="60"/>
      <c r="L486" s="55"/>
      <c r="M486" s="60"/>
      <c r="N486" s="60"/>
      <c r="O486" s="55"/>
      <c r="P486" s="161"/>
      <c r="Q486" s="160" t="str">
        <f>IF(enrollment_table[[#This Row],[Enrollment Date]]="","",TEXT(enrollment_table[[#This Row],[Enrollment Date]],"mmmm"))</f>
        <v/>
      </c>
      <c r="R486" s="60"/>
    </row>
    <row r="487" spans="1:18" ht="15" x14ac:dyDescent="0.3">
      <c r="A487" s="129"/>
      <c r="B487" s="60"/>
      <c r="C487" s="55"/>
      <c r="D487" s="60"/>
      <c r="E487" s="103">
        <f>_xlfn.XLOOKUP(enrollment_table[[#This Row],[*Subject]], classes_table[*Subject], classes_table[Fee])</f>
        <v>0</v>
      </c>
      <c r="F487" s="58"/>
      <c r="G487" s="60"/>
      <c r="H487" s="55"/>
      <c r="I487" s="176">
        <f>_xlfn.XLOOKUP(enrollment_table[[#This Row],[*Teacher Name]], teachers_table[*Teacher Name], teachers_table[*Teacher ID])</f>
        <v>0</v>
      </c>
      <c r="J487" s="60"/>
      <c r="K487" s="60"/>
      <c r="L487" s="55"/>
      <c r="M487" s="60"/>
      <c r="N487" s="60"/>
      <c r="O487" s="55"/>
      <c r="P487" s="161"/>
      <c r="Q487" s="160" t="str">
        <f>IF(enrollment_table[[#This Row],[Enrollment Date]]="","",TEXT(enrollment_table[[#This Row],[Enrollment Date]],"mmmm"))</f>
        <v/>
      </c>
      <c r="R487" s="60"/>
    </row>
    <row r="488" spans="1:18" ht="15" x14ac:dyDescent="0.3">
      <c r="A488" s="129"/>
      <c r="B488" s="60"/>
      <c r="C488" s="55"/>
      <c r="D488" s="60"/>
      <c r="E488" s="103">
        <f>_xlfn.XLOOKUP(enrollment_table[[#This Row],[*Subject]], classes_table[*Subject], classes_table[Fee])</f>
        <v>0</v>
      </c>
      <c r="F488" s="58"/>
      <c r="G488" s="60"/>
      <c r="H488" s="55"/>
      <c r="I488" s="176">
        <f>_xlfn.XLOOKUP(enrollment_table[[#This Row],[*Teacher Name]], teachers_table[*Teacher Name], teachers_table[*Teacher ID])</f>
        <v>0</v>
      </c>
      <c r="J488" s="60"/>
      <c r="K488" s="60"/>
      <c r="L488" s="55"/>
      <c r="M488" s="60"/>
      <c r="N488" s="60"/>
      <c r="O488" s="55"/>
      <c r="P488" s="161"/>
      <c r="Q488" s="160" t="str">
        <f>IF(enrollment_table[[#This Row],[Enrollment Date]]="","",TEXT(enrollment_table[[#This Row],[Enrollment Date]],"mmmm"))</f>
        <v/>
      </c>
      <c r="R488" s="60"/>
    </row>
    <row r="489" spans="1:18" ht="15" x14ac:dyDescent="0.3">
      <c r="A489" s="129"/>
      <c r="B489" s="60"/>
      <c r="C489" s="55"/>
      <c r="D489" s="60"/>
      <c r="E489" s="103">
        <f>_xlfn.XLOOKUP(enrollment_table[[#This Row],[*Subject]], classes_table[*Subject], classes_table[Fee])</f>
        <v>0</v>
      </c>
      <c r="F489" s="58"/>
      <c r="G489" s="60"/>
      <c r="H489" s="55"/>
      <c r="I489" s="176">
        <f>_xlfn.XLOOKUP(enrollment_table[[#This Row],[*Teacher Name]], teachers_table[*Teacher Name], teachers_table[*Teacher ID])</f>
        <v>0</v>
      </c>
      <c r="J489" s="60"/>
      <c r="K489" s="60"/>
      <c r="L489" s="55"/>
      <c r="M489" s="60"/>
      <c r="N489" s="60"/>
      <c r="O489" s="55"/>
      <c r="P489" s="161"/>
      <c r="Q489" s="160" t="str">
        <f>IF(enrollment_table[[#This Row],[Enrollment Date]]="","",TEXT(enrollment_table[[#This Row],[Enrollment Date]],"mmmm"))</f>
        <v/>
      </c>
      <c r="R489" s="60"/>
    </row>
    <row r="490" spans="1:18" ht="15" x14ac:dyDescent="0.3">
      <c r="A490" s="129"/>
      <c r="B490" s="60"/>
      <c r="C490" s="55"/>
      <c r="D490" s="60"/>
      <c r="E490" s="103">
        <f>_xlfn.XLOOKUP(enrollment_table[[#This Row],[*Subject]], classes_table[*Subject], classes_table[Fee])</f>
        <v>0</v>
      </c>
      <c r="F490" s="58"/>
      <c r="G490" s="60"/>
      <c r="H490" s="55"/>
      <c r="I490" s="176">
        <f>_xlfn.XLOOKUP(enrollment_table[[#This Row],[*Teacher Name]], teachers_table[*Teacher Name], teachers_table[*Teacher ID])</f>
        <v>0</v>
      </c>
      <c r="J490" s="60"/>
      <c r="K490" s="60"/>
      <c r="L490" s="55"/>
      <c r="M490" s="60"/>
      <c r="N490" s="60"/>
      <c r="O490" s="55"/>
      <c r="P490" s="161"/>
      <c r="Q490" s="160" t="str">
        <f>IF(enrollment_table[[#This Row],[Enrollment Date]]="","",TEXT(enrollment_table[[#This Row],[Enrollment Date]],"mmmm"))</f>
        <v/>
      </c>
      <c r="R490" s="60"/>
    </row>
    <row r="491" spans="1:18" ht="15" x14ac:dyDescent="0.3">
      <c r="A491" s="129"/>
      <c r="B491" s="60"/>
      <c r="C491" s="55"/>
      <c r="D491" s="60"/>
      <c r="E491" s="103">
        <f>_xlfn.XLOOKUP(enrollment_table[[#This Row],[*Subject]], classes_table[*Subject], classes_table[Fee])</f>
        <v>0</v>
      </c>
      <c r="F491" s="58"/>
      <c r="G491" s="60"/>
      <c r="H491" s="55"/>
      <c r="I491" s="176">
        <f>_xlfn.XLOOKUP(enrollment_table[[#This Row],[*Teacher Name]], teachers_table[*Teacher Name], teachers_table[*Teacher ID])</f>
        <v>0</v>
      </c>
      <c r="J491" s="60"/>
      <c r="K491" s="60"/>
      <c r="L491" s="55"/>
      <c r="M491" s="60"/>
      <c r="N491" s="60"/>
      <c r="O491" s="55"/>
      <c r="P491" s="161"/>
      <c r="Q491" s="160" t="str">
        <f>IF(enrollment_table[[#This Row],[Enrollment Date]]="","",TEXT(enrollment_table[[#This Row],[Enrollment Date]],"mmmm"))</f>
        <v/>
      </c>
      <c r="R491" s="60"/>
    </row>
    <row r="492" spans="1:18" ht="15" x14ac:dyDescent="0.3">
      <c r="A492" s="129"/>
      <c r="B492" s="60"/>
      <c r="C492" s="55"/>
      <c r="D492" s="60"/>
      <c r="E492" s="103">
        <f>_xlfn.XLOOKUP(enrollment_table[[#This Row],[*Subject]], classes_table[*Subject], classes_table[Fee])</f>
        <v>0</v>
      </c>
      <c r="F492" s="58"/>
      <c r="G492" s="60"/>
      <c r="H492" s="55"/>
      <c r="I492" s="176">
        <f>_xlfn.XLOOKUP(enrollment_table[[#This Row],[*Teacher Name]], teachers_table[*Teacher Name], teachers_table[*Teacher ID])</f>
        <v>0</v>
      </c>
      <c r="J492" s="60"/>
      <c r="K492" s="60"/>
      <c r="L492" s="55"/>
      <c r="M492" s="60"/>
      <c r="N492" s="60"/>
      <c r="O492" s="55"/>
      <c r="P492" s="161"/>
      <c r="Q492" s="160" t="str">
        <f>IF(enrollment_table[[#This Row],[Enrollment Date]]="","",TEXT(enrollment_table[[#This Row],[Enrollment Date]],"mmmm"))</f>
        <v/>
      </c>
      <c r="R492" s="60"/>
    </row>
    <row r="493" spans="1:18" ht="15" x14ac:dyDescent="0.3">
      <c r="A493" s="129"/>
      <c r="B493" s="60"/>
      <c r="C493" s="55"/>
      <c r="D493" s="60"/>
      <c r="E493" s="103">
        <f>_xlfn.XLOOKUP(enrollment_table[[#This Row],[*Subject]], classes_table[*Subject], classes_table[Fee])</f>
        <v>0</v>
      </c>
      <c r="F493" s="58"/>
      <c r="G493" s="60"/>
      <c r="H493" s="55"/>
      <c r="I493" s="176">
        <f>_xlfn.XLOOKUP(enrollment_table[[#This Row],[*Teacher Name]], teachers_table[*Teacher Name], teachers_table[*Teacher ID])</f>
        <v>0</v>
      </c>
      <c r="J493" s="60"/>
      <c r="K493" s="60"/>
      <c r="L493" s="55"/>
      <c r="M493" s="60"/>
      <c r="N493" s="60"/>
      <c r="O493" s="55"/>
      <c r="P493" s="161"/>
      <c r="Q493" s="160" t="str">
        <f>IF(enrollment_table[[#This Row],[Enrollment Date]]="","",TEXT(enrollment_table[[#This Row],[Enrollment Date]],"mmmm"))</f>
        <v/>
      </c>
      <c r="R493" s="60"/>
    </row>
    <row r="494" spans="1:18" ht="15" x14ac:dyDescent="0.3">
      <c r="A494" s="129"/>
      <c r="B494" s="60"/>
      <c r="C494" s="55"/>
      <c r="D494" s="60"/>
      <c r="E494" s="103">
        <f>_xlfn.XLOOKUP(enrollment_table[[#This Row],[*Subject]], classes_table[*Subject], classes_table[Fee])</f>
        <v>0</v>
      </c>
      <c r="F494" s="58"/>
      <c r="G494" s="60"/>
      <c r="H494" s="55"/>
      <c r="I494" s="176">
        <f>_xlfn.XLOOKUP(enrollment_table[[#This Row],[*Teacher Name]], teachers_table[*Teacher Name], teachers_table[*Teacher ID])</f>
        <v>0</v>
      </c>
      <c r="J494" s="60"/>
      <c r="K494" s="60"/>
      <c r="L494" s="55"/>
      <c r="M494" s="60"/>
      <c r="N494" s="60"/>
      <c r="O494" s="55"/>
      <c r="P494" s="161"/>
      <c r="Q494" s="160" t="str">
        <f>IF(enrollment_table[[#This Row],[Enrollment Date]]="","",TEXT(enrollment_table[[#This Row],[Enrollment Date]],"mmmm"))</f>
        <v/>
      </c>
      <c r="R494" s="60"/>
    </row>
    <row r="495" spans="1:18" ht="15" x14ac:dyDescent="0.3">
      <c r="A495" s="129"/>
      <c r="B495" s="60"/>
      <c r="C495" s="55"/>
      <c r="D495" s="60"/>
      <c r="E495" s="103">
        <f>_xlfn.XLOOKUP(enrollment_table[[#This Row],[*Subject]], classes_table[*Subject], classes_table[Fee])</f>
        <v>0</v>
      </c>
      <c r="F495" s="58"/>
      <c r="G495" s="60"/>
      <c r="H495" s="55"/>
      <c r="I495" s="176">
        <f>_xlfn.XLOOKUP(enrollment_table[[#This Row],[*Teacher Name]], teachers_table[*Teacher Name], teachers_table[*Teacher ID])</f>
        <v>0</v>
      </c>
      <c r="J495" s="60"/>
      <c r="K495" s="60"/>
      <c r="L495" s="55"/>
      <c r="M495" s="60"/>
      <c r="N495" s="60"/>
      <c r="O495" s="55"/>
      <c r="P495" s="161"/>
      <c r="Q495" s="160" t="str">
        <f>IF(enrollment_table[[#This Row],[Enrollment Date]]="","",TEXT(enrollment_table[[#This Row],[Enrollment Date]],"mmmm"))</f>
        <v/>
      </c>
      <c r="R495" s="60"/>
    </row>
    <row r="496" spans="1:18" ht="15" x14ac:dyDescent="0.3">
      <c r="A496" s="129"/>
      <c r="B496" s="60"/>
      <c r="C496" s="55"/>
      <c r="D496" s="60"/>
      <c r="E496" s="103">
        <f>_xlfn.XLOOKUP(enrollment_table[[#This Row],[*Subject]], classes_table[*Subject], classes_table[Fee])</f>
        <v>0</v>
      </c>
      <c r="F496" s="58"/>
      <c r="G496" s="60"/>
      <c r="H496" s="55"/>
      <c r="I496" s="176">
        <f>_xlfn.XLOOKUP(enrollment_table[[#This Row],[*Teacher Name]], teachers_table[*Teacher Name], teachers_table[*Teacher ID])</f>
        <v>0</v>
      </c>
      <c r="J496" s="60"/>
      <c r="K496" s="60"/>
      <c r="L496" s="55"/>
      <c r="M496" s="60"/>
      <c r="N496" s="60"/>
      <c r="O496" s="55"/>
      <c r="P496" s="161"/>
      <c r="Q496" s="160" t="str">
        <f>IF(enrollment_table[[#This Row],[Enrollment Date]]="","",TEXT(enrollment_table[[#This Row],[Enrollment Date]],"mmmm"))</f>
        <v/>
      </c>
      <c r="R496" s="60"/>
    </row>
    <row r="497" spans="1:18" ht="15" x14ac:dyDescent="0.3">
      <c r="A497" s="129"/>
      <c r="B497" s="60"/>
      <c r="C497" s="55"/>
      <c r="D497" s="60"/>
      <c r="E497" s="103">
        <f>_xlfn.XLOOKUP(enrollment_table[[#This Row],[*Subject]], classes_table[*Subject], classes_table[Fee])</f>
        <v>0</v>
      </c>
      <c r="F497" s="58"/>
      <c r="G497" s="60"/>
      <c r="H497" s="55"/>
      <c r="I497" s="176">
        <f>_xlfn.XLOOKUP(enrollment_table[[#This Row],[*Teacher Name]], teachers_table[*Teacher Name], teachers_table[*Teacher ID])</f>
        <v>0</v>
      </c>
      <c r="J497" s="60"/>
      <c r="K497" s="60"/>
      <c r="L497" s="55"/>
      <c r="M497" s="60"/>
      <c r="N497" s="60"/>
      <c r="O497" s="55"/>
      <c r="P497" s="161"/>
      <c r="Q497" s="160" t="str">
        <f>IF(enrollment_table[[#This Row],[Enrollment Date]]="","",TEXT(enrollment_table[[#This Row],[Enrollment Date]],"mmmm"))</f>
        <v/>
      </c>
      <c r="R497" s="60"/>
    </row>
    <row r="498" spans="1:18" ht="15" x14ac:dyDescent="0.3">
      <c r="A498" s="129"/>
      <c r="B498" s="60"/>
      <c r="C498" s="55"/>
      <c r="D498" s="60"/>
      <c r="E498" s="103">
        <f>_xlfn.XLOOKUP(enrollment_table[[#This Row],[*Subject]], classes_table[*Subject], classes_table[Fee])</f>
        <v>0</v>
      </c>
      <c r="F498" s="58"/>
      <c r="G498" s="60"/>
      <c r="H498" s="55"/>
      <c r="I498" s="176">
        <f>_xlfn.XLOOKUP(enrollment_table[[#This Row],[*Teacher Name]], teachers_table[*Teacher Name], teachers_table[*Teacher ID])</f>
        <v>0</v>
      </c>
      <c r="J498" s="60"/>
      <c r="K498" s="60"/>
      <c r="L498" s="55"/>
      <c r="M498" s="60"/>
      <c r="N498" s="60"/>
      <c r="O498" s="55"/>
      <c r="P498" s="161"/>
      <c r="Q498" s="160" t="str">
        <f>IF(enrollment_table[[#This Row],[Enrollment Date]]="","",TEXT(enrollment_table[[#This Row],[Enrollment Date]],"mmmm"))</f>
        <v/>
      </c>
      <c r="R498" s="60"/>
    </row>
    <row r="499" spans="1:18" ht="15" x14ac:dyDescent="0.3">
      <c r="A499" s="129"/>
      <c r="B499" s="60"/>
      <c r="C499" s="55"/>
      <c r="D499" s="60"/>
      <c r="E499" s="103">
        <f>_xlfn.XLOOKUP(enrollment_table[[#This Row],[*Subject]], classes_table[*Subject], classes_table[Fee])</f>
        <v>0</v>
      </c>
      <c r="F499" s="58"/>
      <c r="G499" s="60"/>
      <c r="H499" s="55"/>
      <c r="I499" s="176">
        <f>_xlfn.XLOOKUP(enrollment_table[[#This Row],[*Teacher Name]], teachers_table[*Teacher Name], teachers_table[*Teacher ID])</f>
        <v>0</v>
      </c>
      <c r="J499" s="60"/>
      <c r="K499" s="60"/>
      <c r="L499" s="55"/>
      <c r="M499" s="60"/>
      <c r="N499" s="60"/>
      <c r="O499" s="55"/>
      <c r="P499" s="161"/>
      <c r="Q499" s="160" t="str">
        <f>IF(enrollment_table[[#This Row],[Enrollment Date]]="","",TEXT(enrollment_table[[#This Row],[Enrollment Date]],"mmmm"))</f>
        <v/>
      </c>
      <c r="R499" s="60"/>
    </row>
    <row r="500" spans="1:18" ht="15" x14ac:dyDescent="0.3">
      <c r="A500" s="129"/>
      <c r="B500" s="60"/>
      <c r="C500" s="55"/>
      <c r="D500" s="60"/>
      <c r="E500" s="103">
        <f>_xlfn.XLOOKUP(enrollment_table[[#This Row],[*Subject]], classes_table[*Subject], classes_table[Fee])</f>
        <v>0</v>
      </c>
      <c r="F500" s="58"/>
      <c r="G500" s="60"/>
      <c r="H500" s="55"/>
      <c r="I500" s="176">
        <f>_xlfn.XLOOKUP(enrollment_table[[#This Row],[*Teacher Name]], teachers_table[*Teacher Name], teachers_table[*Teacher ID])</f>
        <v>0</v>
      </c>
      <c r="J500" s="60"/>
      <c r="K500" s="60"/>
      <c r="L500" s="55"/>
      <c r="M500" s="60"/>
      <c r="N500" s="60"/>
      <c r="O500" s="55"/>
      <c r="P500" s="161"/>
      <c r="Q500" s="160" t="str">
        <f>IF(enrollment_table[[#This Row],[Enrollment Date]]="","",TEXT(enrollment_table[[#This Row],[Enrollment Date]],"mmmm"))</f>
        <v/>
      </c>
      <c r="R500" s="60"/>
    </row>
    <row r="501" spans="1:18" ht="15" x14ac:dyDescent="0.3">
      <c r="A501" s="129"/>
      <c r="B501" s="60"/>
      <c r="C501" s="55"/>
      <c r="D501" s="60"/>
      <c r="E501" s="103">
        <f>_xlfn.XLOOKUP(enrollment_table[[#This Row],[*Subject]], classes_table[*Subject], classes_table[Fee])</f>
        <v>0</v>
      </c>
      <c r="F501" s="58"/>
      <c r="G501" s="60"/>
      <c r="H501" s="55"/>
      <c r="I501" s="176">
        <f>_xlfn.XLOOKUP(enrollment_table[[#This Row],[*Teacher Name]], teachers_table[*Teacher Name], teachers_table[*Teacher ID])</f>
        <v>0</v>
      </c>
      <c r="J501" s="60"/>
      <c r="K501" s="60"/>
      <c r="L501" s="55"/>
      <c r="M501" s="60"/>
      <c r="N501" s="60"/>
      <c r="O501" s="55"/>
      <c r="P501" s="161"/>
      <c r="Q501" s="160" t="str">
        <f>IF(enrollment_table[[#This Row],[Enrollment Date]]="","",TEXT(enrollment_table[[#This Row],[Enrollment Date]],"mmmm"))</f>
        <v/>
      </c>
      <c r="R501" s="60"/>
    </row>
    <row r="502" spans="1:18" ht="15" x14ac:dyDescent="0.3">
      <c r="A502" s="129"/>
      <c r="B502" s="60"/>
      <c r="C502" s="55"/>
      <c r="D502" s="60"/>
      <c r="E502" s="103">
        <f>_xlfn.XLOOKUP(enrollment_table[[#This Row],[*Subject]], classes_table[*Subject], classes_table[Fee])</f>
        <v>0</v>
      </c>
      <c r="F502" s="58"/>
      <c r="G502" s="60"/>
      <c r="H502" s="55"/>
      <c r="I502" s="176">
        <f>_xlfn.XLOOKUP(enrollment_table[[#This Row],[*Teacher Name]], teachers_table[*Teacher Name], teachers_table[*Teacher ID])</f>
        <v>0</v>
      </c>
      <c r="J502" s="60"/>
      <c r="K502" s="60"/>
      <c r="L502" s="55"/>
      <c r="M502" s="60"/>
      <c r="N502" s="60"/>
      <c r="O502" s="55"/>
      <c r="P502" s="161"/>
      <c r="Q502" s="160" t="str">
        <f>IF(enrollment_table[[#This Row],[Enrollment Date]]="","",TEXT(enrollment_table[[#This Row],[Enrollment Date]],"mmmm"))</f>
        <v/>
      </c>
      <c r="R502" s="60"/>
    </row>
    <row r="503" spans="1:18" ht="15" x14ac:dyDescent="0.3">
      <c r="A503" s="129"/>
      <c r="B503" s="60"/>
      <c r="C503" s="55"/>
      <c r="D503" s="60"/>
      <c r="E503" s="103">
        <f>_xlfn.XLOOKUP(enrollment_table[[#This Row],[*Subject]], classes_table[*Subject], classes_table[Fee])</f>
        <v>0</v>
      </c>
      <c r="F503" s="58"/>
      <c r="G503" s="60"/>
      <c r="H503" s="55"/>
      <c r="I503" s="176">
        <f>_xlfn.XLOOKUP(enrollment_table[[#This Row],[*Teacher Name]], teachers_table[*Teacher Name], teachers_table[*Teacher ID])</f>
        <v>0</v>
      </c>
      <c r="J503" s="60"/>
      <c r="K503" s="60"/>
      <c r="L503" s="55"/>
      <c r="M503" s="60"/>
      <c r="N503" s="60"/>
      <c r="O503" s="55"/>
      <c r="P503" s="161"/>
      <c r="Q503" s="160" t="str">
        <f>IF(enrollment_table[[#This Row],[Enrollment Date]]="","",TEXT(enrollment_table[[#This Row],[Enrollment Date]],"mmmm"))</f>
        <v/>
      </c>
      <c r="R503" s="60"/>
    </row>
    <row r="504" spans="1:18" ht="15" x14ac:dyDescent="0.3">
      <c r="A504" s="129"/>
      <c r="B504" s="60"/>
      <c r="C504" s="55"/>
      <c r="D504" s="60"/>
      <c r="E504" s="103">
        <f>_xlfn.XLOOKUP(enrollment_table[[#This Row],[*Subject]], classes_table[*Subject], classes_table[Fee])</f>
        <v>0</v>
      </c>
      <c r="F504" s="58"/>
      <c r="G504" s="60"/>
      <c r="H504" s="55"/>
      <c r="I504" s="176">
        <f>_xlfn.XLOOKUP(enrollment_table[[#This Row],[*Teacher Name]], teachers_table[*Teacher Name], teachers_table[*Teacher ID])</f>
        <v>0</v>
      </c>
      <c r="J504" s="60"/>
      <c r="K504" s="60"/>
      <c r="L504" s="55"/>
      <c r="M504" s="60"/>
      <c r="N504" s="60"/>
      <c r="O504" s="55"/>
      <c r="P504" s="161"/>
      <c r="Q504" s="160" t="str">
        <f>IF(enrollment_table[[#This Row],[Enrollment Date]]="","",TEXT(enrollment_table[[#This Row],[Enrollment Date]],"mmmm"))</f>
        <v/>
      </c>
      <c r="R504" s="60"/>
    </row>
    <row r="505" spans="1:18" ht="15" x14ac:dyDescent="0.3">
      <c r="A505" s="129"/>
      <c r="B505" s="60"/>
      <c r="C505" s="55"/>
      <c r="D505" s="60"/>
      <c r="E505" s="103">
        <f>_xlfn.XLOOKUP(enrollment_table[[#This Row],[*Subject]], classes_table[*Subject], classes_table[Fee])</f>
        <v>0</v>
      </c>
      <c r="F505" s="58"/>
      <c r="G505" s="60"/>
      <c r="H505" s="55"/>
      <c r="I505" s="176">
        <f>_xlfn.XLOOKUP(enrollment_table[[#This Row],[*Teacher Name]], teachers_table[*Teacher Name], teachers_table[*Teacher ID])</f>
        <v>0</v>
      </c>
      <c r="J505" s="60"/>
      <c r="K505" s="60"/>
      <c r="L505" s="55"/>
      <c r="M505" s="60"/>
      <c r="N505" s="60"/>
      <c r="O505" s="55"/>
      <c r="P505" s="161"/>
      <c r="Q505" s="160" t="str">
        <f>IF(enrollment_table[[#This Row],[Enrollment Date]]="","",TEXT(enrollment_table[[#This Row],[Enrollment Date]],"mmmm"))</f>
        <v/>
      </c>
      <c r="R505" s="60"/>
    </row>
    <row r="506" spans="1:18" ht="15" x14ac:dyDescent="0.3">
      <c r="A506" s="129"/>
      <c r="B506" s="60"/>
      <c r="C506" s="55"/>
      <c r="D506" s="60"/>
      <c r="E506" s="103">
        <f>_xlfn.XLOOKUP(enrollment_table[[#This Row],[*Subject]], classes_table[*Subject], classes_table[Fee])</f>
        <v>0</v>
      </c>
      <c r="F506" s="58"/>
      <c r="G506" s="60"/>
      <c r="H506" s="55"/>
      <c r="I506" s="176">
        <f>_xlfn.XLOOKUP(enrollment_table[[#This Row],[*Teacher Name]], teachers_table[*Teacher Name], teachers_table[*Teacher ID])</f>
        <v>0</v>
      </c>
      <c r="J506" s="60"/>
      <c r="K506" s="60"/>
      <c r="L506" s="55"/>
      <c r="M506" s="60"/>
      <c r="N506" s="60"/>
      <c r="O506" s="55"/>
      <c r="P506" s="161"/>
      <c r="Q506" s="160" t="str">
        <f>IF(enrollment_table[[#This Row],[Enrollment Date]]="","",TEXT(enrollment_table[[#This Row],[Enrollment Date]],"mmmm"))</f>
        <v/>
      </c>
      <c r="R506" s="60"/>
    </row>
    <row r="507" spans="1:18" ht="15" x14ac:dyDescent="0.3">
      <c r="A507" s="129"/>
      <c r="B507" s="60"/>
      <c r="C507" s="55"/>
      <c r="D507" s="60"/>
      <c r="E507" s="103">
        <f>_xlfn.XLOOKUP(enrollment_table[[#This Row],[*Subject]], classes_table[*Subject], classes_table[Fee])</f>
        <v>0</v>
      </c>
      <c r="F507" s="58"/>
      <c r="G507" s="60"/>
      <c r="H507" s="55"/>
      <c r="I507" s="176">
        <f>_xlfn.XLOOKUP(enrollment_table[[#This Row],[*Teacher Name]], teachers_table[*Teacher Name], teachers_table[*Teacher ID])</f>
        <v>0</v>
      </c>
      <c r="J507" s="60"/>
      <c r="K507" s="60"/>
      <c r="L507" s="55"/>
      <c r="M507" s="60"/>
      <c r="N507" s="60"/>
      <c r="O507" s="55"/>
      <c r="P507" s="161"/>
      <c r="Q507" s="160" t="str">
        <f>IF(enrollment_table[[#This Row],[Enrollment Date]]="","",TEXT(enrollment_table[[#This Row],[Enrollment Date]],"mmmm"))</f>
        <v/>
      </c>
      <c r="R507" s="60"/>
    </row>
    <row r="508" spans="1:18" ht="15" x14ac:dyDescent="0.3">
      <c r="A508" s="129"/>
      <c r="B508" s="60"/>
      <c r="C508" s="55"/>
      <c r="D508" s="60"/>
      <c r="E508" s="103">
        <f>_xlfn.XLOOKUP(enrollment_table[[#This Row],[*Subject]], classes_table[*Subject], classes_table[Fee])</f>
        <v>0</v>
      </c>
      <c r="F508" s="58"/>
      <c r="G508" s="60"/>
      <c r="H508" s="55"/>
      <c r="I508" s="176">
        <f>_xlfn.XLOOKUP(enrollment_table[[#This Row],[*Teacher Name]], teachers_table[*Teacher Name], teachers_table[*Teacher ID])</f>
        <v>0</v>
      </c>
      <c r="J508" s="60"/>
      <c r="K508" s="60"/>
      <c r="L508" s="55"/>
      <c r="M508" s="60"/>
      <c r="N508" s="60"/>
      <c r="O508" s="55"/>
      <c r="P508" s="161"/>
      <c r="Q508" s="160" t="str">
        <f>IF(enrollment_table[[#This Row],[Enrollment Date]]="","",TEXT(enrollment_table[[#This Row],[Enrollment Date]],"mmmm"))</f>
        <v/>
      </c>
      <c r="R508" s="60"/>
    </row>
    <row r="509" spans="1:18" ht="15" x14ac:dyDescent="0.3">
      <c r="A509" s="129"/>
      <c r="B509" s="60"/>
      <c r="C509" s="55"/>
      <c r="D509" s="60"/>
      <c r="E509" s="103">
        <f>_xlfn.XLOOKUP(enrollment_table[[#This Row],[*Subject]], classes_table[*Subject], classes_table[Fee])</f>
        <v>0</v>
      </c>
      <c r="F509" s="58"/>
      <c r="G509" s="60"/>
      <c r="H509" s="55"/>
      <c r="I509" s="176">
        <f>_xlfn.XLOOKUP(enrollment_table[[#This Row],[*Teacher Name]], teachers_table[*Teacher Name], teachers_table[*Teacher ID])</f>
        <v>0</v>
      </c>
      <c r="J509" s="60"/>
      <c r="K509" s="60"/>
      <c r="L509" s="55"/>
      <c r="M509" s="60"/>
      <c r="N509" s="60"/>
      <c r="O509" s="55"/>
      <c r="P509" s="161"/>
      <c r="Q509" s="160" t="str">
        <f>IF(enrollment_table[[#This Row],[Enrollment Date]]="","",TEXT(enrollment_table[[#This Row],[Enrollment Date]],"mmmm"))</f>
        <v/>
      </c>
      <c r="R509" s="60"/>
    </row>
    <row r="510" spans="1:18" ht="15" x14ac:dyDescent="0.3">
      <c r="A510" s="129"/>
      <c r="B510" s="60"/>
      <c r="C510" s="55"/>
      <c r="D510" s="60"/>
      <c r="E510" s="103">
        <f>_xlfn.XLOOKUP(enrollment_table[[#This Row],[*Subject]], classes_table[*Subject], classes_table[Fee])</f>
        <v>0</v>
      </c>
      <c r="F510" s="58"/>
      <c r="G510" s="60"/>
      <c r="H510" s="55"/>
      <c r="I510" s="176">
        <f>_xlfn.XLOOKUP(enrollment_table[[#This Row],[*Teacher Name]], teachers_table[*Teacher Name], teachers_table[*Teacher ID])</f>
        <v>0</v>
      </c>
      <c r="J510" s="60"/>
      <c r="K510" s="60"/>
      <c r="L510" s="55"/>
      <c r="M510" s="60"/>
      <c r="N510" s="60"/>
      <c r="O510" s="55"/>
      <c r="P510" s="161"/>
      <c r="Q510" s="160" t="str">
        <f>IF(enrollment_table[[#This Row],[Enrollment Date]]="","",TEXT(enrollment_table[[#This Row],[Enrollment Date]],"mmmm"))</f>
        <v/>
      </c>
      <c r="R510" s="60"/>
    </row>
    <row r="511" spans="1:18" ht="15" x14ac:dyDescent="0.3">
      <c r="A511" s="129"/>
      <c r="B511" s="60"/>
      <c r="C511" s="55"/>
      <c r="D511" s="60"/>
      <c r="E511" s="103">
        <f>_xlfn.XLOOKUP(enrollment_table[[#This Row],[*Subject]], classes_table[*Subject], classes_table[Fee])</f>
        <v>0</v>
      </c>
      <c r="F511" s="58"/>
      <c r="G511" s="60"/>
      <c r="H511" s="55"/>
      <c r="I511" s="176">
        <f>_xlfn.XLOOKUP(enrollment_table[[#This Row],[*Teacher Name]], teachers_table[*Teacher Name], teachers_table[*Teacher ID])</f>
        <v>0</v>
      </c>
      <c r="J511" s="60"/>
      <c r="K511" s="60"/>
      <c r="L511" s="55"/>
      <c r="M511" s="60"/>
      <c r="N511" s="60"/>
      <c r="O511" s="55"/>
      <c r="P511" s="161"/>
      <c r="Q511" s="160" t="str">
        <f>IF(enrollment_table[[#This Row],[Enrollment Date]]="","",TEXT(enrollment_table[[#This Row],[Enrollment Date]],"mmmm"))</f>
        <v/>
      </c>
      <c r="R511" s="60"/>
    </row>
    <row r="512" spans="1:18" ht="15" x14ac:dyDescent="0.3">
      <c r="A512" s="129"/>
      <c r="B512" s="60"/>
      <c r="C512" s="55"/>
      <c r="D512" s="60"/>
      <c r="E512" s="103">
        <f>_xlfn.XLOOKUP(enrollment_table[[#This Row],[*Subject]], classes_table[*Subject], classes_table[Fee])</f>
        <v>0</v>
      </c>
      <c r="F512" s="58"/>
      <c r="G512" s="60"/>
      <c r="H512" s="55"/>
      <c r="I512" s="176">
        <f>_xlfn.XLOOKUP(enrollment_table[[#This Row],[*Teacher Name]], teachers_table[*Teacher Name], teachers_table[*Teacher ID])</f>
        <v>0</v>
      </c>
      <c r="J512" s="60"/>
      <c r="K512" s="60"/>
      <c r="L512" s="55"/>
      <c r="M512" s="60"/>
      <c r="N512" s="60"/>
      <c r="O512" s="55"/>
      <c r="P512" s="161"/>
      <c r="Q512" s="160" t="str">
        <f>IF(enrollment_table[[#This Row],[Enrollment Date]]="","",TEXT(enrollment_table[[#This Row],[Enrollment Date]],"mmmm"))</f>
        <v/>
      </c>
      <c r="R512" s="60"/>
    </row>
    <row r="513" spans="1:18" ht="15" x14ac:dyDescent="0.3">
      <c r="A513" s="129"/>
      <c r="B513" s="60"/>
      <c r="C513" s="55"/>
      <c r="D513" s="60"/>
      <c r="E513" s="103">
        <f>_xlfn.XLOOKUP(enrollment_table[[#This Row],[*Subject]], classes_table[*Subject], classes_table[Fee])</f>
        <v>0</v>
      </c>
      <c r="F513" s="58"/>
      <c r="G513" s="60"/>
      <c r="H513" s="55"/>
      <c r="I513" s="176">
        <f>_xlfn.XLOOKUP(enrollment_table[[#This Row],[*Teacher Name]], teachers_table[*Teacher Name], teachers_table[*Teacher ID])</f>
        <v>0</v>
      </c>
      <c r="J513" s="60"/>
      <c r="K513" s="60"/>
      <c r="L513" s="55"/>
      <c r="M513" s="60"/>
      <c r="N513" s="60"/>
      <c r="O513" s="55"/>
      <c r="P513" s="161"/>
      <c r="Q513" s="160" t="str">
        <f>IF(enrollment_table[[#This Row],[Enrollment Date]]="","",TEXT(enrollment_table[[#This Row],[Enrollment Date]],"mmmm"))</f>
        <v/>
      </c>
      <c r="R513" s="60"/>
    </row>
    <row r="514" spans="1:18" ht="15" x14ac:dyDescent="0.3">
      <c r="A514" s="129"/>
      <c r="B514" s="60"/>
      <c r="C514" s="55"/>
      <c r="D514" s="60"/>
      <c r="E514" s="103">
        <f>_xlfn.XLOOKUP(enrollment_table[[#This Row],[*Subject]], classes_table[*Subject], classes_table[Fee])</f>
        <v>0</v>
      </c>
      <c r="F514" s="58"/>
      <c r="G514" s="60"/>
      <c r="H514" s="55"/>
      <c r="I514" s="176">
        <f>_xlfn.XLOOKUP(enrollment_table[[#This Row],[*Teacher Name]], teachers_table[*Teacher Name], teachers_table[*Teacher ID])</f>
        <v>0</v>
      </c>
      <c r="J514" s="60"/>
      <c r="K514" s="60"/>
      <c r="L514" s="55"/>
      <c r="M514" s="60"/>
      <c r="N514" s="60"/>
      <c r="O514" s="55"/>
      <c r="P514" s="161"/>
      <c r="Q514" s="160" t="str">
        <f>IF(enrollment_table[[#This Row],[Enrollment Date]]="","",TEXT(enrollment_table[[#This Row],[Enrollment Date]],"mmmm"))</f>
        <v/>
      </c>
      <c r="R514" s="60"/>
    </row>
    <row r="515" spans="1:18" ht="15" x14ac:dyDescent="0.3">
      <c r="A515" s="129"/>
      <c r="B515" s="60"/>
      <c r="C515" s="55"/>
      <c r="D515" s="60"/>
      <c r="E515" s="103">
        <f>_xlfn.XLOOKUP(enrollment_table[[#This Row],[*Subject]], classes_table[*Subject], classes_table[Fee])</f>
        <v>0</v>
      </c>
      <c r="F515" s="58"/>
      <c r="G515" s="60"/>
      <c r="H515" s="55"/>
      <c r="I515" s="176">
        <f>_xlfn.XLOOKUP(enrollment_table[[#This Row],[*Teacher Name]], teachers_table[*Teacher Name], teachers_table[*Teacher ID])</f>
        <v>0</v>
      </c>
      <c r="J515" s="60"/>
      <c r="K515" s="60"/>
      <c r="L515" s="55"/>
      <c r="M515" s="60"/>
      <c r="N515" s="60"/>
      <c r="O515" s="55"/>
      <c r="P515" s="161"/>
      <c r="Q515" s="160" t="str">
        <f>IF(enrollment_table[[#This Row],[Enrollment Date]]="","",TEXT(enrollment_table[[#This Row],[Enrollment Date]],"mmmm"))</f>
        <v/>
      </c>
      <c r="R515" s="60"/>
    </row>
    <row r="516" spans="1:18" ht="15" x14ac:dyDescent="0.3">
      <c r="A516" s="129"/>
      <c r="B516" s="60"/>
      <c r="C516" s="55"/>
      <c r="D516" s="60"/>
      <c r="E516" s="103">
        <f>_xlfn.XLOOKUP(enrollment_table[[#This Row],[*Subject]], classes_table[*Subject], classes_table[Fee])</f>
        <v>0</v>
      </c>
      <c r="F516" s="58"/>
      <c r="G516" s="60"/>
      <c r="H516" s="55"/>
      <c r="I516" s="176">
        <f>_xlfn.XLOOKUP(enrollment_table[[#This Row],[*Teacher Name]], teachers_table[*Teacher Name], teachers_table[*Teacher ID])</f>
        <v>0</v>
      </c>
      <c r="J516" s="60"/>
      <c r="K516" s="60"/>
      <c r="L516" s="55"/>
      <c r="M516" s="60"/>
      <c r="N516" s="60"/>
      <c r="O516" s="55"/>
      <c r="P516" s="161"/>
      <c r="Q516" s="160" t="str">
        <f>IF(enrollment_table[[#This Row],[Enrollment Date]]="","",TEXT(enrollment_table[[#This Row],[Enrollment Date]],"mmmm"))</f>
        <v/>
      </c>
      <c r="R516" s="60"/>
    </row>
    <row r="517" spans="1:18" ht="15" x14ac:dyDescent="0.3">
      <c r="A517" s="129"/>
      <c r="B517" s="60"/>
      <c r="C517" s="55"/>
      <c r="D517" s="60"/>
      <c r="E517" s="103">
        <f>_xlfn.XLOOKUP(enrollment_table[[#This Row],[*Subject]], classes_table[*Subject], classes_table[Fee])</f>
        <v>0</v>
      </c>
      <c r="F517" s="58"/>
      <c r="G517" s="60"/>
      <c r="H517" s="55"/>
      <c r="I517" s="176">
        <f>_xlfn.XLOOKUP(enrollment_table[[#This Row],[*Teacher Name]], teachers_table[*Teacher Name], teachers_table[*Teacher ID])</f>
        <v>0</v>
      </c>
      <c r="J517" s="60"/>
      <c r="K517" s="60"/>
      <c r="L517" s="55"/>
      <c r="M517" s="60"/>
      <c r="N517" s="60"/>
      <c r="O517" s="55"/>
      <c r="P517" s="161"/>
      <c r="Q517" s="160" t="str">
        <f>IF(enrollment_table[[#This Row],[Enrollment Date]]="","",TEXT(enrollment_table[[#This Row],[Enrollment Date]],"mmmm"))</f>
        <v/>
      </c>
      <c r="R517" s="60"/>
    </row>
    <row r="518" spans="1:18" ht="15" x14ac:dyDescent="0.3">
      <c r="A518" s="129"/>
      <c r="B518" s="60"/>
      <c r="C518" s="55"/>
      <c r="D518" s="60"/>
      <c r="E518" s="103">
        <f>_xlfn.XLOOKUP(enrollment_table[[#This Row],[*Subject]], classes_table[*Subject], classes_table[Fee])</f>
        <v>0</v>
      </c>
      <c r="F518" s="58"/>
      <c r="G518" s="60"/>
      <c r="H518" s="55"/>
      <c r="I518" s="176">
        <f>_xlfn.XLOOKUP(enrollment_table[[#This Row],[*Teacher Name]], teachers_table[*Teacher Name], teachers_table[*Teacher ID])</f>
        <v>0</v>
      </c>
      <c r="J518" s="60"/>
      <c r="K518" s="60"/>
      <c r="L518" s="55"/>
      <c r="M518" s="60"/>
      <c r="N518" s="60"/>
      <c r="O518" s="55"/>
      <c r="P518" s="161"/>
      <c r="Q518" s="160" t="str">
        <f>IF(enrollment_table[[#This Row],[Enrollment Date]]="","",TEXT(enrollment_table[[#This Row],[Enrollment Date]],"mmmm"))</f>
        <v/>
      </c>
      <c r="R518" s="60"/>
    </row>
    <row r="519" spans="1:18" ht="15" x14ac:dyDescent="0.3">
      <c r="A519" s="129"/>
      <c r="B519" s="60"/>
      <c r="C519" s="55"/>
      <c r="D519" s="60"/>
      <c r="E519" s="103">
        <f>_xlfn.XLOOKUP(enrollment_table[[#This Row],[*Subject]], classes_table[*Subject], classes_table[Fee])</f>
        <v>0</v>
      </c>
      <c r="F519" s="58"/>
      <c r="G519" s="60"/>
      <c r="H519" s="55"/>
      <c r="I519" s="176">
        <f>_xlfn.XLOOKUP(enrollment_table[[#This Row],[*Teacher Name]], teachers_table[*Teacher Name], teachers_table[*Teacher ID])</f>
        <v>0</v>
      </c>
      <c r="J519" s="60"/>
      <c r="K519" s="60"/>
      <c r="L519" s="55"/>
      <c r="M519" s="60"/>
      <c r="N519" s="60"/>
      <c r="O519" s="55"/>
      <c r="P519" s="161"/>
      <c r="Q519" s="160" t="str">
        <f>IF(enrollment_table[[#This Row],[Enrollment Date]]="","",TEXT(enrollment_table[[#This Row],[Enrollment Date]],"mmmm"))</f>
        <v/>
      </c>
      <c r="R519" s="60"/>
    </row>
    <row r="520" spans="1:18" ht="15" x14ac:dyDescent="0.3">
      <c r="A520" s="129"/>
      <c r="B520" s="60"/>
      <c r="C520" s="55"/>
      <c r="D520" s="60"/>
      <c r="E520" s="103">
        <f>_xlfn.XLOOKUP(enrollment_table[[#This Row],[*Subject]], classes_table[*Subject], classes_table[Fee])</f>
        <v>0</v>
      </c>
      <c r="F520" s="58"/>
      <c r="G520" s="60"/>
      <c r="H520" s="55"/>
      <c r="I520" s="176">
        <f>_xlfn.XLOOKUP(enrollment_table[[#This Row],[*Teacher Name]], teachers_table[*Teacher Name], teachers_table[*Teacher ID])</f>
        <v>0</v>
      </c>
      <c r="J520" s="60"/>
      <c r="K520" s="60"/>
      <c r="L520" s="55"/>
      <c r="M520" s="60"/>
      <c r="N520" s="60"/>
      <c r="O520" s="55"/>
      <c r="P520" s="161"/>
      <c r="Q520" s="160" t="str">
        <f>IF(enrollment_table[[#This Row],[Enrollment Date]]="","",TEXT(enrollment_table[[#This Row],[Enrollment Date]],"mmmm"))</f>
        <v/>
      </c>
      <c r="R520" s="60"/>
    </row>
    <row r="521" spans="1:18" ht="15" x14ac:dyDescent="0.3">
      <c r="A521" s="129"/>
      <c r="B521" s="60"/>
      <c r="C521" s="55"/>
      <c r="D521" s="60"/>
      <c r="E521" s="103">
        <f>_xlfn.XLOOKUP(enrollment_table[[#This Row],[*Subject]], classes_table[*Subject], classes_table[Fee])</f>
        <v>0</v>
      </c>
      <c r="F521" s="58"/>
      <c r="G521" s="60"/>
      <c r="H521" s="55"/>
      <c r="I521" s="176">
        <f>_xlfn.XLOOKUP(enrollment_table[[#This Row],[*Teacher Name]], teachers_table[*Teacher Name], teachers_table[*Teacher ID])</f>
        <v>0</v>
      </c>
      <c r="J521" s="60"/>
      <c r="K521" s="60"/>
      <c r="L521" s="55"/>
      <c r="M521" s="60"/>
      <c r="N521" s="60"/>
      <c r="O521" s="55"/>
      <c r="P521" s="161"/>
      <c r="Q521" s="160" t="str">
        <f>IF(enrollment_table[[#This Row],[Enrollment Date]]="","",TEXT(enrollment_table[[#This Row],[Enrollment Date]],"mmmm"))</f>
        <v/>
      </c>
      <c r="R521" s="60"/>
    </row>
    <row r="522" spans="1:18" ht="15" x14ac:dyDescent="0.3">
      <c r="A522" s="129"/>
      <c r="B522" s="60"/>
      <c r="C522" s="55"/>
      <c r="D522" s="60"/>
      <c r="E522" s="103">
        <f>_xlfn.XLOOKUP(enrollment_table[[#This Row],[*Subject]], classes_table[*Subject], classes_table[Fee])</f>
        <v>0</v>
      </c>
      <c r="F522" s="58"/>
      <c r="G522" s="60"/>
      <c r="H522" s="55"/>
      <c r="I522" s="176">
        <f>_xlfn.XLOOKUP(enrollment_table[[#This Row],[*Teacher Name]], teachers_table[*Teacher Name], teachers_table[*Teacher ID])</f>
        <v>0</v>
      </c>
      <c r="J522" s="60"/>
      <c r="K522" s="60"/>
      <c r="L522" s="55"/>
      <c r="M522" s="60"/>
      <c r="N522" s="60"/>
      <c r="O522" s="55"/>
      <c r="P522" s="161"/>
      <c r="Q522" s="160" t="str">
        <f>IF(enrollment_table[[#This Row],[Enrollment Date]]="","",TEXT(enrollment_table[[#This Row],[Enrollment Date]],"mmmm"))</f>
        <v/>
      </c>
      <c r="R522" s="60"/>
    </row>
    <row r="523" spans="1:18" ht="15" x14ac:dyDescent="0.3">
      <c r="A523" s="129"/>
      <c r="B523" s="60"/>
      <c r="C523" s="55"/>
      <c r="D523" s="60"/>
      <c r="E523" s="103">
        <f>_xlfn.XLOOKUP(enrollment_table[[#This Row],[*Subject]], classes_table[*Subject], classes_table[Fee])</f>
        <v>0</v>
      </c>
      <c r="F523" s="58"/>
      <c r="G523" s="60"/>
      <c r="H523" s="55"/>
      <c r="I523" s="176">
        <f>_xlfn.XLOOKUP(enrollment_table[[#This Row],[*Teacher Name]], teachers_table[*Teacher Name], teachers_table[*Teacher ID])</f>
        <v>0</v>
      </c>
      <c r="J523" s="60"/>
      <c r="K523" s="60"/>
      <c r="L523" s="55"/>
      <c r="M523" s="60"/>
      <c r="N523" s="60"/>
      <c r="O523" s="55"/>
      <c r="P523" s="161"/>
      <c r="Q523" s="160" t="str">
        <f>IF(enrollment_table[[#This Row],[Enrollment Date]]="","",TEXT(enrollment_table[[#This Row],[Enrollment Date]],"mmmm"))</f>
        <v/>
      </c>
      <c r="R523" s="60"/>
    </row>
    <row r="524" spans="1:18" ht="15" x14ac:dyDescent="0.3">
      <c r="A524" s="129"/>
      <c r="B524" s="60"/>
      <c r="C524" s="55"/>
      <c r="D524" s="60"/>
      <c r="E524" s="103">
        <f>_xlfn.XLOOKUP(enrollment_table[[#This Row],[*Subject]], classes_table[*Subject], classes_table[Fee])</f>
        <v>0</v>
      </c>
      <c r="F524" s="58"/>
      <c r="G524" s="60"/>
      <c r="H524" s="55"/>
      <c r="I524" s="176">
        <f>_xlfn.XLOOKUP(enrollment_table[[#This Row],[*Teacher Name]], teachers_table[*Teacher Name], teachers_table[*Teacher ID])</f>
        <v>0</v>
      </c>
      <c r="J524" s="60"/>
      <c r="K524" s="60"/>
      <c r="L524" s="55"/>
      <c r="M524" s="60"/>
      <c r="N524" s="60"/>
      <c r="O524" s="55"/>
      <c r="P524" s="161"/>
      <c r="Q524" s="160" t="str">
        <f>IF(enrollment_table[[#This Row],[Enrollment Date]]="","",TEXT(enrollment_table[[#This Row],[Enrollment Date]],"mmmm"))</f>
        <v/>
      </c>
      <c r="R524" s="60"/>
    </row>
    <row r="525" spans="1:18" ht="15" x14ac:dyDescent="0.3">
      <c r="A525" s="129"/>
      <c r="B525" s="60"/>
      <c r="C525" s="55"/>
      <c r="D525" s="60"/>
      <c r="E525" s="103">
        <f>_xlfn.XLOOKUP(enrollment_table[[#This Row],[*Subject]], classes_table[*Subject], classes_table[Fee])</f>
        <v>0</v>
      </c>
      <c r="F525" s="58"/>
      <c r="G525" s="60"/>
      <c r="H525" s="55"/>
      <c r="I525" s="176">
        <f>_xlfn.XLOOKUP(enrollment_table[[#This Row],[*Teacher Name]], teachers_table[*Teacher Name], teachers_table[*Teacher ID])</f>
        <v>0</v>
      </c>
      <c r="J525" s="60"/>
      <c r="K525" s="60"/>
      <c r="L525" s="55"/>
      <c r="M525" s="60"/>
      <c r="N525" s="60"/>
      <c r="O525" s="55"/>
      <c r="P525" s="161"/>
      <c r="Q525" s="160" t="str">
        <f>IF(enrollment_table[[#This Row],[Enrollment Date]]="","",TEXT(enrollment_table[[#This Row],[Enrollment Date]],"mmmm"))</f>
        <v/>
      </c>
      <c r="R525" s="60"/>
    </row>
    <row r="526" spans="1:18" ht="15" x14ac:dyDescent="0.3">
      <c r="A526" s="129"/>
      <c r="B526" s="60"/>
      <c r="C526" s="55"/>
      <c r="D526" s="60"/>
      <c r="E526" s="103">
        <f>_xlfn.XLOOKUP(enrollment_table[[#This Row],[*Subject]], classes_table[*Subject], classes_table[Fee])</f>
        <v>0</v>
      </c>
      <c r="F526" s="58"/>
      <c r="G526" s="60"/>
      <c r="H526" s="55"/>
      <c r="I526" s="176">
        <f>_xlfn.XLOOKUP(enrollment_table[[#This Row],[*Teacher Name]], teachers_table[*Teacher Name], teachers_table[*Teacher ID])</f>
        <v>0</v>
      </c>
      <c r="J526" s="60"/>
      <c r="K526" s="60"/>
      <c r="L526" s="55"/>
      <c r="M526" s="60"/>
      <c r="N526" s="60"/>
      <c r="O526" s="55"/>
      <c r="P526" s="161"/>
      <c r="Q526" s="160" t="str">
        <f>IF(enrollment_table[[#This Row],[Enrollment Date]]="","",TEXT(enrollment_table[[#This Row],[Enrollment Date]],"mmmm"))</f>
        <v/>
      </c>
      <c r="R526" s="60"/>
    </row>
    <row r="527" spans="1:18" ht="15" x14ac:dyDescent="0.3">
      <c r="A527" s="129"/>
      <c r="B527" s="60"/>
      <c r="C527" s="55"/>
      <c r="D527" s="60"/>
      <c r="E527" s="103">
        <f>_xlfn.XLOOKUP(enrollment_table[[#This Row],[*Subject]], classes_table[*Subject], classes_table[Fee])</f>
        <v>0</v>
      </c>
      <c r="F527" s="58"/>
      <c r="G527" s="60"/>
      <c r="H527" s="55"/>
      <c r="I527" s="176">
        <f>_xlfn.XLOOKUP(enrollment_table[[#This Row],[*Teacher Name]], teachers_table[*Teacher Name], teachers_table[*Teacher ID])</f>
        <v>0</v>
      </c>
      <c r="J527" s="60"/>
      <c r="K527" s="60"/>
      <c r="L527" s="55"/>
      <c r="M527" s="60"/>
      <c r="N527" s="60"/>
      <c r="O527" s="55"/>
      <c r="P527" s="161"/>
      <c r="Q527" s="160" t="str">
        <f>IF(enrollment_table[[#This Row],[Enrollment Date]]="","",TEXT(enrollment_table[[#This Row],[Enrollment Date]],"mmmm"))</f>
        <v/>
      </c>
      <c r="R527" s="60"/>
    </row>
    <row r="528" spans="1:18" ht="15" x14ac:dyDescent="0.3">
      <c r="A528" s="129"/>
      <c r="B528" s="60"/>
      <c r="C528" s="55"/>
      <c r="D528" s="60"/>
      <c r="E528" s="103">
        <f>_xlfn.XLOOKUP(enrollment_table[[#This Row],[*Subject]], classes_table[*Subject], classes_table[Fee])</f>
        <v>0</v>
      </c>
      <c r="F528" s="58"/>
      <c r="G528" s="60"/>
      <c r="H528" s="55"/>
      <c r="I528" s="176">
        <f>_xlfn.XLOOKUP(enrollment_table[[#This Row],[*Teacher Name]], teachers_table[*Teacher Name], teachers_table[*Teacher ID])</f>
        <v>0</v>
      </c>
      <c r="J528" s="60"/>
      <c r="K528" s="60"/>
      <c r="L528" s="55"/>
      <c r="M528" s="60"/>
      <c r="N528" s="60"/>
      <c r="O528" s="55"/>
      <c r="P528" s="161"/>
      <c r="Q528" s="160" t="str">
        <f>IF(enrollment_table[[#This Row],[Enrollment Date]]="","",TEXT(enrollment_table[[#This Row],[Enrollment Date]],"mmmm"))</f>
        <v/>
      </c>
      <c r="R528" s="60"/>
    </row>
    <row r="529" spans="1:18" ht="15" x14ac:dyDescent="0.3">
      <c r="A529" s="129"/>
      <c r="B529" s="60"/>
      <c r="C529" s="55"/>
      <c r="D529" s="60"/>
      <c r="E529" s="103">
        <f>_xlfn.XLOOKUP(enrollment_table[[#This Row],[*Subject]], classes_table[*Subject], classes_table[Fee])</f>
        <v>0</v>
      </c>
      <c r="F529" s="58"/>
      <c r="G529" s="60"/>
      <c r="H529" s="55"/>
      <c r="I529" s="176">
        <f>_xlfn.XLOOKUP(enrollment_table[[#This Row],[*Teacher Name]], teachers_table[*Teacher Name], teachers_table[*Teacher ID])</f>
        <v>0</v>
      </c>
      <c r="J529" s="60"/>
      <c r="K529" s="60"/>
      <c r="L529" s="55"/>
      <c r="M529" s="60"/>
      <c r="N529" s="60"/>
      <c r="O529" s="55"/>
      <c r="P529" s="161"/>
      <c r="Q529" s="160" t="str">
        <f>IF(enrollment_table[[#This Row],[Enrollment Date]]="","",TEXT(enrollment_table[[#This Row],[Enrollment Date]],"mmmm"))</f>
        <v/>
      </c>
      <c r="R529" s="60"/>
    </row>
    <row r="530" spans="1:18" ht="15" x14ac:dyDescent="0.3">
      <c r="A530" s="129"/>
      <c r="B530" s="60"/>
      <c r="C530" s="55"/>
      <c r="D530" s="60"/>
      <c r="E530" s="103">
        <f>_xlfn.XLOOKUP(enrollment_table[[#This Row],[*Subject]], classes_table[*Subject], classes_table[Fee])</f>
        <v>0</v>
      </c>
      <c r="F530" s="58"/>
      <c r="G530" s="60"/>
      <c r="H530" s="55"/>
      <c r="I530" s="176">
        <f>_xlfn.XLOOKUP(enrollment_table[[#This Row],[*Teacher Name]], teachers_table[*Teacher Name], teachers_table[*Teacher ID])</f>
        <v>0</v>
      </c>
      <c r="J530" s="60"/>
      <c r="K530" s="60"/>
      <c r="L530" s="55"/>
      <c r="M530" s="60"/>
      <c r="N530" s="60"/>
      <c r="O530" s="55"/>
      <c r="P530" s="161"/>
      <c r="Q530" s="160" t="str">
        <f>IF(enrollment_table[[#This Row],[Enrollment Date]]="","",TEXT(enrollment_table[[#This Row],[Enrollment Date]],"mmmm"))</f>
        <v/>
      </c>
      <c r="R530" s="60"/>
    </row>
    <row r="531" spans="1:18" ht="15" x14ac:dyDescent="0.3">
      <c r="A531" s="129"/>
      <c r="B531" s="60"/>
      <c r="C531" s="55"/>
      <c r="D531" s="60"/>
      <c r="E531" s="103">
        <f>_xlfn.XLOOKUP(enrollment_table[[#This Row],[*Subject]], classes_table[*Subject], classes_table[Fee])</f>
        <v>0</v>
      </c>
      <c r="F531" s="58"/>
      <c r="G531" s="60"/>
      <c r="H531" s="55"/>
      <c r="I531" s="176">
        <f>_xlfn.XLOOKUP(enrollment_table[[#This Row],[*Teacher Name]], teachers_table[*Teacher Name], teachers_table[*Teacher ID])</f>
        <v>0</v>
      </c>
      <c r="J531" s="60"/>
      <c r="K531" s="60"/>
      <c r="L531" s="55"/>
      <c r="M531" s="60"/>
      <c r="N531" s="60"/>
      <c r="O531" s="55"/>
      <c r="P531" s="161"/>
      <c r="Q531" s="160" t="str">
        <f>IF(enrollment_table[[#This Row],[Enrollment Date]]="","",TEXT(enrollment_table[[#This Row],[Enrollment Date]],"mmmm"))</f>
        <v/>
      </c>
      <c r="R531" s="60"/>
    </row>
    <row r="532" spans="1:18" ht="15" x14ac:dyDescent="0.3">
      <c r="A532" s="129"/>
      <c r="B532" s="60"/>
      <c r="C532" s="55"/>
      <c r="D532" s="60"/>
      <c r="E532" s="103">
        <f>_xlfn.XLOOKUP(enrollment_table[[#This Row],[*Subject]], classes_table[*Subject], classes_table[Fee])</f>
        <v>0</v>
      </c>
      <c r="F532" s="58"/>
      <c r="G532" s="60"/>
      <c r="H532" s="55"/>
      <c r="I532" s="176">
        <f>_xlfn.XLOOKUP(enrollment_table[[#This Row],[*Teacher Name]], teachers_table[*Teacher Name], teachers_table[*Teacher ID])</f>
        <v>0</v>
      </c>
      <c r="J532" s="60"/>
      <c r="K532" s="60"/>
      <c r="L532" s="55"/>
      <c r="M532" s="60"/>
      <c r="N532" s="60"/>
      <c r="O532" s="55"/>
      <c r="P532" s="161"/>
      <c r="Q532" s="160" t="str">
        <f>IF(enrollment_table[[#This Row],[Enrollment Date]]="","",TEXT(enrollment_table[[#This Row],[Enrollment Date]],"mmmm"))</f>
        <v/>
      </c>
      <c r="R532" s="60"/>
    </row>
    <row r="533" spans="1:18" ht="15" x14ac:dyDescent="0.3">
      <c r="A533" s="129"/>
      <c r="B533" s="60"/>
      <c r="C533" s="55"/>
      <c r="D533" s="60"/>
      <c r="E533" s="103">
        <f>_xlfn.XLOOKUP(enrollment_table[[#This Row],[*Subject]], classes_table[*Subject], classes_table[Fee])</f>
        <v>0</v>
      </c>
      <c r="F533" s="58"/>
      <c r="G533" s="60"/>
      <c r="H533" s="55"/>
      <c r="I533" s="176">
        <f>_xlfn.XLOOKUP(enrollment_table[[#This Row],[*Teacher Name]], teachers_table[*Teacher Name], teachers_table[*Teacher ID])</f>
        <v>0</v>
      </c>
      <c r="J533" s="60"/>
      <c r="K533" s="60"/>
      <c r="L533" s="55"/>
      <c r="M533" s="60"/>
      <c r="N533" s="60"/>
      <c r="O533" s="55"/>
      <c r="P533" s="161"/>
      <c r="Q533" s="160" t="str">
        <f>IF(enrollment_table[[#This Row],[Enrollment Date]]="","",TEXT(enrollment_table[[#This Row],[Enrollment Date]],"mmmm"))</f>
        <v/>
      </c>
      <c r="R533" s="60"/>
    </row>
    <row r="534" spans="1:18" ht="15" x14ac:dyDescent="0.3">
      <c r="A534" s="129"/>
      <c r="B534" s="60"/>
      <c r="C534" s="55"/>
      <c r="D534" s="60"/>
      <c r="E534" s="103">
        <f>_xlfn.XLOOKUP(enrollment_table[[#This Row],[*Subject]], classes_table[*Subject], classes_table[Fee])</f>
        <v>0</v>
      </c>
      <c r="F534" s="58"/>
      <c r="G534" s="60"/>
      <c r="H534" s="55"/>
      <c r="I534" s="176">
        <f>_xlfn.XLOOKUP(enrollment_table[[#This Row],[*Teacher Name]], teachers_table[*Teacher Name], teachers_table[*Teacher ID])</f>
        <v>0</v>
      </c>
      <c r="J534" s="60"/>
      <c r="K534" s="60"/>
      <c r="L534" s="55"/>
      <c r="M534" s="60"/>
      <c r="N534" s="60"/>
      <c r="O534" s="55"/>
      <c r="P534" s="161"/>
      <c r="Q534" s="160" t="str">
        <f>IF(enrollment_table[[#This Row],[Enrollment Date]]="","",TEXT(enrollment_table[[#This Row],[Enrollment Date]],"mmmm"))</f>
        <v/>
      </c>
      <c r="R534" s="60"/>
    </row>
    <row r="535" spans="1:18" ht="15" x14ac:dyDescent="0.3">
      <c r="A535" s="129"/>
      <c r="B535" s="60"/>
      <c r="C535" s="55"/>
      <c r="D535" s="60"/>
      <c r="E535" s="103">
        <f>_xlfn.XLOOKUP(enrollment_table[[#This Row],[*Subject]], classes_table[*Subject], classes_table[Fee])</f>
        <v>0</v>
      </c>
      <c r="F535" s="58"/>
      <c r="G535" s="60"/>
      <c r="H535" s="55"/>
      <c r="I535" s="176">
        <f>_xlfn.XLOOKUP(enrollment_table[[#This Row],[*Teacher Name]], teachers_table[*Teacher Name], teachers_table[*Teacher ID])</f>
        <v>0</v>
      </c>
      <c r="J535" s="60"/>
      <c r="K535" s="60"/>
      <c r="L535" s="55"/>
      <c r="M535" s="60"/>
      <c r="N535" s="60"/>
      <c r="O535" s="55"/>
      <c r="P535" s="161"/>
      <c r="Q535" s="160" t="str">
        <f>IF(enrollment_table[[#This Row],[Enrollment Date]]="","",TEXT(enrollment_table[[#This Row],[Enrollment Date]],"mmmm"))</f>
        <v/>
      </c>
      <c r="R535" s="60"/>
    </row>
    <row r="536" spans="1:18" ht="15" x14ac:dyDescent="0.3">
      <c r="A536" s="129"/>
      <c r="B536" s="60"/>
      <c r="C536" s="55"/>
      <c r="D536" s="60"/>
      <c r="E536" s="103">
        <f>_xlfn.XLOOKUP(enrollment_table[[#This Row],[*Subject]], classes_table[*Subject], classes_table[Fee])</f>
        <v>0</v>
      </c>
      <c r="F536" s="58"/>
      <c r="G536" s="60"/>
      <c r="H536" s="55"/>
      <c r="I536" s="176">
        <f>_xlfn.XLOOKUP(enrollment_table[[#This Row],[*Teacher Name]], teachers_table[*Teacher Name], teachers_table[*Teacher ID])</f>
        <v>0</v>
      </c>
      <c r="J536" s="60"/>
      <c r="K536" s="60"/>
      <c r="L536" s="55"/>
      <c r="M536" s="60"/>
      <c r="N536" s="60"/>
      <c r="O536" s="55"/>
      <c r="P536" s="161"/>
      <c r="Q536" s="160" t="str">
        <f>IF(enrollment_table[[#This Row],[Enrollment Date]]="","",TEXT(enrollment_table[[#This Row],[Enrollment Date]],"mmmm"))</f>
        <v/>
      </c>
      <c r="R536" s="60"/>
    </row>
    <row r="537" spans="1:18" ht="15" x14ac:dyDescent="0.3">
      <c r="A537" s="129"/>
      <c r="B537" s="60"/>
      <c r="C537" s="55"/>
      <c r="D537" s="60"/>
      <c r="E537" s="103">
        <f>_xlfn.XLOOKUP(enrollment_table[[#This Row],[*Subject]], classes_table[*Subject], classes_table[Fee])</f>
        <v>0</v>
      </c>
      <c r="F537" s="58"/>
      <c r="G537" s="60"/>
      <c r="H537" s="55"/>
      <c r="I537" s="176">
        <f>_xlfn.XLOOKUP(enrollment_table[[#This Row],[*Teacher Name]], teachers_table[*Teacher Name], teachers_table[*Teacher ID])</f>
        <v>0</v>
      </c>
      <c r="J537" s="60"/>
      <c r="K537" s="60"/>
      <c r="L537" s="55"/>
      <c r="M537" s="60"/>
      <c r="N537" s="60"/>
      <c r="O537" s="55"/>
      <c r="P537" s="161"/>
      <c r="Q537" s="160" t="str">
        <f>IF(enrollment_table[[#This Row],[Enrollment Date]]="","",TEXT(enrollment_table[[#This Row],[Enrollment Date]],"mmmm"))</f>
        <v/>
      </c>
      <c r="R537" s="60"/>
    </row>
    <row r="538" spans="1:18" ht="15" x14ac:dyDescent="0.3">
      <c r="A538" s="129"/>
      <c r="B538" s="60"/>
      <c r="C538" s="55"/>
      <c r="D538" s="60"/>
      <c r="E538" s="103">
        <f>_xlfn.XLOOKUP(enrollment_table[[#This Row],[*Subject]], classes_table[*Subject], classes_table[Fee])</f>
        <v>0</v>
      </c>
      <c r="F538" s="58"/>
      <c r="G538" s="60"/>
      <c r="H538" s="55"/>
      <c r="I538" s="176">
        <f>_xlfn.XLOOKUP(enrollment_table[[#This Row],[*Teacher Name]], teachers_table[*Teacher Name], teachers_table[*Teacher ID])</f>
        <v>0</v>
      </c>
      <c r="J538" s="60"/>
      <c r="K538" s="60"/>
      <c r="L538" s="55"/>
      <c r="M538" s="60"/>
      <c r="N538" s="60"/>
      <c r="O538" s="55"/>
      <c r="P538" s="161"/>
      <c r="Q538" s="160" t="str">
        <f>IF(enrollment_table[[#This Row],[Enrollment Date]]="","",TEXT(enrollment_table[[#This Row],[Enrollment Date]],"mmmm"))</f>
        <v/>
      </c>
      <c r="R538" s="60"/>
    </row>
    <row r="539" spans="1:18" ht="15" x14ac:dyDescent="0.3">
      <c r="A539" s="129"/>
      <c r="B539" s="60"/>
      <c r="C539" s="55"/>
      <c r="D539" s="60"/>
      <c r="E539" s="103">
        <f>_xlfn.XLOOKUP(enrollment_table[[#This Row],[*Subject]], classes_table[*Subject], classes_table[Fee])</f>
        <v>0</v>
      </c>
      <c r="F539" s="58"/>
      <c r="G539" s="60"/>
      <c r="H539" s="55"/>
      <c r="I539" s="176">
        <f>_xlfn.XLOOKUP(enrollment_table[[#This Row],[*Teacher Name]], teachers_table[*Teacher Name], teachers_table[*Teacher ID])</f>
        <v>0</v>
      </c>
      <c r="J539" s="60"/>
      <c r="K539" s="60"/>
      <c r="L539" s="55"/>
      <c r="M539" s="60"/>
      <c r="N539" s="60"/>
      <c r="O539" s="55"/>
      <c r="P539" s="161"/>
      <c r="Q539" s="160" t="str">
        <f>IF(enrollment_table[[#This Row],[Enrollment Date]]="","",TEXT(enrollment_table[[#This Row],[Enrollment Date]],"mmmm"))</f>
        <v/>
      </c>
      <c r="R539" s="60"/>
    </row>
    <row r="540" spans="1:18" ht="15" x14ac:dyDescent="0.3">
      <c r="A540" s="129"/>
      <c r="B540" s="60"/>
      <c r="C540" s="55"/>
      <c r="D540" s="60"/>
      <c r="E540" s="103">
        <f>_xlfn.XLOOKUP(enrollment_table[[#This Row],[*Subject]], classes_table[*Subject], classes_table[Fee])</f>
        <v>0</v>
      </c>
      <c r="F540" s="58"/>
      <c r="G540" s="60"/>
      <c r="H540" s="55"/>
      <c r="I540" s="176">
        <f>_xlfn.XLOOKUP(enrollment_table[[#This Row],[*Teacher Name]], teachers_table[*Teacher Name], teachers_table[*Teacher ID])</f>
        <v>0</v>
      </c>
      <c r="J540" s="60"/>
      <c r="K540" s="60"/>
      <c r="L540" s="55"/>
      <c r="M540" s="60"/>
      <c r="N540" s="60"/>
      <c r="O540" s="55"/>
      <c r="P540" s="161"/>
      <c r="Q540" s="160" t="str">
        <f>IF(enrollment_table[[#This Row],[Enrollment Date]]="","",TEXT(enrollment_table[[#This Row],[Enrollment Date]],"mmmm"))</f>
        <v/>
      </c>
      <c r="R540" s="60"/>
    </row>
    <row r="541" spans="1:18" ht="15" x14ac:dyDescent="0.3">
      <c r="A541" s="129"/>
      <c r="B541" s="60"/>
      <c r="C541" s="55"/>
      <c r="D541" s="60"/>
      <c r="E541" s="103">
        <f>_xlfn.XLOOKUP(enrollment_table[[#This Row],[*Subject]], classes_table[*Subject], classes_table[Fee])</f>
        <v>0</v>
      </c>
      <c r="F541" s="58"/>
      <c r="G541" s="60"/>
      <c r="H541" s="55"/>
      <c r="I541" s="176">
        <f>_xlfn.XLOOKUP(enrollment_table[[#This Row],[*Teacher Name]], teachers_table[*Teacher Name], teachers_table[*Teacher ID])</f>
        <v>0</v>
      </c>
      <c r="J541" s="60"/>
      <c r="K541" s="60"/>
      <c r="L541" s="55"/>
      <c r="M541" s="60"/>
      <c r="N541" s="60"/>
      <c r="O541" s="55"/>
      <c r="P541" s="161"/>
      <c r="Q541" s="160" t="str">
        <f>IF(enrollment_table[[#This Row],[Enrollment Date]]="","",TEXT(enrollment_table[[#This Row],[Enrollment Date]],"mmmm"))</f>
        <v/>
      </c>
      <c r="R541" s="60"/>
    </row>
    <row r="542" spans="1:18" ht="15" x14ac:dyDescent="0.3">
      <c r="A542" s="129"/>
      <c r="B542" s="60"/>
      <c r="C542" s="55"/>
      <c r="D542" s="60"/>
      <c r="E542" s="103">
        <f>_xlfn.XLOOKUP(enrollment_table[[#This Row],[*Subject]], classes_table[*Subject], classes_table[Fee])</f>
        <v>0</v>
      </c>
      <c r="F542" s="58"/>
      <c r="G542" s="60"/>
      <c r="H542" s="55"/>
      <c r="I542" s="176">
        <f>_xlfn.XLOOKUP(enrollment_table[[#This Row],[*Teacher Name]], teachers_table[*Teacher Name], teachers_table[*Teacher ID])</f>
        <v>0</v>
      </c>
      <c r="J542" s="60"/>
      <c r="K542" s="60"/>
      <c r="L542" s="55"/>
      <c r="M542" s="60"/>
      <c r="N542" s="60"/>
      <c r="O542" s="55"/>
      <c r="P542" s="161"/>
      <c r="Q542" s="160" t="str">
        <f>IF(enrollment_table[[#This Row],[Enrollment Date]]="","",TEXT(enrollment_table[[#This Row],[Enrollment Date]],"mmmm"))</f>
        <v/>
      </c>
      <c r="R542" s="60"/>
    </row>
    <row r="543" spans="1:18" ht="15" x14ac:dyDescent="0.3">
      <c r="A543" s="129"/>
      <c r="B543" s="60"/>
      <c r="C543" s="55"/>
      <c r="D543" s="60"/>
      <c r="E543" s="103">
        <f>_xlfn.XLOOKUP(enrollment_table[[#This Row],[*Subject]], classes_table[*Subject], classes_table[Fee])</f>
        <v>0</v>
      </c>
      <c r="F543" s="58"/>
      <c r="G543" s="60"/>
      <c r="H543" s="55"/>
      <c r="I543" s="176">
        <f>_xlfn.XLOOKUP(enrollment_table[[#This Row],[*Teacher Name]], teachers_table[*Teacher Name], teachers_table[*Teacher ID])</f>
        <v>0</v>
      </c>
      <c r="J543" s="60"/>
      <c r="K543" s="60"/>
      <c r="L543" s="55"/>
      <c r="M543" s="60"/>
      <c r="N543" s="60"/>
      <c r="O543" s="55"/>
      <c r="P543" s="161"/>
      <c r="Q543" s="160" t="str">
        <f>IF(enrollment_table[[#This Row],[Enrollment Date]]="","",TEXT(enrollment_table[[#This Row],[Enrollment Date]],"mmmm"))</f>
        <v/>
      </c>
      <c r="R543" s="60"/>
    </row>
    <row r="544" spans="1:18" ht="15" x14ac:dyDescent="0.3">
      <c r="A544" s="129"/>
      <c r="B544" s="60"/>
      <c r="C544" s="55"/>
      <c r="D544" s="60"/>
      <c r="E544" s="103">
        <f>_xlfn.XLOOKUP(enrollment_table[[#This Row],[*Subject]], classes_table[*Subject], classes_table[Fee])</f>
        <v>0</v>
      </c>
      <c r="F544" s="58"/>
      <c r="G544" s="60"/>
      <c r="H544" s="55"/>
      <c r="I544" s="176">
        <f>_xlfn.XLOOKUP(enrollment_table[[#This Row],[*Teacher Name]], teachers_table[*Teacher Name], teachers_table[*Teacher ID])</f>
        <v>0</v>
      </c>
      <c r="J544" s="60"/>
      <c r="K544" s="60"/>
      <c r="L544" s="55"/>
      <c r="M544" s="60"/>
      <c r="N544" s="60"/>
      <c r="O544" s="55"/>
      <c r="P544" s="161"/>
      <c r="Q544" s="160" t="str">
        <f>IF(enrollment_table[[#This Row],[Enrollment Date]]="","",TEXT(enrollment_table[[#This Row],[Enrollment Date]],"mmmm"))</f>
        <v/>
      </c>
      <c r="R544" s="60"/>
    </row>
    <row r="545" spans="1:18" ht="15" x14ac:dyDescent="0.3">
      <c r="A545" s="129"/>
      <c r="B545" s="60"/>
      <c r="C545" s="55"/>
      <c r="D545" s="60"/>
      <c r="E545" s="103">
        <f>_xlfn.XLOOKUP(enrollment_table[[#This Row],[*Subject]], classes_table[*Subject], classes_table[Fee])</f>
        <v>0</v>
      </c>
      <c r="F545" s="58"/>
      <c r="G545" s="60"/>
      <c r="H545" s="55"/>
      <c r="I545" s="176">
        <f>_xlfn.XLOOKUP(enrollment_table[[#This Row],[*Teacher Name]], teachers_table[*Teacher Name], teachers_table[*Teacher ID])</f>
        <v>0</v>
      </c>
      <c r="J545" s="60"/>
      <c r="K545" s="60"/>
      <c r="L545" s="55"/>
      <c r="M545" s="60"/>
      <c r="N545" s="60"/>
      <c r="O545" s="55"/>
      <c r="P545" s="161"/>
      <c r="Q545" s="160" t="str">
        <f>IF(enrollment_table[[#This Row],[Enrollment Date]]="","",TEXT(enrollment_table[[#This Row],[Enrollment Date]],"mmmm"))</f>
        <v/>
      </c>
      <c r="R545" s="60"/>
    </row>
    <row r="546" spans="1:18" ht="15" x14ac:dyDescent="0.3">
      <c r="A546" s="129"/>
      <c r="B546" s="60"/>
      <c r="C546" s="55"/>
      <c r="D546" s="60"/>
      <c r="E546" s="103">
        <f>_xlfn.XLOOKUP(enrollment_table[[#This Row],[*Subject]], classes_table[*Subject], classes_table[Fee])</f>
        <v>0</v>
      </c>
      <c r="F546" s="58"/>
      <c r="G546" s="60"/>
      <c r="H546" s="55"/>
      <c r="I546" s="176">
        <f>_xlfn.XLOOKUP(enrollment_table[[#This Row],[*Teacher Name]], teachers_table[*Teacher Name], teachers_table[*Teacher ID])</f>
        <v>0</v>
      </c>
      <c r="J546" s="60"/>
      <c r="K546" s="60"/>
      <c r="L546" s="55"/>
      <c r="M546" s="60"/>
      <c r="N546" s="60"/>
      <c r="O546" s="55"/>
      <c r="P546" s="161"/>
      <c r="Q546" s="160" t="str">
        <f>IF(enrollment_table[[#This Row],[Enrollment Date]]="","",TEXT(enrollment_table[[#This Row],[Enrollment Date]],"mmmm"))</f>
        <v/>
      </c>
      <c r="R546" s="60"/>
    </row>
    <row r="547" spans="1:18" ht="15" x14ac:dyDescent="0.3">
      <c r="A547" s="129"/>
      <c r="B547" s="60"/>
      <c r="C547" s="55"/>
      <c r="D547" s="60"/>
      <c r="E547" s="103">
        <f>_xlfn.XLOOKUP(enrollment_table[[#This Row],[*Subject]], classes_table[*Subject], classes_table[Fee])</f>
        <v>0</v>
      </c>
      <c r="F547" s="58"/>
      <c r="G547" s="60"/>
      <c r="H547" s="55"/>
      <c r="I547" s="176">
        <f>_xlfn.XLOOKUP(enrollment_table[[#This Row],[*Teacher Name]], teachers_table[*Teacher Name], teachers_table[*Teacher ID])</f>
        <v>0</v>
      </c>
      <c r="J547" s="60"/>
      <c r="K547" s="60"/>
      <c r="L547" s="55"/>
      <c r="M547" s="60"/>
      <c r="N547" s="60"/>
      <c r="O547" s="55"/>
      <c r="P547" s="161"/>
      <c r="Q547" s="160" t="str">
        <f>IF(enrollment_table[[#This Row],[Enrollment Date]]="","",TEXT(enrollment_table[[#This Row],[Enrollment Date]],"mmmm"))</f>
        <v/>
      </c>
      <c r="R547" s="60"/>
    </row>
    <row r="548" spans="1:18" ht="15" x14ac:dyDescent="0.3">
      <c r="A548" s="129"/>
      <c r="B548" s="60"/>
      <c r="C548" s="55"/>
      <c r="D548" s="60"/>
      <c r="E548" s="103">
        <f>_xlfn.XLOOKUP(enrollment_table[[#This Row],[*Subject]], classes_table[*Subject], classes_table[Fee])</f>
        <v>0</v>
      </c>
      <c r="F548" s="58"/>
      <c r="G548" s="60"/>
      <c r="H548" s="55"/>
      <c r="I548" s="176">
        <f>_xlfn.XLOOKUP(enrollment_table[[#This Row],[*Teacher Name]], teachers_table[*Teacher Name], teachers_table[*Teacher ID])</f>
        <v>0</v>
      </c>
      <c r="J548" s="60"/>
      <c r="K548" s="60"/>
      <c r="L548" s="55"/>
      <c r="M548" s="60"/>
      <c r="N548" s="60"/>
      <c r="O548" s="55"/>
      <c r="P548" s="161"/>
      <c r="Q548" s="160" t="str">
        <f>IF(enrollment_table[[#This Row],[Enrollment Date]]="","",TEXT(enrollment_table[[#This Row],[Enrollment Date]],"mmmm"))</f>
        <v/>
      </c>
      <c r="R548" s="60"/>
    </row>
    <row r="549" spans="1:18" ht="15" x14ac:dyDescent="0.3">
      <c r="A549" s="129"/>
      <c r="B549" s="60"/>
      <c r="C549" s="55"/>
      <c r="D549" s="60"/>
      <c r="E549" s="103">
        <f>_xlfn.XLOOKUP(enrollment_table[[#This Row],[*Subject]], classes_table[*Subject], classes_table[Fee])</f>
        <v>0</v>
      </c>
      <c r="F549" s="58"/>
      <c r="G549" s="60"/>
      <c r="H549" s="55"/>
      <c r="I549" s="176">
        <f>_xlfn.XLOOKUP(enrollment_table[[#This Row],[*Teacher Name]], teachers_table[*Teacher Name], teachers_table[*Teacher ID])</f>
        <v>0</v>
      </c>
      <c r="J549" s="60"/>
      <c r="K549" s="60"/>
      <c r="L549" s="55"/>
      <c r="M549" s="60"/>
      <c r="N549" s="60"/>
      <c r="O549" s="55"/>
      <c r="P549" s="161"/>
      <c r="Q549" s="160" t="str">
        <f>IF(enrollment_table[[#This Row],[Enrollment Date]]="","",TEXT(enrollment_table[[#This Row],[Enrollment Date]],"mmmm"))</f>
        <v/>
      </c>
      <c r="R549" s="60"/>
    </row>
    <row r="550" spans="1:18" ht="15" x14ac:dyDescent="0.3">
      <c r="A550" s="129"/>
      <c r="B550" s="60"/>
      <c r="C550" s="55"/>
      <c r="D550" s="60"/>
      <c r="E550" s="103">
        <f>_xlfn.XLOOKUP(enrollment_table[[#This Row],[*Subject]], classes_table[*Subject], classes_table[Fee])</f>
        <v>0</v>
      </c>
      <c r="F550" s="58"/>
      <c r="G550" s="60"/>
      <c r="H550" s="55"/>
      <c r="I550" s="176">
        <f>_xlfn.XLOOKUP(enrollment_table[[#This Row],[*Teacher Name]], teachers_table[*Teacher Name], teachers_table[*Teacher ID])</f>
        <v>0</v>
      </c>
      <c r="J550" s="60"/>
      <c r="K550" s="60"/>
      <c r="L550" s="55"/>
      <c r="M550" s="60"/>
      <c r="N550" s="60"/>
      <c r="O550" s="55"/>
      <c r="P550" s="161"/>
      <c r="Q550" s="160" t="str">
        <f>IF(enrollment_table[[#This Row],[Enrollment Date]]="","",TEXT(enrollment_table[[#This Row],[Enrollment Date]],"mmmm"))</f>
        <v/>
      </c>
      <c r="R550" s="60"/>
    </row>
    <row r="551" spans="1:18" ht="15" x14ac:dyDescent="0.3">
      <c r="A551" s="129"/>
      <c r="B551" s="60"/>
      <c r="C551" s="55"/>
      <c r="D551" s="60"/>
      <c r="E551" s="103">
        <f>_xlfn.XLOOKUP(enrollment_table[[#This Row],[*Subject]], classes_table[*Subject], classes_table[Fee])</f>
        <v>0</v>
      </c>
      <c r="F551" s="58"/>
      <c r="G551" s="60"/>
      <c r="H551" s="55"/>
      <c r="I551" s="176">
        <f>_xlfn.XLOOKUP(enrollment_table[[#This Row],[*Teacher Name]], teachers_table[*Teacher Name], teachers_table[*Teacher ID])</f>
        <v>0</v>
      </c>
      <c r="J551" s="60"/>
      <c r="K551" s="60"/>
      <c r="L551" s="55"/>
      <c r="M551" s="60"/>
      <c r="N551" s="60"/>
      <c r="O551" s="55"/>
      <c r="P551" s="161"/>
      <c r="Q551" s="160" t="str">
        <f>IF(enrollment_table[[#This Row],[Enrollment Date]]="","",TEXT(enrollment_table[[#This Row],[Enrollment Date]],"mmmm"))</f>
        <v/>
      </c>
      <c r="R551" s="60"/>
    </row>
    <row r="552" spans="1:18" ht="15" x14ac:dyDescent="0.3">
      <c r="A552" s="129"/>
      <c r="B552" s="60"/>
      <c r="C552" s="55"/>
      <c r="D552" s="60"/>
      <c r="E552" s="103">
        <f>_xlfn.XLOOKUP(enrollment_table[[#This Row],[*Subject]], classes_table[*Subject], classes_table[Fee])</f>
        <v>0</v>
      </c>
      <c r="F552" s="58"/>
      <c r="G552" s="60"/>
      <c r="H552" s="55"/>
      <c r="I552" s="176">
        <f>_xlfn.XLOOKUP(enrollment_table[[#This Row],[*Teacher Name]], teachers_table[*Teacher Name], teachers_table[*Teacher ID])</f>
        <v>0</v>
      </c>
      <c r="J552" s="60"/>
      <c r="K552" s="60"/>
      <c r="L552" s="55"/>
      <c r="M552" s="60"/>
      <c r="N552" s="60"/>
      <c r="O552" s="55"/>
      <c r="P552" s="161"/>
      <c r="Q552" s="160" t="str">
        <f>IF(enrollment_table[[#This Row],[Enrollment Date]]="","",TEXT(enrollment_table[[#This Row],[Enrollment Date]],"mmmm"))</f>
        <v/>
      </c>
      <c r="R552" s="60"/>
    </row>
    <row r="553" spans="1:18" ht="15" x14ac:dyDescent="0.3">
      <c r="A553" s="129"/>
      <c r="B553" s="60"/>
      <c r="C553" s="55"/>
      <c r="D553" s="60"/>
      <c r="E553" s="103">
        <f>_xlfn.XLOOKUP(enrollment_table[[#This Row],[*Subject]], classes_table[*Subject], classes_table[Fee])</f>
        <v>0</v>
      </c>
      <c r="F553" s="58"/>
      <c r="G553" s="60"/>
      <c r="H553" s="55"/>
      <c r="I553" s="176">
        <f>_xlfn.XLOOKUP(enrollment_table[[#This Row],[*Teacher Name]], teachers_table[*Teacher Name], teachers_table[*Teacher ID])</f>
        <v>0</v>
      </c>
      <c r="J553" s="60"/>
      <c r="K553" s="60"/>
      <c r="L553" s="55"/>
      <c r="M553" s="60"/>
      <c r="N553" s="60"/>
      <c r="O553" s="55"/>
      <c r="P553" s="161"/>
      <c r="Q553" s="160" t="str">
        <f>IF(enrollment_table[[#This Row],[Enrollment Date]]="","",TEXT(enrollment_table[[#This Row],[Enrollment Date]],"mmmm"))</f>
        <v/>
      </c>
      <c r="R553" s="60"/>
    </row>
    <row r="554" spans="1:18" ht="15" x14ac:dyDescent="0.3">
      <c r="A554" s="129"/>
      <c r="B554" s="60"/>
      <c r="C554" s="55"/>
      <c r="D554" s="60"/>
      <c r="E554" s="103">
        <f>_xlfn.XLOOKUP(enrollment_table[[#This Row],[*Subject]], classes_table[*Subject], classes_table[Fee])</f>
        <v>0</v>
      </c>
      <c r="F554" s="58"/>
      <c r="G554" s="60"/>
      <c r="H554" s="55"/>
      <c r="I554" s="176">
        <f>_xlfn.XLOOKUP(enrollment_table[[#This Row],[*Teacher Name]], teachers_table[*Teacher Name], teachers_table[*Teacher ID])</f>
        <v>0</v>
      </c>
      <c r="J554" s="60"/>
      <c r="K554" s="60"/>
      <c r="L554" s="55"/>
      <c r="M554" s="60"/>
      <c r="N554" s="60"/>
      <c r="O554" s="55"/>
      <c r="P554" s="161"/>
      <c r="Q554" s="160" t="str">
        <f>IF(enrollment_table[[#This Row],[Enrollment Date]]="","",TEXT(enrollment_table[[#This Row],[Enrollment Date]],"mmmm"))</f>
        <v/>
      </c>
      <c r="R554" s="60"/>
    </row>
    <row r="555" spans="1:18" ht="15" x14ac:dyDescent="0.3">
      <c r="A555" s="129"/>
      <c r="B555" s="60"/>
      <c r="C555" s="55"/>
      <c r="D555" s="60"/>
      <c r="E555" s="103">
        <f>_xlfn.XLOOKUP(enrollment_table[[#This Row],[*Subject]], classes_table[*Subject], classes_table[Fee])</f>
        <v>0</v>
      </c>
      <c r="F555" s="58"/>
      <c r="G555" s="60"/>
      <c r="H555" s="55"/>
      <c r="I555" s="176">
        <f>_xlfn.XLOOKUP(enrollment_table[[#This Row],[*Teacher Name]], teachers_table[*Teacher Name], teachers_table[*Teacher ID])</f>
        <v>0</v>
      </c>
      <c r="J555" s="60"/>
      <c r="K555" s="60"/>
      <c r="L555" s="55"/>
      <c r="M555" s="60"/>
      <c r="N555" s="60"/>
      <c r="O555" s="55"/>
      <c r="P555" s="161"/>
      <c r="Q555" s="160" t="str">
        <f>IF(enrollment_table[[#This Row],[Enrollment Date]]="","",TEXT(enrollment_table[[#This Row],[Enrollment Date]],"mmmm"))</f>
        <v/>
      </c>
      <c r="R555" s="60"/>
    </row>
    <row r="556" spans="1:18" ht="15" x14ac:dyDescent="0.3">
      <c r="A556" s="129"/>
      <c r="B556" s="60"/>
      <c r="C556" s="55"/>
      <c r="D556" s="60"/>
      <c r="E556" s="103">
        <f>_xlfn.XLOOKUP(enrollment_table[[#This Row],[*Subject]], classes_table[*Subject], classes_table[Fee])</f>
        <v>0</v>
      </c>
      <c r="F556" s="58"/>
      <c r="G556" s="60"/>
      <c r="H556" s="55"/>
      <c r="I556" s="176">
        <f>_xlfn.XLOOKUP(enrollment_table[[#This Row],[*Teacher Name]], teachers_table[*Teacher Name], teachers_table[*Teacher ID])</f>
        <v>0</v>
      </c>
      <c r="J556" s="60"/>
      <c r="K556" s="60"/>
      <c r="L556" s="55"/>
      <c r="M556" s="60"/>
      <c r="N556" s="60"/>
      <c r="O556" s="55"/>
      <c r="P556" s="161"/>
      <c r="Q556" s="160" t="str">
        <f>IF(enrollment_table[[#This Row],[Enrollment Date]]="","",TEXT(enrollment_table[[#This Row],[Enrollment Date]],"mmmm"))</f>
        <v/>
      </c>
      <c r="R556" s="60"/>
    </row>
    <row r="557" spans="1:18" ht="15" x14ac:dyDescent="0.3">
      <c r="A557" s="129"/>
      <c r="B557" s="60"/>
      <c r="C557" s="55"/>
      <c r="D557" s="60"/>
      <c r="E557" s="103">
        <f>_xlfn.XLOOKUP(enrollment_table[[#This Row],[*Subject]], classes_table[*Subject], classes_table[Fee])</f>
        <v>0</v>
      </c>
      <c r="F557" s="58"/>
      <c r="G557" s="60"/>
      <c r="H557" s="55"/>
      <c r="I557" s="176">
        <f>_xlfn.XLOOKUP(enrollment_table[[#This Row],[*Teacher Name]], teachers_table[*Teacher Name], teachers_table[*Teacher ID])</f>
        <v>0</v>
      </c>
      <c r="J557" s="60"/>
      <c r="K557" s="60"/>
      <c r="L557" s="55"/>
      <c r="M557" s="60"/>
      <c r="N557" s="60"/>
      <c r="O557" s="55"/>
      <c r="P557" s="161"/>
      <c r="Q557" s="160" t="str">
        <f>IF(enrollment_table[[#This Row],[Enrollment Date]]="","",TEXT(enrollment_table[[#This Row],[Enrollment Date]],"mmmm"))</f>
        <v/>
      </c>
      <c r="R557" s="60"/>
    </row>
    <row r="558" spans="1:18" ht="15" x14ac:dyDescent="0.3">
      <c r="A558" s="129"/>
      <c r="B558" s="60"/>
      <c r="C558" s="55"/>
      <c r="D558" s="60"/>
      <c r="E558" s="103">
        <f>_xlfn.XLOOKUP(enrollment_table[[#This Row],[*Subject]], classes_table[*Subject], classes_table[Fee])</f>
        <v>0</v>
      </c>
      <c r="F558" s="58"/>
      <c r="G558" s="60"/>
      <c r="H558" s="55"/>
      <c r="I558" s="176">
        <f>_xlfn.XLOOKUP(enrollment_table[[#This Row],[*Teacher Name]], teachers_table[*Teacher Name], teachers_table[*Teacher ID])</f>
        <v>0</v>
      </c>
      <c r="J558" s="60"/>
      <c r="K558" s="60"/>
      <c r="L558" s="55"/>
      <c r="M558" s="60"/>
      <c r="N558" s="60"/>
      <c r="O558" s="55"/>
      <c r="P558" s="161"/>
      <c r="Q558" s="160" t="str">
        <f>IF(enrollment_table[[#This Row],[Enrollment Date]]="","",TEXT(enrollment_table[[#This Row],[Enrollment Date]],"mmmm"))</f>
        <v/>
      </c>
      <c r="R558" s="60"/>
    </row>
    <row r="559" spans="1:18" ht="15" x14ac:dyDescent="0.3">
      <c r="A559" s="129"/>
      <c r="B559" s="60"/>
      <c r="C559" s="55"/>
      <c r="D559" s="60"/>
      <c r="E559" s="103">
        <f>_xlfn.XLOOKUP(enrollment_table[[#This Row],[*Subject]], classes_table[*Subject], classes_table[Fee])</f>
        <v>0</v>
      </c>
      <c r="F559" s="58"/>
      <c r="G559" s="60"/>
      <c r="H559" s="55"/>
      <c r="I559" s="176">
        <f>_xlfn.XLOOKUP(enrollment_table[[#This Row],[*Teacher Name]], teachers_table[*Teacher Name], teachers_table[*Teacher ID])</f>
        <v>0</v>
      </c>
      <c r="J559" s="60"/>
      <c r="K559" s="60"/>
      <c r="L559" s="55"/>
      <c r="M559" s="60"/>
      <c r="N559" s="60"/>
      <c r="O559" s="55"/>
      <c r="P559" s="161"/>
      <c r="Q559" s="160" t="str">
        <f>IF(enrollment_table[[#This Row],[Enrollment Date]]="","",TEXT(enrollment_table[[#This Row],[Enrollment Date]],"mmmm"))</f>
        <v/>
      </c>
      <c r="R559" s="60"/>
    </row>
    <row r="560" spans="1:18" ht="15" x14ac:dyDescent="0.3">
      <c r="A560" s="129"/>
      <c r="B560" s="60"/>
      <c r="C560" s="55"/>
      <c r="D560" s="60"/>
      <c r="E560" s="103">
        <f>_xlfn.XLOOKUP(enrollment_table[[#This Row],[*Subject]], classes_table[*Subject], classes_table[Fee])</f>
        <v>0</v>
      </c>
      <c r="F560" s="58"/>
      <c r="G560" s="60"/>
      <c r="H560" s="55"/>
      <c r="I560" s="176">
        <f>_xlfn.XLOOKUP(enrollment_table[[#This Row],[*Teacher Name]], teachers_table[*Teacher Name], teachers_table[*Teacher ID])</f>
        <v>0</v>
      </c>
      <c r="J560" s="60"/>
      <c r="K560" s="60"/>
      <c r="L560" s="55"/>
      <c r="M560" s="60"/>
      <c r="N560" s="60"/>
      <c r="O560" s="55"/>
      <c r="P560" s="161"/>
      <c r="Q560" s="160" t="str">
        <f>IF(enrollment_table[[#This Row],[Enrollment Date]]="","",TEXT(enrollment_table[[#This Row],[Enrollment Date]],"mmmm"))</f>
        <v/>
      </c>
      <c r="R560" s="60"/>
    </row>
    <row r="561" spans="1:18" ht="15" x14ac:dyDescent="0.3">
      <c r="A561" s="129"/>
      <c r="B561" s="60"/>
      <c r="C561" s="55"/>
      <c r="D561" s="60"/>
      <c r="E561" s="103">
        <f>_xlfn.XLOOKUP(enrollment_table[[#This Row],[*Subject]], classes_table[*Subject], classes_table[Fee])</f>
        <v>0</v>
      </c>
      <c r="F561" s="58"/>
      <c r="G561" s="60"/>
      <c r="H561" s="55"/>
      <c r="I561" s="176">
        <f>_xlfn.XLOOKUP(enrollment_table[[#This Row],[*Teacher Name]], teachers_table[*Teacher Name], teachers_table[*Teacher ID])</f>
        <v>0</v>
      </c>
      <c r="J561" s="60"/>
      <c r="K561" s="60"/>
      <c r="L561" s="55"/>
      <c r="M561" s="60"/>
      <c r="N561" s="60"/>
      <c r="O561" s="55"/>
      <c r="P561" s="161"/>
      <c r="Q561" s="160" t="str">
        <f>IF(enrollment_table[[#This Row],[Enrollment Date]]="","",TEXT(enrollment_table[[#This Row],[Enrollment Date]],"mmmm"))</f>
        <v/>
      </c>
      <c r="R561" s="60"/>
    </row>
    <row r="562" spans="1:18" ht="15" x14ac:dyDescent="0.3">
      <c r="A562" s="129"/>
      <c r="B562" s="60"/>
      <c r="C562" s="55"/>
      <c r="D562" s="60"/>
      <c r="E562" s="103">
        <f>_xlfn.XLOOKUP(enrollment_table[[#This Row],[*Subject]], classes_table[*Subject], classes_table[Fee])</f>
        <v>0</v>
      </c>
      <c r="F562" s="58"/>
      <c r="G562" s="60"/>
      <c r="H562" s="55"/>
      <c r="I562" s="176">
        <f>_xlfn.XLOOKUP(enrollment_table[[#This Row],[*Teacher Name]], teachers_table[*Teacher Name], teachers_table[*Teacher ID])</f>
        <v>0</v>
      </c>
      <c r="J562" s="60"/>
      <c r="K562" s="60"/>
      <c r="L562" s="55"/>
      <c r="M562" s="60"/>
      <c r="N562" s="60"/>
      <c r="O562" s="55"/>
      <c r="P562" s="161"/>
      <c r="Q562" s="160" t="str">
        <f>IF(enrollment_table[[#This Row],[Enrollment Date]]="","",TEXT(enrollment_table[[#This Row],[Enrollment Date]],"mmmm"))</f>
        <v/>
      </c>
      <c r="R562" s="60"/>
    </row>
    <row r="563" spans="1:18" ht="15" x14ac:dyDescent="0.3">
      <c r="A563" s="129"/>
      <c r="B563" s="60"/>
      <c r="C563" s="55"/>
      <c r="D563" s="60"/>
      <c r="E563" s="103">
        <f>_xlfn.XLOOKUP(enrollment_table[[#This Row],[*Subject]], classes_table[*Subject], classes_table[Fee])</f>
        <v>0</v>
      </c>
      <c r="F563" s="58"/>
      <c r="G563" s="60"/>
      <c r="H563" s="55"/>
      <c r="I563" s="176">
        <f>_xlfn.XLOOKUP(enrollment_table[[#This Row],[*Teacher Name]], teachers_table[*Teacher Name], teachers_table[*Teacher ID])</f>
        <v>0</v>
      </c>
      <c r="J563" s="60"/>
      <c r="K563" s="60"/>
      <c r="L563" s="55"/>
      <c r="M563" s="60"/>
      <c r="N563" s="60"/>
      <c r="O563" s="55"/>
      <c r="P563" s="161"/>
      <c r="Q563" s="160" t="str">
        <f>IF(enrollment_table[[#This Row],[Enrollment Date]]="","",TEXT(enrollment_table[[#This Row],[Enrollment Date]],"mmmm"))</f>
        <v/>
      </c>
      <c r="R563" s="60"/>
    </row>
    <row r="564" spans="1:18" ht="15" x14ac:dyDescent="0.3">
      <c r="A564" s="129"/>
      <c r="B564" s="60"/>
      <c r="C564" s="55"/>
      <c r="D564" s="60"/>
      <c r="E564" s="103">
        <f>_xlfn.XLOOKUP(enrollment_table[[#This Row],[*Subject]], classes_table[*Subject], classes_table[Fee])</f>
        <v>0</v>
      </c>
      <c r="F564" s="58"/>
      <c r="G564" s="60"/>
      <c r="H564" s="55"/>
      <c r="I564" s="176">
        <f>_xlfn.XLOOKUP(enrollment_table[[#This Row],[*Teacher Name]], teachers_table[*Teacher Name], teachers_table[*Teacher ID])</f>
        <v>0</v>
      </c>
      <c r="J564" s="60"/>
      <c r="K564" s="60"/>
      <c r="L564" s="55"/>
      <c r="M564" s="60"/>
      <c r="N564" s="60"/>
      <c r="O564" s="55"/>
      <c r="P564" s="161"/>
      <c r="Q564" s="160" t="str">
        <f>IF(enrollment_table[[#This Row],[Enrollment Date]]="","",TEXT(enrollment_table[[#This Row],[Enrollment Date]],"mmmm"))</f>
        <v/>
      </c>
      <c r="R564" s="60"/>
    </row>
    <row r="565" spans="1:18" ht="15" x14ac:dyDescent="0.3">
      <c r="A565" s="129"/>
      <c r="B565" s="60"/>
      <c r="C565" s="55"/>
      <c r="D565" s="60"/>
      <c r="E565" s="103">
        <f>_xlfn.XLOOKUP(enrollment_table[[#This Row],[*Subject]], classes_table[*Subject], classes_table[Fee])</f>
        <v>0</v>
      </c>
      <c r="F565" s="58"/>
      <c r="G565" s="60"/>
      <c r="H565" s="55"/>
      <c r="I565" s="176">
        <f>_xlfn.XLOOKUP(enrollment_table[[#This Row],[*Teacher Name]], teachers_table[*Teacher Name], teachers_table[*Teacher ID])</f>
        <v>0</v>
      </c>
      <c r="J565" s="60"/>
      <c r="K565" s="60"/>
      <c r="L565" s="55"/>
      <c r="M565" s="60"/>
      <c r="N565" s="60"/>
      <c r="O565" s="55"/>
      <c r="P565" s="161"/>
      <c r="Q565" s="160" t="str">
        <f>IF(enrollment_table[[#This Row],[Enrollment Date]]="","",TEXT(enrollment_table[[#This Row],[Enrollment Date]],"mmmm"))</f>
        <v/>
      </c>
      <c r="R565" s="60"/>
    </row>
    <row r="566" spans="1:18" ht="15" x14ac:dyDescent="0.3">
      <c r="A566" s="129"/>
      <c r="B566" s="60"/>
      <c r="C566" s="55"/>
      <c r="D566" s="60"/>
      <c r="E566" s="103">
        <f>_xlfn.XLOOKUP(enrollment_table[[#This Row],[*Subject]], classes_table[*Subject], classes_table[Fee])</f>
        <v>0</v>
      </c>
      <c r="F566" s="58"/>
      <c r="G566" s="60"/>
      <c r="H566" s="55"/>
      <c r="I566" s="176">
        <f>_xlfn.XLOOKUP(enrollment_table[[#This Row],[*Teacher Name]], teachers_table[*Teacher Name], teachers_table[*Teacher ID])</f>
        <v>0</v>
      </c>
      <c r="J566" s="60"/>
      <c r="K566" s="60"/>
      <c r="L566" s="55"/>
      <c r="M566" s="60"/>
      <c r="N566" s="60"/>
      <c r="O566" s="55"/>
      <c r="P566" s="161"/>
      <c r="Q566" s="160" t="str">
        <f>IF(enrollment_table[[#This Row],[Enrollment Date]]="","",TEXT(enrollment_table[[#This Row],[Enrollment Date]],"mmmm"))</f>
        <v/>
      </c>
      <c r="R566" s="60"/>
    </row>
    <row r="567" spans="1:18" ht="15" x14ac:dyDescent="0.3">
      <c r="A567" s="129"/>
      <c r="B567" s="60"/>
      <c r="C567" s="55"/>
      <c r="D567" s="60"/>
      <c r="E567" s="103">
        <f>_xlfn.XLOOKUP(enrollment_table[[#This Row],[*Subject]], classes_table[*Subject], classes_table[Fee])</f>
        <v>0</v>
      </c>
      <c r="F567" s="58"/>
      <c r="G567" s="60"/>
      <c r="H567" s="55"/>
      <c r="I567" s="176">
        <f>_xlfn.XLOOKUP(enrollment_table[[#This Row],[*Teacher Name]], teachers_table[*Teacher Name], teachers_table[*Teacher ID])</f>
        <v>0</v>
      </c>
      <c r="J567" s="60"/>
      <c r="K567" s="60"/>
      <c r="L567" s="55"/>
      <c r="M567" s="60"/>
      <c r="N567" s="60"/>
      <c r="O567" s="55"/>
      <c r="P567" s="161"/>
      <c r="Q567" s="160" t="str">
        <f>IF(enrollment_table[[#This Row],[Enrollment Date]]="","",TEXT(enrollment_table[[#This Row],[Enrollment Date]],"mmmm"))</f>
        <v/>
      </c>
      <c r="R567" s="60"/>
    </row>
    <row r="568" spans="1:18" ht="15" x14ac:dyDescent="0.3">
      <c r="A568" s="129"/>
      <c r="B568" s="60"/>
      <c r="C568" s="55"/>
      <c r="D568" s="60"/>
      <c r="E568" s="103">
        <f>_xlfn.XLOOKUP(enrollment_table[[#This Row],[*Subject]], classes_table[*Subject], classes_table[Fee])</f>
        <v>0</v>
      </c>
      <c r="F568" s="58"/>
      <c r="G568" s="60"/>
      <c r="H568" s="55"/>
      <c r="I568" s="176">
        <f>_xlfn.XLOOKUP(enrollment_table[[#This Row],[*Teacher Name]], teachers_table[*Teacher Name], teachers_table[*Teacher ID])</f>
        <v>0</v>
      </c>
      <c r="J568" s="60"/>
      <c r="K568" s="60"/>
      <c r="L568" s="55"/>
      <c r="M568" s="60"/>
      <c r="N568" s="60"/>
      <c r="O568" s="55"/>
      <c r="P568" s="161"/>
      <c r="Q568" s="160" t="str">
        <f>IF(enrollment_table[[#This Row],[Enrollment Date]]="","",TEXT(enrollment_table[[#This Row],[Enrollment Date]],"mmmm"))</f>
        <v/>
      </c>
      <c r="R568" s="60"/>
    </row>
    <row r="569" spans="1:18" ht="15" x14ac:dyDescent="0.3">
      <c r="A569" s="129"/>
      <c r="B569" s="60"/>
      <c r="C569" s="55"/>
      <c r="D569" s="60"/>
      <c r="E569" s="103">
        <f>_xlfn.XLOOKUP(enrollment_table[[#This Row],[*Subject]], classes_table[*Subject], classes_table[Fee])</f>
        <v>0</v>
      </c>
      <c r="F569" s="58"/>
      <c r="G569" s="60"/>
      <c r="H569" s="55"/>
      <c r="I569" s="176">
        <f>_xlfn.XLOOKUP(enrollment_table[[#This Row],[*Teacher Name]], teachers_table[*Teacher Name], teachers_table[*Teacher ID])</f>
        <v>0</v>
      </c>
      <c r="J569" s="60"/>
      <c r="K569" s="60"/>
      <c r="L569" s="55"/>
      <c r="M569" s="60"/>
      <c r="N569" s="60"/>
      <c r="O569" s="55"/>
      <c r="P569" s="161"/>
      <c r="Q569" s="160" t="str">
        <f>IF(enrollment_table[[#This Row],[Enrollment Date]]="","",TEXT(enrollment_table[[#This Row],[Enrollment Date]],"mmmm"))</f>
        <v/>
      </c>
      <c r="R569" s="60"/>
    </row>
    <row r="570" spans="1:18" ht="15" x14ac:dyDescent="0.3">
      <c r="A570" s="129"/>
      <c r="B570" s="60"/>
      <c r="C570" s="55"/>
      <c r="D570" s="60"/>
      <c r="E570" s="103">
        <f>_xlfn.XLOOKUP(enrollment_table[[#This Row],[*Subject]], classes_table[*Subject], classes_table[Fee])</f>
        <v>0</v>
      </c>
      <c r="F570" s="58"/>
      <c r="G570" s="60"/>
      <c r="H570" s="55"/>
      <c r="I570" s="176">
        <f>_xlfn.XLOOKUP(enrollment_table[[#This Row],[*Teacher Name]], teachers_table[*Teacher Name], teachers_table[*Teacher ID])</f>
        <v>0</v>
      </c>
      <c r="J570" s="60"/>
      <c r="K570" s="60"/>
      <c r="L570" s="55"/>
      <c r="M570" s="60"/>
      <c r="N570" s="60"/>
      <c r="O570" s="55"/>
      <c r="P570" s="161"/>
      <c r="Q570" s="160" t="str">
        <f>IF(enrollment_table[[#This Row],[Enrollment Date]]="","",TEXT(enrollment_table[[#This Row],[Enrollment Date]],"mmmm"))</f>
        <v/>
      </c>
      <c r="R570" s="60"/>
    </row>
    <row r="571" spans="1:18" ht="15" x14ac:dyDescent="0.3">
      <c r="A571" s="129"/>
      <c r="B571" s="60"/>
      <c r="C571" s="55"/>
      <c r="D571" s="60"/>
      <c r="E571" s="103">
        <f>_xlfn.XLOOKUP(enrollment_table[[#This Row],[*Subject]], classes_table[*Subject], classes_table[Fee])</f>
        <v>0</v>
      </c>
      <c r="F571" s="58"/>
      <c r="G571" s="60"/>
      <c r="H571" s="55"/>
      <c r="I571" s="176">
        <f>_xlfn.XLOOKUP(enrollment_table[[#This Row],[*Teacher Name]], teachers_table[*Teacher Name], teachers_table[*Teacher ID])</f>
        <v>0</v>
      </c>
      <c r="J571" s="60"/>
      <c r="K571" s="60"/>
      <c r="L571" s="55"/>
      <c r="M571" s="60"/>
      <c r="N571" s="60"/>
      <c r="O571" s="55"/>
      <c r="P571" s="161"/>
      <c r="Q571" s="160" t="str">
        <f>IF(enrollment_table[[#This Row],[Enrollment Date]]="","",TEXT(enrollment_table[[#This Row],[Enrollment Date]],"mmmm"))</f>
        <v/>
      </c>
      <c r="R571" s="60"/>
    </row>
    <row r="572" spans="1:18" ht="15" x14ac:dyDescent="0.3">
      <c r="A572" s="129"/>
      <c r="B572" s="60"/>
      <c r="C572" s="55"/>
      <c r="D572" s="60"/>
      <c r="E572" s="103">
        <f>_xlfn.XLOOKUP(enrollment_table[[#This Row],[*Subject]], classes_table[*Subject], classes_table[Fee])</f>
        <v>0</v>
      </c>
      <c r="F572" s="58"/>
      <c r="G572" s="60"/>
      <c r="H572" s="55"/>
      <c r="I572" s="176">
        <f>_xlfn.XLOOKUP(enrollment_table[[#This Row],[*Teacher Name]], teachers_table[*Teacher Name], teachers_table[*Teacher ID])</f>
        <v>0</v>
      </c>
      <c r="J572" s="60"/>
      <c r="K572" s="60"/>
      <c r="L572" s="55"/>
      <c r="M572" s="60"/>
      <c r="N572" s="60"/>
      <c r="O572" s="55"/>
      <c r="P572" s="161"/>
      <c r="Q572" s="160" t="str">
        <f>IF(enrollment_table[[#This Row],[Enrollment Date]]="","",TEXT(enrollment_table[[#This Row],[Enrollment Date]],"mmmm"))</f>
        <v/>
      </c>
      <c r="R572" s="60"/>
    </row>
    <row r="573" spans="1:18" ht="15" x14ac:dyDescent="0.3">
      <c r="A573" s="129"/>
      <c r="B573" s="60"/>
      <c r="C573" s="55"/>
      <c r="D573" s="60"/>
      <c r="E573" s="103">
        <f>_xlfn.XLOOKUP(enrollment_table[[#This Row],[*Subject]], classes_table[*Subject], classes_table[Fee])</f>
        <v>0</v>
      </c>
      <c r="F573" s="58"/>
      <c r="G573" s="60"/>
      <c r="H573" s="55"/>
      <c r="I573" s="176">
        <f>_xlfn.XLOOKUP(enrollment_table[[#This Row],[*Teacher Name]], teachers_table[*Teacher Name], teachers_table[*Teacher ID])</f>
        <v>0</v>
      </c>
      <c r="J573" s="60"/>
      <c r="K573" s="60"/>
      <c r="L573" s="55"/>
      <c r="M573" s="60"/>
      <c r="N573" s="60"/>
      <c r="O573" s="55"/>
      <c r="P573" s="161"/>
      <c r="Q573" s="160" t="str">
        <f>IF(enrollment_table[[#This Row],[Enrollment Date]]="","",TEXT(enrollment_table[[#This Row],[Enrollment Date]],"mmmm"))</f>
        <v/>
      </c>
      <c r="R573" s="60"/>
    </row>
    <row r="574" spans="1:18" ht="15" x14ac:dyDescent="0.3">
      <c r="A574" s="129"/>
      <c r="B574" s="60"/>
      <c r="C574" s="55"/>
      <c r="D574" s="60"/>
      <c r="E574" s="103">
        <f>_xlfn.XLOOKUP(enrollment_table[[#This Row],[*Subject]], classes_table[*Subject], classes_table[Fee])</f>
        <v>0</v>
      </c>
      <c r="F574" s="58"/>
      <c r="G574" s="60"/>
      <c r="H574" s="55"/>
      <c r="I574" s="176">
        <f>_xlfn.XLOOKUP(enrollment_table[[#This Row],[*Teacher Name]], teachers_table[*Teacher Name], teachers_table[*Teacher ID])</f>
        <v>0</v>
      </c>
      <c r="J574" s="60"/>
      <c r="K574" s="60"/>
      <c r="L574" s="55"/>
      <c r="M574" s="60"/>
      <c r="N574" s="60"/>
      <c r="O574" s="55"/>
      <c r="P574" s="161"/>
      <c r="Q574" s="160" t="str">
        <f>IF(enrollment_table[[#This Row],[Enrollment Date]]="","",TEXT(enrollment_table[[#This Row],[Enrollment Date]],"mmmm"))</f>
        <v/>
      </c>
      <c r="R574" s="60"/>
    </row>
    <row r="575" spans="1:18" ht="15" x14ac:dyDescent="0.3">
      <c r="A575" s="129"/>
      <c r="B575" s="60"/>
      <c r="C575" s="55"/>
      <c r="D575" s="60"/>
      <c r="E575" s="103">
        <f>_xlfn.XLOOKUP(enrollment_table[[#This Row],[*Subject]], classes_table[*Subject], classes_table[Fee])</f>
        <v>0</v>
      </c>
      <c r="F575" s="58"/>
      <c r="G575" s="60"/>
      <c r="H575" s="55"/>
      <c r="I575" s="176">
        <f>_xlfn.XLOOKUP(enrollment_table[[#This Row],[*Teacher Name]], teachers_table[*Teacher Name], teachers_table[*Teacher ID])</f>
        <v>0</v>
      </c>
      <c r="J575" s="60"/>
      <c r="K575" s="60"/>
      <c r="L575" s="55"/>
      <c r="M575" s="60"/>
      <c r="N575" s="60"/>
      <c r="O575" s="55"/>
      <c r="P575" s="161"/>
      <c r="Q575" s="160" t="str">
        <f>IF(enrollment_table[[#This Row],[Enrollment Date]]="","",TEXT(enrollment_table[[#This Row],[Enrollment Date]],"mmmm"))</f>
        <v/>
      </c>
      <c r="R575" s="60"/>
    </row>
    <row r="576" spans="1:18" ht="15" x14ac:dyDescent="0.3">
      <c r="A576" s="129"/>
      <c r="B576" s="60"/>
      <c r="C576" s="55"/>
      <c r="D576" s="60"/>
      <c r="E576" s="103">
        <f>_xlfn.XLOOKUP(enrollment_table[[#This Row],[*Subject]], classes_table[*Subject], classes_table[Fee])</f>
        <v>0</v>
      </c>
      <c r="F576" s="58"/>
      <c r="G576" s="60"/>
      <c r="H576" s="55"/>
      <c r="I576" s="176">
        <f>_xlfn.XLOOKUP(enrollment_table[[#This Row],[*Teacher Name]], teachers_table[*Teacher Name], teachers_table[*Teacher ID])</f>
        <v>0</v>
      </c>
      <c r="J576" s="60"/>
      <c r="K576" s="60"/>
      <c r="L576" s="55"/>
      <c r="M576" s="60"/>
      <c r="N576" s="60"/>
      <c r="O576" s="55"/>
      <c r="P576" s="161"/>
      <c r="Q576" s="160" t="str">
        <f>IF(enrollment_table[[#This Row],[Enrollment Date]]="","",TEXT(enrollment_table[[#This Row],[Enrollment Date]],"mmmm"))</f>
        <v/>
      </c>
      <c r="R576" s="60"/>
    </row>
    <row r="577" spans="1:18" ht="15" x14ac:dyDescent="0.3">
      <c r="A577" s="129"/>
      <c r="B577" s="60"/>
      <c r="C577" s="55"/>
      <c r="D577" s="60"/>
      <c r="E577" s="103">
        <f>_xlfn.XLOOKUP(enrollment_table[[#This Row],[*Subject]], classes_table[*Subject], classes_table[Fee])</f>
        <v>0</v>
      </c>
      <c r="F577" s="58"/>
      <c r="G577" s="60"/>
      <c r="H577" s="55"/>
      <c r="I577" s="176">
        <f>_xlfn.XLOOKUP(enrollment_table[[#This Row],[*Teacher Name]], teachers_table[*Teacher Name], teachers_table[*Teacher ID])</f>
        <v>0</v>
      </c>
      <c r="J577" s="60"/>
      <c r="K577" s="60"/>
      <c r="L577" s="55"/>
      <c r="M577" s="60"/>
      <c r="N577" s="60"/>
      <c r="O577" s="55"/>
      <c r="P577" s="161"/>
      <c r="Q577" s="160" t="str">
        <f>IF(enrollment_table[[#This Row],[Enrollment Date]]="","",TEXT(enrollment_table[[#This Row],[Enrollment Date]],"mmmm"))</f>
        <v/>
      </c>
      <c r="R577" s="60"/>
    </row>
    <row r="578" spans="1:18" ht="15" x14ac:dyDescent="0.3">
      <c r="A578" s="129"/>
      <c r="B578" s="60"/>
      <c r="C578" s="55"/>
      <c r="D578" s="60"/>
      <c r="E578" s="103">
        <f>_xlfn.XLOOKUP(enrollment_table[[#This Row],[*Subject]], classes_table[*Subject], classes_table[Fee])</f>
        <v>0</v>
      </c>
      <c r="F578" s="58"/>
      <c r="G578" s="60"/>
      <c r="H578" s="55"/>
      <c r="I578" s="176">
        <f>_xlfn.XLOOKUP(enrollment_table[[#This Row],[*Teacher Name]], teachers_table[*Teacher Name], teachers_table[*Teacher ID])</f>
        <v>0</v>
      </c>
      <c r="J578" s="60"/>
      <c r="K578" s="60"/>
      <c r="L578" s="55"/>
      <c r="M578" s="60"/>
      <c r="N578" s="60"/>
      <c r="O578" s="55"/>
      <c r="P578" s="161"/>
      <c r="Q578" s="160" t="str">
        <f>IF(enrollment_table[[#This Row],[Enrollment Date]]="","",TEXT(enrollment_table[[#This Row],[Enrollment Date]],"mmmm"))</f>
        <v/>
      </c>
      <c r="R578" s="60"/>
    </row>
    <row r="579" spans="1:18" ht="15" x14ac:dyDescent="0.3">
      <c r="A579" s="129"/>
      <c r="B579" s="60"/>
      <c r="C579" s="55"/>
      <c r="D579" s="60"/>
      <c r="E579" s="103">
        <f>_xlfn.XLOOKUP(enrollment_table[[#This Row],[*Subject]], classes_table[*Subject], classes_table[Fee])</f>
        <v>0</v>
      </c>
      <c r="F579" s="58"/>
      <c r="G579" s="60"/>
      <c r="H579" s="55"/>
      <c r="I579" s="176">
        <f>_xlfn.XLOOKUP(enrollment_table[[#This Row],[*Teacher Name]], teachers_table[*Teacher Name], teachers_table[*Teacher ID])</f>
        <v>0</v>
      </c>
      <c r="J579" s="60"/>
      <c r="K579" s="60"/>
      <c r="L579" s="55"/>
      <c r="M579" s="60"/>
      <c r="N579" s="60"/>
      <c r="O579" s="55"/>
      <c r="P579" s="161"/>
      <c r="Q579" s="160" t="str">
        <f>IF(enrollment_table[[#This Row],[Enrollment Date]]="","",TEXT(enrollment_table[[#This Row],[Enrollment Date]],"mmmm"))</f>
        <v/>
      </c>
      <c r="R579" s="60"/>
    </row>
    <row r="580" spans="1:18" ht="15" x14ac:dyDescent="0.3">
      <c r="A580" s="129"/>
      <c r="B580" s="60"/>
      <c r="C580" s="55"/>
      <c r="D580" s="60"/>
      <c r="E580" s="103">
        <f>_xlfn.XLOOKUP(enrollment_table[[#This Row],[*Subject]], classes_table[*Subject], classes_table[Fee])</f>
        <v>0</v>
      </c>
      <c r="F580" s="58"/>
      <c r="G580" s="60"/>
      <c r="H580" s="55"/>
      <c r="I580" s="176">
        <f>_xlfn.XLOOKUP(enrollment_table[[#This Row],[*Teacher Name]], teachers_table[*Teacher Name], teachers_table[*Teacher ID])</f>
        <v>0</v>
      </c>
      <c r="J580" s="60"/>
      <c r="K580" s="60"/>
      <c r="L580" s="55"/>
      <c r="M580" s="60"/>
      <c r="N580" s="60"/>
      <c r="O580" s="55"/>
      <c r="P580" s="161"/>
      <c r="Q580" s="160" t="str">
        <f>IF(enrollment_table[[#This Row],[Enrollment Date]]="","",TEXT(enrollment_table[[#This Row],[Enrollment Date]],"mmmm"))</f>
        <v/>
      </c>
      <c r="R580" s="60"/>
    </row>
    <row r="581" spans="1:18" ht="15" x14ac:dyDescent="0.3">
      <c r="A581" s="129"/>
      <c r="B581" s="60"/>
      <c r="C581" s="55"/>
      <c r="D581" s="60"/>
      <c r="E581" s="103">
        <f>_xlfn.XLOOKUP(enrollment_table[[#This Row],[*Subject]], classes_table[*Subject], classes_table[Fee])</f>
        <v>0</v>
      </c>
      <c r="F581" s="58"/>
      <c r="G581" s="60"/>
      <c r="H581" s="55"/>
      <c r="I581" s="176">
        <f>_xlfn.XLOOKUP(enrollment_table[[#This Row],[*Teacher Name]], teachers_table[*Teacher Name], teachers_table[*Teacher ID])</f>
        <v>0</v>
      </c>
      <c r="J581" s="60"/>
      <c r="K581" s="60"/>
      <c r="L581" s="55"/>
      <c r="M581" s="60"/>
      <c r="N581" s="60"/>
      <c r="O581" s="55"/>
      <c r="P581" s="161"/>
      <c r="Q581" s="160" t="str">
        <f>IF(enrollment_table[[#This Row],[Enrollment Date]]="","",TEXT(enrollment_table[[#This Row],[Enrollment Date]],"mmmm"))</f>
        <v/>
      </c>
      <c r="R581" s="60"/>
    </row>
    <row r="582" spans="1:18" ht="15" x14ac:dyDescent="0.3">
      <c r="A582" s="129"/>
      <c r="B582" s="60"/>
      <c r="C582" s="55"/>
      <c r="D582" s="60"/>
      <c r="E582" s="103">
        <f>_xlfn.XLOOKUP(enrollment_table[[#This Row],[*Subject]], classes_table[*Subject], classes_table[Fee])</f>
        <v>0</v>
      </c>
      <c r="F582" s="58"/>
      <c r="G582" s="60"/>
      <c r="H582" s="55"/>
      <c r="I582" s="176">
        <f>_xlfn.XLOOKUP(enrollment_table[[#This Row],[*Teacher Name]], teachers_table[*Teacher Name], teachers_table[*Teacher ID])</f>
        <v>0</v>
      </c>
      <c r="J582" s="60"/>
      <c r="K582" s="60"/>
      <c r="L582" s="55"/>
      <c r="M582" s="60"/>
      <c r="N582" s="60"/>
      <c r="O582" s="55"/>
      <c r="P582" s="161"/>
      <c r="Q582" s="160" t="str">
        <f>IF(enrollment_table[[#This Row],[Enrollment Date]]="","",TEXT(enrollment_table[[#This Row],[Enrollment Date]],"mmmm"))</f>
        <v/>
      </c>
      <c r="R582" s="60"/>
    </row>
    <row r="583" spans="1:18" ht="15" x14ac:dyDescent="0.3">
      <c r="A583" s="129"/>
      <c r="B583" s="60"/>
      <c r="C583" s="55"/>
      <c r="D583" s="60"/>
      <c r="E583" s="103">
        <f>_xlfn.XLOOKUP(enrollment_table[[#This Row],[*Subject]], classes_table[*Subject], classes_table[Fee])</f>
        <v>0</v>
      </c>
      <c r="F583" s="58"/>
      <c r="G583" s="60"/>
      <c r="H583" s="55"/>
      <c r="I583" s="176">
        <f>_xlfn.XLOOKUP(enrollment_table[[#This Row],[*Teacher Name]], teachers_table[*Teacher Name], teachers_table[*Teacher ID])</f>
        <v>0</v>
      </c>
      <c r="J583" s="60"/>
      <c r="K583" s="60"/>
      <c r="L583" s="55"/>
      <c r="M583" s="60"/>
      <c r="N583" s="60"/>
      <c r="O583" s="55"/>
      <c r="P583" s="161"/>
      <c r="Q583" s="160" t="str">
        <f>IF(enrollment_table[[#This Row],[Enrollment Date]]="","",TEXT(enrollment_table[[#This Row],[Enrollment Date]],"mmmm"))</f>
        <v/>
      </c>
      <c r="R583" s="60"/>
    </row>
    <row r="584" spans="1:18" ht="15" x14ac:dyDescent="0.3">
      <c r="A584" s="129"/>
      <c r="B584" s="60"/>
      <c r="C584" s="55"/>
      <c r="D584" s="60"/>
      <c r="E584" s="103">
        <f>_xlfn.XLOOKUP(enrollment_table[[#This Row],[*Subject]], classes_table[*Subject], classes_table[Fee])</f>
        <v>0</v>
      </c>
      <c r="F584" s="58"/>
      <c r="G584" s="60"/>
      <c r="H584" s="55"/>
      <c r="I584" s="176">
        <f>_xlfn.XLOOKUP(enrollment_table[[#This Row],[*Teacher Name]], teachers_table[*Teacher Name], teachers_table[*Teacher ID])</f>
        <v>0</v>
      </c>
      <c r="J584" s="60"/>
      <c r="K584" s="60"/>
      <c r="L584" s="55"/>
      <c r="M584" s="60"/>
      <c r="N584" s="60"/>
      <c r="O584" s="55"/>
      <c r="P584" s="161"/>
      <c r="Q584" s="160" t="str">
        <f>IF(enrollment_table[[#This Row],[Enrollment Date]]="","",TEXT(enrollment_table[[#This Row],[Enrollment Date]],"mmmm"))</f>
        <v/>
      </c>
      <c r="R584" s="60"/>
    </row>
    <row r="585" spans="1:18" ht="15" x14ac:dyDescent="0.3">
      <c r="A585" s="129"/>
      <c r="B585" s="60"/>
      <c r="C585" s="55"/>
      <c r="D585" s="60"/>
      <c r="E585" s="103">
        <f>_xlfn.XLOOKUP(enrollment_table[[#This Row],[*Subject]], classes_table[*Subject], classes_table[Fee])</f>
        <v>0</v>
      </c>
      <c r="F585" s="58"/>
      <c r="G585" s="60"/>
      <c r="H585" s="55"/>
      <c r="I585" s="176">
        <f>_xlfn.XLOOKUP(enrollment_table[[#This Row],[*Teacher Name]], teachers_table[*Teacher Name], teachers_table[*Teacher ID])</f>
        <v>0</v>
      </c>
      <c r="J585" s="60"/>
      <c r="K585" s="60"/>
      <c r="L585" s="55"/>
      <c r="M585" s="60"/>
      <c r="N585" s="60"/>
      <c r="O585" s="55"/>
      <c r="P585" s="161"/>
      <c r="Q585" s="160" t="str">
        <f>IF(enrollment_table[[#This Row],[Enrollment Date]]="","",TEXT(enrollment_table[[#This Row],[Enrollment Date]],"mmmm"))</f>
        <v/>
      </c>
      <c r="R585" s="60"/>
    </row>
    <row r="586" spans="1:18" ht="15" x14ac:dyDescent="0.3">
      <c r="A586" s="129"/>
      <c r="B586" s="60"/>
      <c r="C586" s="55"/>
      <c r="D586" s="60"/>
      <c r="E586" s="103">
        <f>_xlfn.XLOOKUP(enrollment_table[[#This Row],[*Subject]], classes_table[*Subject], classes_table[Fee])</f>
        <v>0</v>
      </c>
      <c r="F586" s="58"/>
      <c r="G586" s="60"/>
      <c r="H586" s="55"/>
      <c r="I586" s="176">
        <f>_xlfn.XLOOKUP(enrollment_table[[#This Row],[*Teacher Name]], teachers_table[*Teacher Name], teachers_table[*Teacher ID])</f>
        <v>0</v>
      </c>
      <c r="J586" s="60"/>
      <c r="K586" s="60"/>
      <c r="L586" s="55"/>
      <c r="M586" s="60"/>
      <c r="N586" s="60"/>
      <c r="O586" s="55"/>
      <c r="P586" s="161"/>
      <c r="Q586" s="160" t="str">
        <f>IF(enrollment_table[[#This Row],[Enrollment Date]]="","",TEXT(enrollment_table[[#This Row],[Enrollment Date]],"mmmm"))</f>
        <v/>
      </c>
      <c r="R586" s="60"/>
    </row>
    <row r="587" spans="1:18" ht="15" x14ac:dyDescent="0.3">
      <c r="A587" s="129"/>
      <c r="B587" s="60"/>
      <c r="C587" s="55"/>
      <c r="D587" s="60"/>
      <c r="E587" s="103">
        <f>_xlfn.XLOOKUP(enrollment_table[[#This Row],[*Subject]], classes_table[*Subject], classes_table[Fee])</f>
        <v>0</v>
      </c>
      <c r="F587" s="58"/>
      <c r="G587" s="60"/>
      <c r="H587" s="55"/>
      <c r="I587" s="176">
        <f>_xlfn.XLOOKUP(enrollment_table[[#This Row],[*Teacher Name]], teachers_table[*Teacher Name], teachers_table[*Teacher ID])</f>
        <v>0</v>
      </c>
      <c r="J587" s="60"/>
      <c r="K587" s="60"/>
      <c r="L587" s="55"/>
      <c r="M587" s="60"/>
      <c r="N587" s="60"/>
      <c r="O587" s="55"/>
      <c r="P587" s="161"/>
      <c r="Q587" s="160" t="str">
        <f>IF(enrollment_table[[#This Row],[Enrollment Date]]="","",TEXT(enrollment_table[[#This Row],[Enrollment Date]],"mmmm"))</f>
        <v/>
      </c>
      <c r="R587" s="60"/>
    </row>
    <row r="588" spans="1:18" ht="15" x14ac:dyDescent="0.3">
      <c r="A588" s="129"/>
      <c r="B588" s="60"/>
      <c r="C588" s="55"/>
      <c r="D588" s="60"/>
      <c r="E588" s="103">
        <f>_xlfn.XLOOKUP(enrollment_table[[#This Row],[*Subject]], classes_table[*Subject], classes_table[Fee])</f>
        <v>0</v>
      </c>
      <c r="F588" s="58"/>
      <c r="G588" s="60"/>
      <c r="H588" s="55"/>
      <c r="I588" s="176">
        <f>_xlfn.XLOOKUP(enrollment_table[[#This Row],[*Teacher Name]], teachers_table[*Teacher Name], teachers_table[*Teacher ID])</f>
        <v>0</v>
      </c>
      <c r="J588" s="60"/>
      <c r="K588" s="60"/>
      <c r="L588" s="55"/>
      <c r="M588" s="60"/>
      <c r="N588" s="60"/>
      <c r="O588" s="55"/>
      <c r="P588" s="161"/>
      <c r="Q588" s="160" t="str">
        <f>IF(enrollment_table[[#This Row],[Enrollment Date]]="","",TEXT(enrollment_table[[#This Row],[Enrollment Date]],"mmmm"))</f>
        <v/>
      </c>
      <c r="R588" s="60"/>
    </row>
    <row r="589" spans="1:18" ht="15" x14ac:dyDescent="0.3">
      <c r="A589" s="129"/>
      <c r="B589" s="60"/>
      <c r="C589" s="55"/>
      <c r="D589" s="60"/>
      <c r="E589" s="103">
        <f>_xlfn.XLOOKUP(enrollment_table[[#This Row],[*Subject]], classes_table[*Subject], classes_table[Fee])</f>
        <v>0</v>
      </c>
      <c r="F589" s="58"/>
      <c r="G589" s="60"/>
      <c r="H589" s="55"/>
      <c r="I589" s="176">
        <f>_xlfn.XLOOKUP(enrollment_table[[#This Row],[*Teacher Name]], teachers_table[*Teacher Name], teachers_table[*Teacher ID])</f>
        <v>0</v>
      </c>
      <c r="J589" s="60"/>
      <c r="K589" s="60"/>
      <c r="L589" s="55"/>
      <c r="M589" s="60"/>
      <c r="N589" s="60"/>
      <c r="O589" s="55"/>
      <c r="P589" s="161"/>
      <c r="Q589" s="160" t="str">
        <f>IF(enrollment_table[[#This Row],[Enrollment Date]]="","",TEXT(enrollment_table[[#This Row],[Enrollment Date]],"mmmm"))</f>
        <v/>
      </c>
      <c r="R589" s="60"/>
    </row>
    <row r="590" spans="1:18" ht="15" x14ac:dyDescent="0.3">
      <c r="A590" s="129"/>
      <c r="B590" s="60"/>
      <c r="C590" s="55"/>
      <c r="D590" s="60"/>
      <c r="E590" s="103">
        <f>_xlfn.XLOOKUP(enrollment_table[[#This Row],[*Subject]], classes_table[*Subject], classes_table[Fee])</f>
        <v>0</v>
      </c>
      <c r="F590" s="58"/>
      <c r="G590" s="60"/>
      <c r="H590" s="55"/>
      <c r="I590" s="176">
        <f>_xlfn.XLOOKUP(enrollment_table[[#This Row],[*Teacher Name]], teachers_table[*Teacher Name], teachers_table[*Teacher ID])</f>
        <v>0</v>
      </c>
      <c r="J590" s="60"/>
      <c r="K590" s="60"/>
      <c r="L590" s="55"/>
      <c r="M590" s="60"/>
      <c r="N590" s="60"/>
      <c r="O590" s="55"/>
      <c r="P590" s="161"/>
      <c r="Q590" s="160" t="str">
        <f>IF(enrollment_table[[#This Row],[Enrollment Date]]="","",TEXT(enrollment_table[[#This Row],[Enrollment Date]],"mmmm"))</f>
        <v/>
      </c>
      <c r="R590" s="60"/>
    </row>
    <row r="591" spans="1:18" ht="15" x14ac:dyDescent="0.3">
      <c r="A591" s="129"/>
      <c r="B591" s="60"/>
      <c r="C591" s="55"/>
      <c r="D591" s="60"/>
      <c r="E591" s="103">
        <f>_xlfn.XLOOKUP(enrollment_table[[#This Row],[*Subject]], classes_table[*Subject], classes_table[Fee])</f>
        <v>0</v>
      </c>
      <c r="F591" s="58"/>
      <c r="G591" s="60"/>
      <c r="H591" s="55"/>
      <c r="I591" s="176">
        <f>_xlfn.XLOOKUP(enrollment_table[[#This Row],[*Teacher Name]], teachers_table[*Teacher Name], teachers_table[*Teacher ID])</f>
        <v>0</v>
      </c>
      <c r="J591" s="60"/>
      <c r="K591" s="60"/>
      <c r="L591" s="55"/>
      <c r="M591" s="60"/>
      <c r="N591" s="60"/>
      <c r="O591" s="55"/>
      <c r="P591" s="161"/>
      <c r="Q591" s="160" t="str">
        <f>IF(enrollment_table[[#This Row],[Enrollment Date]]="","",TEXT(enrollment_table[[#This Row],[Enrollment Date]],"mmmm"))</f>
        <v/>
      </c>
      <c r="R591" s="60"/>
    </row>
    <row r="592" spans="1:18" ht="15" x14ac:dyDescent="0.3">
      <c r="A592" s="129"/>
      <c r="B592" s="60"/>
      <c r="C592" s="55"/>
      <c r="D592" s="60"/>
      <c r="E592" s="103">
        <f>_xlfn.XLOOKUP(enrollment_table[[#This Row],[*Subject]], classes_table[*Subject], classes_table[Fee])</f>
        <v>0</v>
      </c>
      <c r="F592" s="58"/>
      <c r="G592" s="60"/>
      <c r="H592" s="55"/>
      <c r="I592" s="176">
        <f>_xlfn.XLOOKUP(enrollment_table[[#This Row],[*Teacher Name]], teachers_table[*Teacher Name], teachers_table[*Teacher ID])</f>
        <v>0</v>
      </c>
      <c r="J592" s="60"/>
      <c r="K592" s="60"/>
      <c r="L592" s="55"/>
      <c r="M592" s="60"/>
      <c r="N592" s="60"/>
      <c r="O592" s="55"/>
      <c r="P592" s="161"/>
      <c r="Q592" s="160" t="str">
        <f>IF(enrollment_table[[#This Row],[Enrollment Date]]="","",TEXT(enrollment_table[[#This Row],[Enrollment Date]],"mmmm"))</f>
        <v/>
      </c>
      <c r="R592" s="60"/>
    </row>
    <row r="593" spans="1:18" ht="15" x14ac:dyDescent="0.3">
      <c r="A593" s="129"/>
      <c r="B593" s="60"/>
      <c r="C593" s="55"/>
      <c r="D593" s="60"/>
      <c r="E593" s="103">
        <f>_xlfn.XLOOKUP(enrollment_table[[#This Row],[*Subject]], classes_table[*Subject], classes_table[Fee])</f>
        <v>0</v>
      </c>
      <c r="F593" s="58"/>
      <c r="G593" s="60"/>
      <c r="H593" s="55"/>
      <c r="I593" s="176">
        <f>_xlfn.XLOOKUP(enrollment_table[[#This Row],[*Teacher Name]], teachers_table[*Teacher Name], teachers_table[*Teacher ID])</f>
        <v>0</v>
      </c>
      <c r="J593" s="60"/>
      <c r="K593" s="60"/>
      <c r="L593" s="55"/>
      <c r="M593" s="60"/>
      <c r="N593" s="60"/>
      <c r="O593" s="55"/>
      <c r="P593" s="161"/>
      <c r="Q593" s="160" t="str">
        <f>IF(enrollment_table[[#This Row],[Enrollment Date]]="","",TEXT(enrollment_table[[#This Row],[Enrollment Date]],"mmmm"))</f>
        <v/>
      </c>
      <c r="R593" s="60"/>
    </row>
    <row r="594" spans="1:18" ht="15" x14ac:dyDescent="0.3">
      <c r="A594" s="129"/>
      <c r="B594" s="60"/>
      <c r="C594" s="55"/>
      <c r="D594" s="60"/>
      <c r="E594" s="103">
        <f>_xlfn.XLOOKUP(enrollment_table[[#This Row],[*Subject]], classes_table[*Subject], classes_table[Fee])</f>
        <v>0</v>
      </c>
      <c r="F594" s="58"/>
      <c r="G594" s="60"/>
      <c r="H594" s="55"/>
      <c r="I594" s="176">
        <f>_xlfn.XLOOKUP(enrollment_table[[#This Row],[*Teacher Name]], teachers_table[*Teacher Name], teachers_table[*Teacher ID])</f>
        <v>0</v>
      </c>
      <c r="J594" s="60"/>
      <c r="K594" s="60"/>
      <c r="L594" s="55"/>
      <c r="M594" s="60"/>
      <c r="N594" s="60"/>
      <c r="O594" s="55"/>
      <c r="P594" s="161"/>
      <c r="Q594" s="160" t="str">
        <f>IF(enrollment_table[[#This Row],[Enrollment Date]]="","",TEXT(enrollment_table[[#This Row],[Enrollment Date]],"mmmm"))</f>
        <v/>
      </c>
      <c r="R594" s="60"/>
    </row>
    <row r="595" spans="1:18" ht="15" x14ac:dyDescent="0.3">
      <c r="A595" s="129"/>
      <c r="B595" s="60"/>
      <c r="C595" s="55"/>
      <c r="D595" s="60"/>
      <c r="E595" s="103">
        <f>_xlfn.XLOOKUP(enrollment_table[[#This Row],[*Subject]], classes_table[*Subject], classes_table[Fee])</f>
        <v>0</v>
      </c>
      <c r="F595" s="58"/>
      <c r="G595" s="60"/>
      <c r="H595" s="55"/>
      <c r="I595" s="176">
        <f>_xlfn.XLOOKUP(enrollment_table[[#This Row],[*Teacher Name]], teachers_table[*Teacher Name], teachers_table[*Teacher ID])</f>
        <v>0</v>
      </c>
      <c r="J595" s="60"/>
      <c r="K595" s="60"/>
      <c r="L595" s="55"/>
      <c r="M595" s="60"/>
      <c r="N595" s="60"/>
      <c r="O595" s="55"/>
      <c r="P595" s="161"/>
      <c r="Q595" s="160" t="str">
        <f>IF(enrollment_table[[#This Row],[Enrollment Date]]="","",TEXT(enrollment_table[[#This Row],[Enrollment Date]],"mmmm"))</f>
        <v/>
      </c>
      <c r="R595" s="60"/>
    </row>
    <row r="596" spans="1:18" ht="15" x14ac:dyDescent="0.3">
      <c r="A596" s="129"/>
      <c r="B596" s="60"/>
      <c r="C596" s="55"/>
      <c r="D596" s="60"/>
      <c r="E596" s="103">
        <f>_xlfn.XLOOKUP(enrollment_table[[#This Row],[*Subject]], classes_table[*Subject], classes_table[Fee])</f>
        <v>0</v>
      </c>
      <c r="F596" s="58"/>
      <c r="G596" s="60"/>
      <c r="H596" s="55"/>
      <c r="I596" s="176">
        <f>_xlfn.XLOOKUP(enrollment_table[[#This Row],[*Teacher Name]], teachers_table[*Teacher Name], teachers_table[*Teacher ID])</f>
        <v>0</v>
      </c>
      <c r="J596" s="60"/>
      <c r="K596" s="60"/>
      <c r="L596" s="55"/>
      <c r="M596" s="60"/>
      <c r="N596" s="60"/>
      <c r="O596" s="55"/>
      <c r="P596" s="161"/>
      <c r="Q596" s="160" t="str">
        <f>IF(enrollment_table[[#This Row],[Enrollment Date]]="","",TEXT(enrollment_table[[#This Row],[Enrollment Date]],"mmmm"))</f>
        <v/>
      </c>
      <c r="R596" s="60"/>
    </row>
    <row r="597" spans="1:18" ht="15" x14ac:dyDescent="0.3">
      <c r="A597" s="129"/>
      <c r="B597" s="60"/>
      <c r="C597" s="55"/>
      <c r="D597" s="60"/>
      <c r="E597" s="103">
        <f>_xlfn.XLOOKUP(enrollment_table[[#This Row],[*Subject]], classes_table[*Subject], classes_table[Fee])</f>
        <v>0</v>
      </c>
      <c r="F597" s="58"/>
      <c r="G597" s="60"/>
      <c r="H597" s="55"/>
      <c r="I597" s="176">
        <f>_xlfn.XLOOKUP(enrollment_table[[#This Row],[*Teacher Name]], teachers_table[*Teacher Name], teachers_table[*Teacher ID])</f>
        <v>0</v>
      </c>
      <c r="J597" s="60"/>
      <c r="K597" s="60"/>
      <c r="L597" s="55"/>
      <c r="M597" s="60"/>
      <c r="N597" s="60"/>
      <c r="O597" s="55"/>
      <c r="P597" s="161"/>
      <c r="Q597" s="160" t="str">
        <f>IF(enrollment_table[[#This Row],[Enrollment Date]]="","",TEXT(enrollment_table[[#This Row],[Enrollment Date]],"mmmm"))</f>
        <v/>
      </c>
      <c r="R597" s="60"/>
    </row>
    <row r="598" spans="1:18" ht="15" x14ac:dyDescent="0.3">
      <c r="A598" s="129"/>
      <c r="B598" s="60"/>
      <c r="C598" s="55"/>
      <c r="D598" s="60"/>
      <c r="E598" s="103">
        <f>_xlfn.XLOOKUP(enrollment_table[[#This Row],[*Subject]], classes_table[*Subject], classes_table[Fee])</f>
        <v>0</v>
      </c>
      <c r="F598" s="58"/>
      <c r="G598" s="60"/>
      <c r="H598" s="55"/>
      <c r="I598" s="176">
        <f>_xlfn.XLOOKUP(enrollment_table[[#This Row],[*Teacher Name]], teachers_table[*Teacher Name], teachers_table[*Teacher ID])</f>
        <v>0</v>
      </c>
      <c r="J598" s="60"/>
      <c r="K598" s="60"/>
      <c r="L598" s="55"/>
      <c r="M598" s="60"/>
      <c r="N598" s="60"/>
      <c r="O598" s="55"/>
      <c r="P598" s="161"/>
      <c r="Q598" s="160" t="str">
        <f>IF(enrollment_table[[#This Row],[Enrollment Date]]="","",TEXT(enrollment_table[[#This Row],[Enrollment Date]],"mmmm"))</f>
        <v/>
      </c>
      <c r="R598" s="60"/>
    </row>
    <row r="599" spans="1:18" ht="15" x14ac:dyDescent="0.3">
      <c r="A599" s="129"/>
      <c r="B599" s="60"/>
      <c r="C599" s="55"/>
      <c r="D599" s="60"/>
      <c r="E599" s="103">
        <f>_xlfn.XLOOKUP(enrollment_table[[#This Row],[*Subject]], classes_table[*Subject], classes_table[Fee])</f>
        <v>0</v>
      </c>
      <c r="F599" s="58"/>
      <c r="G599" s="60"/>
      <c r="H599" s="55"/>
      <c r="I599" s="176">
        <f>_xlfn.XLOOKUP(enrollment_table[[#This Row],[*Teacher Name]], teachers_table[*Teacher Name], teachers_table[*Teacher ID])</f>
        <v>0</v>
      </c>
      <c r="J599" s="60"/>
      <c r="K599" s="60"/>
      <c r="L599" s="55"/>
      <c r="M599" s="60"/>
      <c r="N599" s="60"/>
      <c r="O599" s="55"/>
      <c r="P599" s="161"/>
      <c r="Q599" s="160" t="str">
        <f>IF(enrollment_table[[#This Row],[Enrollment Date]]="","",TEXT(enrollment_table[[#This Row],[Enrollment Date]],"mmmm"))</f>
        <v/>
      </c>
      <c r="R599" s="60"/>
    </row>
    <row r="600" spans="1:18" ht="15" x14ac:dyDescent="0.3">
      <c r="A600" s="129"/>
      <c r="B600" s="60"/>
      <c r="C600" s="55"/>
      <c r="D600" s="60"/>
      <c r="E600" s="103">
        <f>_xlfn.XLOOKUP(enrollment_table[[#This Row],[*Subject]], classes_table[*Subject], classes_table[Fee])</f>
        <v>0</v>
      </c>
      <c r="F600" s="58"/>
      <c r="G600" s="60"/>
      <c r="H600" s="55"/>
      <c r="I600" s="176">
        <f>_xlfn.XLOOKUP(enrollment_table[[#This Row],[*Teacher Name]], teachers_table[*Teacher Name], teachers_table[*Teacher ID])</f>
        <v>0</v>
      </c>
      <c r="J600" s="60"/>
      <c r="K600" s="60"/>
      <c r="L600" s="55"/>
      <c r="M600" s="60"/>
      <c r="N600" s="60"/>
      <c r="O600" s="55"/>
      <c r="P600" s="161"/>
      <c r="Q600" s="160" t="str">
        <f>IF(enrollment_table[[#This Row],[Enrollment Date]]="","",TEXT(enrollment_table[[#This Row],[Enrollment Date]],"mmmm"))</f>
        <v/>
      </c>
      <c r="R600" s="60"/>
    </row>
    <row r="601" spans="1:18" ht="15" x14ac:dyDescent="0.3">
      <c r="A601" s="129"/>
      <c r="B601" s="60"/>
      <c r="C601" s="55"/>
      <c r="D601" s="60"/>
      <c r="E601" s="103">
        <f>_xlfn.XLOOKUP(enrollment_table[[#This Row],[*Subject]], classes_table[*Subject], classes_table[Fee])</f>
        <v>0</v>
      </c>
      <c r="F601" s="58"/>
      <c r="G601" s="60"/>
      <c r="H601" s="55"/>
      <c r="I601" s="176">
        <f>_xlfn.XLOOKUP(enrollment_table[[#This Row],[*Teacher Name]], teachers_table[*Teacher Name], teachers_table[*Teacher ID])</f>
        <v>0</v>
      </c>
      <c r="J601" s="60"/>
      <c r="K601" s="60"/>
      <c r="L601" s="55"/>
      <c r="M601" s="60"/>
      <c r="N601" s="60"/>
      <c r="O601" s="55"/>
      <c r="P601" s="161"/>
      <c r="Q601" s="160" t="str">
        <f>IF(enrollment_table[[#This Row],[Enrollment Date]]="","",TEXT(enrollment_table[[#This Row],[Enrollment Date]],"mmmm"))</f>
        <v/>
      </c>
      <c r="R601" s="60"/>
    </row>
    <row r="602" spans="1:18" ht="15" x14ac:dyDescent="0.3">
      <c r="A602" s="129"/>
      <c r="B602" s="60"/>
      <c r="C602" s="55"/>
      <c r="D602" s="60"/>
      <c r="E602" s="103">
        <f>_xlfn.XLOOKUP(enrollment_table[[#This Row],[*Subject]], classes_table[*Subject], classes_table[Fee])</f>
        <v>0</v>
      </c>
      <c r="F602" s="58"/>
      <c r="G602" s="60"/>
      <c r="H602" s="55"/>
      <c r="I602" s="176">
        <f>_xlfn.XLOOKUP(enrollment_table[[#This Row],[*Teacher Name]], teachers_table[*Teacher Name], teachers_table[*Teacher ID])</f>
        <v>0</v>
      </c>
      <c r="J602" s="60"/>
      <c r="K602" s="60"/>
      <c r="L602" s="55"/>
      <c r="M602" s="60"/>
      <c r="N602" s="60"/>
      <c r="O602" s="55"/>
      <c r="P602" s="161"/>
      <c r="Q602" s="160" t="str">
        <f>IF(enrollment_table[[#This Row],[Enrollment Date]]="","",TEXT(enrollment_table[[#This Row],[Enrollment Date]],"mmmm"))</f>
        <v/>
      </c>
      <c r="R602" s="60"/>
    </row>
    <row r="603" spans="1:18" ht="15" x14ac:dyDescent="0.3">
      <c r="A603" s="129"/>
      <c r="B603" s="60"/>
      <c r="C603" s="55"/>
      <c r="D603" s="60"/>
      <c r="E603" s="103">
        <f>_xlfn.XLOOKUP(enrollment_table[[#This Row],[*Subject]], classes_table[*Subject], classes_table[Fee])</f>
        <v>0</v>
      </c>
      <c r="F603" s="58"/>
      <c r="G603" s="60"/>
      <c r="H603" s="55"/>
      <c r="I603" s="176">
        <f>_xlfn.XLOOKUP(enrollment_table[[#This Row],[*Teacher Name]], teachers_table[*Teacher Name], teachers_table[*Teacher ID])</f>
        <v>0</v>
      </c>
      <c r="J603" s="60"/>
      <c r="K603" s="60"/>
      <c r="L603" s="55"/>
      <c r="M603" s="60"/>
      <c r="N603" s="60"/>
      <c r="O603" s="55"/>
      <c r="P603" s="161"/>
      <c r="Q603" s="160" t="str">
        <f>IF(enrollment_table[[#This Row],[Enrollment Date]]="","",TEXT(enrollment_table[[#This Row],[Enrollment Date]],"mmmm"))</f>
        <v/>
      </c>
      <c r="R603" s="60"/>
    </row>
    <row r="604" spans="1:18" ht="15" x14ac:dyDescent="0.3">
      <c r="A604" s="129"/>
      <c r="B604" s="60"/>
      <c r="C604" s="55"/>
      <c r="D604" s="60"/>
      <c r="E604" s="103">
        <f>_xlfn.XLOOKUP(enrollment_table[[#This Row],[*Subject]], classes_table[*Subject], classes_table[Fee])</f>
        <v>0</v>
      </c>
      <c r="F604" s="58"/>
      <c r="G604" s="60"/>
      <c r="H604" s="55"/>
      <c r="I604" s="176">
        <f>_xlfn.XLOOKUP(enrollment_table[[#This Row],[*Teacher Name]], teachers_table[*Teacher Name], teachers_table[*Teacher ID])</f>
        <v>0</v>
      </c>
      <c r="J604" s="60"/>
      <c r="K604" s="60"/>
      <c r="L604" s="55"/>
      <c r="M604" s="60"/>
      <c r="N604" s="60"/>
      <c r="O604" s="55"/>
      <c r="P604" s="161"/>
      <c r="Q604" s="160" t="str">
        <f>IF(enrollment_table[[#This Row],[Enrollment Date]]="","",TEXT(enrollment_table[[#This Row],[Enrollment Date]],"mmmm"))</f>
        <v/>
      </c>
      <c r="R604" s="60"/>
    </row>
    <row r="605" spans="1:18" ht="15" x14ac:dyDescent="0.3">
      <c r="A605" s="129"/>
      <c r="B605" s="60"/>
      <c r="C605" s="55"/>
      <c r="D605" s="60"/>
      <c r="E605" s="103">
        <f>_xlfn.XLOOKUP(enrollment_table[[#This Row],[*Subject]], classes_table[*Subject], classes_table[Fee])</f>
        <v>0</v>
      </c>
      <c r="F605" s="58"/>
      <c r="G605" s="60"/>
      <c r="H605" s="55"/>
      <c r="I605" s="176">
        <f>_xlfn.XLOOKUP(enrollment_table[[#This Row],[*Teacher Name]], teachers_table[*Teacher Name], teachers_table[*Teacher ID])</f>
        <v>0</v>
      </c>
      <c r="J605" s="60"/>
      <c r="K605" s="60"/>
      <c r="L605" s="55"/>
      <c r="M605" s="60"/>
      <c r="N605" s="60"/>
      <c r="O605" s="55"/>
      <c r="P605" s="161"/>
      <c r="Q605" s="160" t="str">
        <f>IF(enrollment_table[[#This Row],[Enrollment Date]]="","",TEXT(enrollment_table[[#This Row],[Enrollment Date]],"mmmm"))</f>
        <v/>
      </c>
      <c r="R605" s="60"/>
    </row>
    <row r="606" spans="1:18" ht="15" x14ac:dyDescent="0.3">
      <c r="A606" s="129"/>
      <c r="B606" s="60"/>
      <c r="C606" s="55"/>
      <c r="D606" s="60"/>
      <c r="E606" s="103">
        <f>_xlfn.XLOOKUP(enrollment_table[[#This Row],[*Subject]], classes_table[*Subject], classes_table[Fee])</f>
        <v>0</v>
      </c>
      <c r="F606" s="58"/>
      <c r="G606" s="60"/>
      <c r="H606" s="55"/>
      <c r="I606" s="176">
        <f>_xlfn.XLOOKUP(enrollment_table[[#This Row],[*Teacher Name]], teachers_table[*Teacher Name], teachers_table[*Teacher ID])</f>
        <v>0</v>
      </c>
      <c r="J606" s="60"/>
      <c r="K606" s="60"/>
      <c r="L606" s="55"/>
      <c r="M606" s="60"/>
      <c r="N606" s="60"/>
      <c r="O606" s="55"/>
      <c r="P606" s="161"/>
      <c r="Q606" s="160" t="str">
        <f>IF(enrollment_table[[#This Row],[Enrollment Date]]="","",TEXT(enrollment_table[[#This Row],[Enrollment Date]],"mmmm"))</f>
        <v/>
      </c>
      <c r="R606" s="60"/>
    </row>
    <row r="607" spans="1:18" ht="15" x14ac:dyDescent="0.3">
      <c r="A607" s="129"/>
      <c r="B607" s="60"/>
      <c r="C607" s="55"/>
      <c r="D607" s="60"/>
      <c r="E607" s="103">
        <f>_xlfn.XLOOKUP(enrollment_table[[#This Row],[*Subject]], classes_table[*Subject], classes_table[Fee])</f>
        <v>0</v>
      </c>
      <c r="F607" s="58"/>
      <c r="G607" s="60"/>
      <c r="H607" s="55"/>
      <c r="I607" s="176">
        <f>_xlfn.XLOOKUP(enrollment_table[[#This Row],[*Teacher Name]], teachers_table[*Teacher Name], teachers_table[*Teacher ID])</f>
        <v>0</v>
      </c>
      <c r="J607" s="60"/>
      <c r="K607" s="60"/>
      <c r="L607" s="55"/>
      <c r="M607" s="60"/>
      <c r="N607" s="60"/>
      <c r="O607" s="55"/>
      <c r="P607" s="161"/>
      <c r="Q607" s="160" t="str">
        <f>IF(enrollment_table[[#This Row],[Enrollment Date]]="","",TEXT(enrollment_table[[#This Row],[Enrollment Date]],"mmmm"))</f>
        <v/>
      </c>
      <c r="R607" s="60"/>
    </row>
    <row r="608" spans="1:18" ht="15" x14ac:dyDescent="0.3">
      <c r="A608" s="129"/>
      <c r="B608" s="60"/>
      <c r="C608" s="55"/>
      <c r="D608" s="60"/>
      <c r="E608" s="103">
        <f>_xlfn.XLOOKUP(enrollment_table[[#This Row],[*Subject]], classes_table[*Subject], classes_table[Fee])</f>
        <v>0</v>
      </c>
      <c r="F608" s="58"/>
      <c r="G608" s="60"/>
      <c r="H608" s="55"/>
      <c r="I608" s="176">
        <f>_xlfn.XLOOKUP(enrollment_table[[#This Row],[*Teacher Name]], teachers_table[*Teacher Name], teachers_table[*Teacher ID])</f>
        <v>0</v>
      </c>
      <c r="J608" s="60"/>
      <c r="K608" s="60"/>
      <c r="L608" s="55"/>
      <c r="M608" s="60"/>
      <c r="N608" s="60"/>
      <c r="O608" s="55"/>
      <c r="P608" s="161"/>
      <c r="Q608" s="160" t="str">
        <f>IF(enrollment_table[[#This Row],[Enrollment Date]]="","",TEXT(enrollment_table[[#This Row],[Enrollment Date]],"mmmm"))</f>
        <v/>
      </c>
      <c r="R608" s="60"/>
    </row>
    <row r="609" spans="1:18" ht="15" x14ac:dyDescent="0.3">
      <c r="A609" s="129"/>
      <c r="B609" s="60"/>
      <c r="C609" s="55"/>
      <c r="D609" s="60"/>
      <c r="E609" s="103">
        <f>_xlfn.XLOOKUP(enrollment_table[[#This Row],[*Subject]], classes_table[*Subject], classes_table[Fee])</f>
        <v>0</v>
      </c>
      <c r="F609" s="58"/>
      <c r="G609" s="60"/>
      <c r="H609" s="55"/>
      <c r="I609" s="176">
        <f>_xlfn.XLOOKUP(enrollment_table[[#This Row],[*Teacher Name]], teachers_table[*Teacher Name], teachers_table[*Teacher ID])</f>
        <v>0</v>
      </c>
      <c r="J609" s="60"/>
      <c r="K609" s="60"/>
      <c r="L609" s="55"/>
      <c r="M609" s="60"/>
      <c r="N609" s="60"/>
      <c r="O609" s="55"/>
      <c r="P609" s="161"/>
      <c r="Q609" s="160" t="str">
        <f>IF(enrollment_table[[#This Row],[Enrollment Date]]="","",TEXT(enrollment_table[[#This Row],[Enrollment Date]],"mmmm"))</f>
        <v/>
      </c>
      <c r="R609" s="60"/>
    </row>
    <row r="610" spans="1:18" ht="15" x14ac:dyDescent="0.3">
      <c r="A610" s="129"/>
      <c r="B610" s="60"/>
      <c r="C610" s="55"/>
      <c r="D610" s="60"/>
      <c r="E610" s="103">
        <f>_xlfn.XLOOKUP(enrollment_table[[#This Row],[*Subject]], classes_table[*Subject], classes_table[Fee])</f>
        <v>0</v>
      </c>
      <c r="F610" s="58"/>
      <c r="G610" s="60"/>
      <c r="H610" s="55"/>
      <c r="I610" s="176">
        <f>_xlfn.XLOOKUP(enrollment_table[[#This Row],[*Teacher Name]], teachers_table[*Teacher Name], teachers_table[*Teacher ID])</f>
        <v>0</v>
      </c>
      <c r="J610" s="60"/>
      <c r="K610" s="60"/>
      <c r="L610" s="55"/>
      <c r="M610" s="60"/>
      <c r="N610" s="60"/>
      <c r="O610" s="55"/>
      <c r="P610" s="161"/>
      <c r="Q610" s="160" t="str">
        <f>IF(enrollment_table[[#This Row],[Enrollment Date]]="","",TEXT(enrollment_table[[#This Row],[Enrollment Date]],"mmmm"))</f>
        <v/>
      </c>
      <c r="R610" s="60"/>
    </row>
    <row r="611" spans="1:18" ht="15" x14ac:dyDescent="0.3">
      <c r="A611" s="129"/>
      <c r="B611" s="60"/>
      <c r="C611" s="55"/>
      <c r="D611" s="60"/>
      <c r="E611" s="103">
        <f>_xlfn.XLOOKUP(enrollment_table[[#This Row],[*Subject]], classes_table[*Subject], classes_table[Fee])</f>
        <v>0</v>
      </c>
      <c r="F611" s="58"/>
      <c r="G611" s="60"/>
      <c r="H611" s="55"/>
      <c r="I611" s="176">
        <f>_xlfn.XLOOKUP(enrollment_table[[#This Row],[*Teacher Name]], teachers_table[*Teacher Name], teachers_table[*Teacher ID])</f>
        <v>0</v>
      </c>
      <c r="J611" s="60"/>
      <c r="K611" s="60"/>
      <c r="L611" s="55"/>
      <c r="M611" s="60"/>
      <c r="N611" s="60"/>
      <c r="O611" s="55"/>
      <c r="P611" s="161"/>
      <c r="Q611" s="160" t="str">
        <f>IF(enrollment_table[[#This Row],[Enrollment Date]]="","",TEXT(enrollment_table[[#This Row],[Enrollment Date]],"mmmm"))</f>
        <v/>
      </c>
      <c r="R611" s="60"/>
    </row>
    <row r="612" spans="1:18" ht="15" x14ac:dyDescent="0.3">
      <c r="A612" s="129"/>
      <c r="B612" s="60"/>
      <c r="C612" s="55"/>
      <c r="D612" s="60"/>
      <c r="E612" s="103">
        <f>_xlfn.XLOOKUP(enrollment_table[[#This Row],[*Subject]], classes_table[*Subject], classes_table[Fee])</f>
        <v>0</v>
      </c>
      <c r="F612" s="58"/>
      <c r="G612" s="60"/>
      <c r="H612" s="55"/>
      <c r="I612" s="176">
        <f>_xlfn.XLOOKUP(enrollment_table[[#This Row],[*Teacher Name]], teachers_table[*Teacher Name], teachers_table[*Teacher ID])</f>
        <v>0</v>
      </c>
      <c r="J612" s="60"/>
      <c r="K612" s="60"/>
      <c r="L612" s="55"/>
      <c r="M612" s="60"/>
      <c r="N612" s="60"/>
      <c r="O612" s="55"/>
      <c r="P612" s="161"/>
      <c r="Q612" s="160" t="str">
        <f>IF(enrollment_table[[#This Row],[Enrollment Date]]="","",TEXT(enrollment_table[[#This Row],[Enrollment Date]],"mmmm"))</f>
        <v/>
      </c>
      <c r="R612" s="60"/>
    </row>
    <row r="613" spans="1:18" ht="15" x14ac:dyDescent="0.3">
      <c r="A613" s="129"/>
      <c r="B613" s="60"/>
      <c r="C613" s="55"/>
      <c r="D613" s="60"/>
      <c r="E613" s="103">
        <f>_xlfn.XLOOKUP(enrollment_table[[#This Row],[*Subject]], classes_table[*Subject], classes_table[Fee])</f>
        <v>0</v>
      </c>
      <c r="F613" s="58"/>
      <c r="G613" s="60"/>
      <c r="H613" s="55"/>
      <c r="I613" s="176">
        <f>_xlfn.XLOOKUP(enrollment_table[[#This Row],[*Teacher Name]], teachers_table[*Teacher Name], teachers_table[*Teacher ID])</f>
        <v>0</v>
      </c>
      <c r="J613" s="60"/>
      <c r="K613" s="60"/>
      <c r="L613" s="55"/>
      <c r="M613" s="60"/>
      <c r="N613" s="60"/>
      <c r="O613" s="55"/>
      <c r="P613" s="161"/>
      <c r="Q613" s="160" t="str">
        <f>IF(enrollment_table[[#This Row],[Enrollment Date]]="","",TEXT(enrollment_table[[#This Row],[Enrollment Date]],"mmmm"))</f>
        <v/>
      </c>
      <c r="R613" s="60"/>
    </row>
    <row r="614" spans="1:18" ht="15" x14ac:dyDescent="0.3">
      <c r="A614" s="129"/>
      <c r="B614" s="60"/>
      <c r="C614" s="55"/>
      <c r="D614" s="60"/>
      <c r="E614" s="103">
        <f>_xlfn.XLOOKUP(enrollment_table[[#This Row],[*Subject]], classes_table[*Subject], classes_table[Fee])</f>
        <v>0</v>
      </c>
      <c r="F614" s="58"/>
      <c r="G614" s="60"/>
      <c r="H614" s="55"/>
      <c r="I614" s="176">
        <f>_xlfn.XLOOKUP(enrollment_table[[#This Row],[*Teacher Name]], teachers_table[*Teacher Name], teachers_table[*Teacher ID])</f>
        <v>0</v>
      </c>
      <c r="J614" s="60"/>
      <c r="K614" s="60"/>
      <c r="L614" s="55"/>
      <c r="M614" s="60"/>
      <c r="N614" s="60"/>
      <c r="O614" s="55"/>
      <c r="P614" s="161"/>
      <c r="Q614" s="160" t="str">
        <f>IF(enrollment_table[[#This Row],[Enrollment Date]]="","",TEXT(enrollment_table[[#This Row],[Enrollment Date]],"mmmm"))</f>
        <v/>
      </c>
      <c r="R614" s="60"/>
    </row>
    <row r="615" spans="1:18" ht="15" x14ac:dyDescent="0.3">
      <c r="A615" s="129"/>
      <c r="B615" s="60"/>
      <c r="C615" s="55"/>
      <c r="D615" s="60"/>
      <c r="E615" s="103">
        <f>_xlfn.XLOOKUP(enrollment_table[[#This Row],[*Subject]], classes_table[*Subject], classes_table[Fee])</f>
        <v>0</v>
      </c>
      <c r="F615" s="58"/>
      <c r="G615" s="60"/>
      <c r="H615" s="55"/>
      <c r="I615" s="176">
        <f>_xlfn.XLOOKUP(enrollment_table[[#This Row],[*Teacher Name]], teachers_table[*Teacher Name], teachers_table[*Teacher ID])</f>
        <v>0</v>
      </c>
      <c r="J615" s="60"/>
      <c r="K615" s="60"/>
      <c r="L615" s="55"/>
      <c r="M615" s="60"/>
      <c r="N615" s="60"/>
      <c r="O615" s="55"/>
      <c r="P615" s="161"/>
      <c r="Q615" s="160" t="str">
        <f>IF(enrollment_table[[#This Row],[Enrollment Date]]="","",TEXT(enrollment_table[[#This Row],[Enrollment Date]],"mmmm"))</f>
        <v/>
      </c>
      <c r="R615" s="60"/>
    </row>
    <row r="616" spans="1:18" ht="15" x14ac:dyDescent="0.3">
      <c r="A616" s="129"/>
      <c r="B616" s="60"/>
      <c r="C616" s="55"/>
      <c r="D616" s="60"/>
      <c r="E616" s="103">
        <f>_xlfn.XLOOKUP(enrollment_table[[#This Row],[*Subject]], classes_table[*Subject], classes_table[Fee])</f>
        <v>0</v>
      </c>
      <c r="F616" s="58"/>
      <c r="G616" s="60"/>
      <c r="H616" s="55"/>
      <c r="I616" s="176">
        <f>_xlfn.XLOOKUP(enrollment_table[[#This Row],[*Teacher Name]], teachers_table[*Teacher Name], teachers_table[*Teacher ID])</f>
        <v>0</v>
      </c>
      <c r="J616" s="60"/>
      <c r="K616" s="60"/>
      <c r="L616" s="55"/>
      <c r="M616" s="60"/>
      <c r="N616" s="60"/>
      <c r="O616" s="55"/>
      <c r="P616" s="161"/>
      <c r="Q616" s="160" t="str">
        <f>IF(enrollment_table[[#This Row],[Enrollment Date]]="","",TEXT(enrollment_table[[#This Row],[Enrollment Date]],"mmmm"))</f>
        <v/>
      </c>
      <c r="R616" s="60"/>
    </row>
    <row r="617" spans="1:18" ht="15" x14ac:dyDescent="0.3">
      <c r="A617" s="129"/>
      <c r="B617" s="60"/>
      <c r="C617" s="55"/>
      <c r="D617" s="60"/>
      <c r="E617" s="103">
        <f>_xlfn.XLOOKUP(enrollment_table[[#This Row],[*Subject]], classes_table[*Subject], classes_table[Fee])</f>
        <v>0</v>
      </c>
      <c r="F617" s="58"/>
      <c r="G617" s="60"/>
      <c r="H617" s="55"/>
      <c r="I617" s="176">
        <f>_xlfn.XLOOKUP(enrollment_table[[#This Row],[*Teacher Name]], teachers_table[*Teacher Name], teachers_table[*Teacher ID])</f>
        <v>0</v>
      </c>
      <c r="J617" s="60"/>
      <c r="K617" s="60"/>
      <c r="L617" s="55"/>
      <c r="M617" s="60"/>
      <c r="N617" s="60"/>
      <c r="O617" s="55"/>
      <c r="P617" s="161"/>
      <c r="Q617" s="160" t="str">
        <f>IF(enrollment_table[[#This Row],[Enrollment Date]]="","",TEXT(enrollment_table[[#This Row],[Enrollment Date]],"mmmm"))</f>
        <v/>
      </c>
      <c r="R617" s="60"/>
    </row>
    <row r="618" spans="1:18" ht="15" x14ac:dyDescent="0.3">
      <c r="A618" s="129"/>
      <c r="B618" s="60"/>
      <c r="C618" s="55"/>
      <c r="D618" s="60"/>
      <c r="E618" s="103">
        <f>_xlfn.XLOOKUP(enrollment_table[[#This Row],[*Subject]], classes_table[*Subject], classes_table[Fee])</f>
        <v>0</v>
      </c>
      <c r="F618" s="58"/>
      <c r="G618" s="60"/>
      <c r="H618" s="55"/>
      <c r="I618" s="176">
        <f>_xlfn.XLOOKUP(enrollment_table[[#This Row],[*Teacher Name]], teachers_table[*Teacher Name], teachers_table[*Teacher ID])</f>
        <v>0</v>
      </c>
      <c r="J618" s="60"/>
      <c r="K618" s="60"/>
      <c r="L618" s="55"/>
      <c r="M618" s="60"/>
      <c r="N618" s="60"/>
      <c r="O618" s="55"/>
      <c r="P618" s="161"/>
      <c r="Q618" s="160" t="str">
        <f>IF(enrollment_table[[#This Row],[Enrollment Date]]="","",TEXT(enrollment_table[[#This Row],[Enrollment Date]],"mmmm"))</f>
        <v/>
      </c>
      <c r="R618" s="60"/>
    </row>
    <row r="619" spans="1:18" ht="15" x14ac:dyDescent="0.3">
      <c r="A619" s="129"/>
      <c r="B619" s="60"/>
      <c r="C619" s="55"/>
      <c r="D619" s="60"/>
      <c r="E619" s="103">
        <f>_xlfn.XLOOKUP(enrollment_table[[#This Row],[*Subject]], classes_table[*Subject], classes_table[Fee])</f>
        <v>0</v>
      </c>
      <c r="F619" s="58"/>
      <c r="G619" s="60"/>
      <c r="H619" s="55"/>
      <c r="I619" s="176">
        <f>_xlfn.XLOOKUP(enrollment_table[[#This Row],[*Teacher Name]], teachers_table[*Teacher Name], teachers_table[*Teacher ID])</f>
        <v>0</v>
      </c>
      <c r="J619" s="60"/>
      <c r="K619" s="60"/>
      <c r="L619" s="55"/>
      <c r="M619" s="60"/>
      <c r="N619" s="60"/>
      <c r="O619" s="55"/>
      <c r="P619" s="161"/>
      <c r="Q619" s="160" t="str">
        <f>IF(enrollment_table[[#This Row],[Enrollment Date]]="","",TEXT(enrollment_table[[#This Row],[Enrollment Date]],"mmmm"))</f>
        <v/>
      </c>
      <c r="R619" s="60"/>
    </row>
    <row r="620" spans="1:18" ht="15" x14ac:dyDescent="0.3">
      <c r="A620" s="129"/>
      <c r="B620" s="60"/>
      <c r="C620" s="55"/>
      <c r="D620" s="60"/>
      <c r="E620" s="103">
        <f>_xlfn.XLOOKUP(enrollment_table[[#This Row],[*Subject]], classes_table[*Subject], classes_table[Fee])</f>
        <v>0</v>
      </c>
      <c r="F620" s="58"/>
      <c r="G620" s="60"/>
      <c r="H620" s="55"/>
      <c r="I620" s="176">
        <f>_xlfn.XLOOKUP(enrollment_table[[#This Row],[*Teacher Name]], teachers_table[*Teacher Name], teachers_table[*Teacher ID])</f>
        <v>0</v>
      </c>
      <c r="J620" s="60"/>
      <c r="K620" s="60"/>
      <c r="L620" s="55"/>
      <c r="M620" s="60"/>
      <c r="N620" s="60"/>
      <c r="O620" s="55"/>
      <c r="P620" s="161"/>
      <c r="Q620" s="160" t="str">
        <f>IF(enrollment_table[[#This Row],[Enrollment Date]]="","",TEXT(enrollment_table[[#This Row],[Enrollment Date]],"mmmm"))</f>
        <v/>
      </c>
      <c r="R620" s="60"/>
    </row>
    <row r="621" spans="1:18" ht="15" x14ac:dyDescent="0.3">
      <c r="A621" s="129"/>
      <c r="B621" s="60"/>
      <c r="C621" s="55"/>
      <c r="D621" s="60"/>
      <c r="E621" s="103">
        <f>_xlfn.XLOOKUP(enrollment_table[[#This Row],[*Subject]], classes_table[*Subject], classes_table[Fee])</f>
        <v>0</v>
      </c>
      <c r="F621" s="58"/>
      <c r="G621" s="60"/>
      <c r="H621" s="55"/>
      <c r="I621" s="176">
        <f>_xlfn.XLOOKUP(enrollment_table[[#This Row],[*Teacher Name]], teachers_table[*Teacher Name], teachers_table[*Teacher ID])</f>
        <v>0</v>
      </c>
      <c r="J621" s="60"/>
      <c r="K621" s="60"/>
      <c r="L621" s="55"/>
      <c r="M621" s="60"/>
      <c r="N621" s="60"/>
      <c r="O621" s="55"/>
      <c r="P621" s="161"/>
      <c r="Q621" s="160" t="str">
        <f>IF(enrollment_table[[#This Row],[Enrollment Date]]="","",TEXT(enrollment_table[[#This Row],[Enrollment Date]],"mmmm"))</f>
        <v/>
      </c>
      <c r="R621" s="60"/>
    </row>
    <row r="622" spans="1:18" ht="15" x14ac:dyDescent="0.3">
      <c r="A622" s="129"/>
      <c r="B622" s="60"/>
      <c r="C622" s="55"/>
      <c r="D622" s="60"/>
      <c r="E622" s="103">
        <f>_xlfn.XLOOKUP(enrollment_table[[#This Row],[*Subject]], classes_table[*Subject], classes_table[Fee])</f>
        <v>0</v>
      </c>
      <c r="F622" s="58"/>
      <c r="G622" s="60"/>
      <c r="H622" s="55"/>
      <c r="I622" s="176">
        <f>_xlfn.XLOOKUP(enrollment_table[[#This Row],[*Teacher Name]], teachers_table[*Teacher Name], teachers_table[*Teacher ID])</f>
        <v>0</v>
      </c>
      <c r="J622" s="60"/>
      <c r="K622" s="60"/>
      <c r="L622" s="55"/>
      <c r="M622" s="60"/>
      <c r="N622" s="60"/>
      <c r="O622" s="55"/>
      <c r="P622" s="161"/>
      <c r="Q622" s="160" t="str">
        <f>IF(enrollment_table[[#This Row],[Enrollment Date]]="","",TEXT(enrollment_table[[#This Row],[Enrollment Date]],"mmmm"))</f>
        <v/>
      </c>
      <c r="R622" s="60"/>
    </row>
    <row r="623" spans="1:18" ht="15" x14ac:dyDescent="0.3">
      <c r="A623" s="129"/>
      <c r="B623" s="60"/>
      <c r="C623" s="55"/>
      <c r="D623" s="60"/>
      <c r="E623" s="103">
        <f>_xlfn.XLOOKUP(enrollment_table[[#This Row],[*Subject]], classes_table[*Subject], classes_table[Fee])</f>
        <v>0</v>
      </c>
      <c r="F623" s="58"/>
      <c r="G623" s="60"/>
      <c r="H623" s="55"/>
      <c r="I623" s="176">
        <f>_xlfn.XLOOKUP(enrollment_table[[#This Row],[*Teacher Name]], teachers_table[*Teacher Name], teachers_table[*Teacher ID])</f>
        <v>0</v>
      </c>
      <c r="J623" s="60"/>
      <c r="K623" s="60"/>
      <c r="L623" s="55"/>
      <c r="M623" s="60"/>
      <c r="N623" s="60"/>
      <c r="O623" s="55"/>
      <c r="P623" s="161"/>
      <c r="Q623" s="160" t="str">
        <f>IF(enrollment_table[[#This Row],[Enrollment Date]]="","",TEXT(enrollment_table[[#This Row],[Enrollment Date]],"mmmm"))</f>
        <v/>
      </c>
      <c r="R623" s="60"/>
    </row>
    <row r="624" spans="1:18" ht="15" x14ac:dyDescent="0.3">
      <c r="A624" s="129"/>
      <c r="B624" s="60"/>
      <c r="C624" s="55"/>
      <c r="D624" s="60"/>
      <c r="E624" s="103">
        <f>_xlfn.XLOOKUP(enrollment_table[[#This Row],[*Subject]], classes_table[*Subject], classes_table[Fee])</f>
        <v>0</v>
      </c>
      <c r="F624" s="58"/>
      <c r="G624" s="60"/>
      <c r="H624" s="55"/>
      <c r="I624" s="176">
        <f>_xlfn.XLOOKUP(enrollment_table[[#This Row],[*Teacher Name]], teachers_table[*Teacher Name], teachers_table[*Teacher ID])</f>
        <v>0</v>
      </c>
      <c r="J624" s="60"/>
      <c r="K624" s="60"/>
      <c r="L624" s="55"/>
      <c r="M624" s="60"/>
      <c r="N624" s="60"/>
      <c r="O624" s="55"/>
      <c r="P624" s="161"/>
      <c r="Q624" s="160" t="str">
        <f>IF(enrollment_table[[#This Row],[Enrollment Date]]="","",TEXT(enrollment_table[[#This Row],[Enrollment Date]],"mmmm"))</f>
        <v/>
      </c>
      <c r="R624" s="60"/>
    </row>
    <row r="625" spans="1:18" ht="15" x14ac:dyDescent="0.3">
      <c r="A625" s="129"/>
      <c r="B625" s="60"/>
      <c r="C625" s="55"/>
      <c r="D625" s="60"/>
      <c r="E625" s="103">
        <f>_xlfn.XLOOKUP(enrollment_table[[#This Row],[*Subject]], classes_table[*Subject], classes_table[Fee])</f>
        <v>0</v>
      </c>
      <c r="F625" s="58"/>
      <c r="G625" s="60"/>
      <c r="H625" s="55"/>
      <c r="I625" s="176">
        <f>_xlfn.XLOOKUP(enrollment_table[[#This Row],[*Teacher Name]], teachers_table[*Teacher Name], teachers_table[*Teacher ID])</f>
        <v>0</v>
      </c>
      <c r="J625" s="60"/>
      <c r="K625" s="60"/>
      <c r="L625" s="55"/>
      <c r="M625" s="60"/>
      <c r="N625" s="60"/>
      <c r="O625" s="55"/>
      <c r="P625" s="161"/>
      <c r="Q625" s="160" t="str">
        <f>IF(enrollment_table[[#This Row],[Enrollment Date]]="","",TEXT(enrollment_table[[#This Row],[Enrollment Date]],"mmmm"))</f>
        <v/>
      </c>
      <c r="R625" s="60"/>
    </row>
    <row r="626" spans="1:18" ht="15" x14ac:dyDescent="0.3">
      <c r="A626" s="129"/>
      <c r="B626" s="60"/>
      <c r="C626" s="55"/>
      <c r="D626" s="60"/>
      <c r="E626" s="103">
        <f>_xlfn.XLOOKUP(enrollment_table[[#This Row],[*Subject]], classes_table[*Subject], classes_table[Fee])</f>
        <v>0</v>
      </c>
      <c r="F626" s="58"/>
      <c r="G626" s="60"/>
      <c r="H626" s="55"/>
      <c r="I626" s="176">
        <f>_xlfn.XLOOKUP(enrollment_table[[#This Row],[*Teacher Name]], teachers_table[*Teacher Name], teachers_table[*Teacher ID])</f>
        <v>0</v>
      </c>
      <c r="J626" s="60"/>
      <c r="K626" s="60"/>
      <c r="L626" s="55"/>
      <c r="M626" s="60"/>
      <c r="N626" s="60"/>
      <c r="O626" s="55"/>
      <c r="P626" s="161"/>
      <c r="Q626" s="160" t="str">
        <f>IF(enrollment_table[[#This Row],[Enrollment Date]]="","",TEXT(enrollment_table[[#This Row],[Enrollment Date]],"mmmm"))</f>
        <v/>
      </c>
      <c r="R626" s="60"/>
    </row>
    <row r="627" spans="1:18" ht="15" x14ac:dyDescent="0.3">
      <c r="A627" s="129"/>
      <c r="B627" s="60"/>
      <c r="C627" s="55"/>
      <c r="D627" s="60"/>
      <c r="E627" s="103">
        <f>_xlfn.XLOOKUP(enrollment_table[[#This Row],[*Subject]], classes_table[*Subject], classes_table[Fee])</f>
        <v>0</v>
      </c>
      <c r="F627" s="58"/>
      <c r="G627" s="60"/>
      <c r="H627" s="55"/>
      <c r="I627" s="176">
        <f>_xlfn.XLOOKUP(enrollment_table[[#This Row],[*Teacher Name]], teachers_table[*Teacher Name], teachers_table[*Teacher ID])</f>
        <v>0</v>
      </c>
      <c r="J627" s="60"/>
      <c r="K627" s="60"/>
      <c r="L627" s="55"/>
      <c r="M627" s="60"/>
      <c r="N627" s="60"/>
      <c r="O627" s="55"/>
      <c r="P627" s="161"/>
      <c r="Q627" s="160" t="str">
        <f>IF(enrollment_table[[#This Row],[Enrollment Date]]="","",TEXT(enrollment_table[[#This Row],[Enrollment Date]],"mmmm"))</f>
        <v/>
      </c>
      <c r="R627" s="60"/>
    </row>
    <row r="628" spans="1:18" ht="15" x14ac:dyDescent="0.3">
      <c r="A628" s="129"/>
      <c r="B628" s="60"/>
      <c r="C628" s="55"/>
      <c r="D628" s="60"/>
      <c r="E628" s="103">
        <f>_xlfn.XLOOKUP(enrollment_table[[#This Row],[*Subject]], classes_table[*Subject], classes_table[Fee])</f>
        <v>0</v>
      </c>
      <c r="F628" s="58"/>
      <c r="G628" s="60"/>
      <c r="H628" s="55"/>
      <c r="I628" s="176">
        <f>_xlfn.XLOOKUP(enrollment_table[[#This Row],[*Teacher Name]], teachers_table[*Teacher Name], teachers_table[*Teacher ID])</f>
        <v>0</v>
      </c>
      <c r="J628" s="60"/>
      <c r="K628" s="60"/>
      <c r="L628" s="55"/>
      <c r="M628" s="60"/>
      <c r="N628" s="60"/>
      <c r="O628" s="55"/>
      <c r="P628" s="161"/>
      <c r="Q628" s="160" t="str">
        <f>IF(enrollment_table[[#This Row],[Enrollment Date]]="","",TEXT(enrollment_table[[#This Row],[Enrollment Date]],"mmmm"))</f>
        <v/>
      </c>
      <c r="R628" s="60"/>
    </row>
    <row r="629" spans="1:18" ht="15" x14ac:dyDescent="0.3">
      <c r="A629" s="129"/>
      <c r="B629" s="60"/>
      <c r="C629" s="55"/>
      <c r="D629" s="60"/>
      <c r="E629" s="103">
        <f>_xlfn.XLOOKUP(enrollment_table[[#This Row],[*Subject]], classes_table[*Subject], classes_table[Fee])</f>
        <v>0</v>
      </c>
      <c r="F629" s="58"/>
      <c r="G629" s="60"/>
      <c r="H629" s="55"/>
      <c r="I629" s="176">
        <f>_xlfn.XLOOKUP(enrollment_table[[#This Row],[*Teacher Name]], teachers_table[*Teacher Name], teachers_table[*Teacher ID])</f>
        <v>0</v>
      </c>
      <c r="J629" s="60"/>
      <c r="K629" s="60"/>
      <c r="L629" s="55"/>
      <c r="M629" s="60"/>
      <c r="N629" s="60"/>
      <c r="O629" s="55"/>
      <c r="P629" s="161"/>
      <c r="Q629" s="160" t="str">
        <f>IF(enrollment_table[[#This Row],[Enrollment Date]]="","",TEXT(enrollment_table[[#This Row],[Enrollment Date]],"mmmm"))</f>
        <v/>
      </c>
      <c r="R629" s="60"/>
    </row>
    <row r="630" spans="1:18" ht="15" x14ac:dyDescent="0.3">
      <c r="A630" s="129"/>
      <c r="B630" s="60"/>
      <c r="C630" s="55"/>
      <c r="D630" s="60"/>
      <c r="E630" s="103">
        <f>_xlfn.XLOOKUP(enrollment_table[[#This Row],[*Subject]], classes_table[*Subject], classes_table[Fee])</f>
        <v>0</v>
      </c>
      <c r="F630" s="58"/>
      <c r="G630" s="60"/>
      <c r="H630" s="55"/>
      <c r="I630" s="176">
        <f>_xlfn.XLOOKUP(enrollment_table[[#This Row],[*Teacher Name]], teachers_table[*Teacher Name], teachers_table[*Teacher ID])</f>
        <v>0</v>
      </c>
      <c r="J630" s="60"/>
      <c r="K630" s="60"/>
      <c r="L630" s="55"/>
      <c r="M630" s="60"/>
      <c r="N630" s="60"/>
      <c r="O630" s="55"/>
      <c r="P630" s="161"/>
      <c r="Q630" s="160" t="str">
        <f>IF(enrollment_table[[#This Row],[Enrollment Date]]="","",TEXT(enrollment_table[[#This Row],[Enrollment Date]],"mmmm"))</f>
        <v/>
      </c>
      <c r="R630" s="60"/>
    </row>
    <row r="631" spans="1:18" ht="15" x14ac:dyDescent="0.3">
      <c r="A631" s="129"/>
      <c r="B631" s="60"/>
      <c r="C631" s="55"/>
      <c r="D631" s="60"/>
      <c r="E631" s="103">
        <f>_xlfn.XLOOKUP(enrollment_table[[#This Row],[*Subject]], classes_table[*Subject], classes_table[Fee])</f>
        <v>0</v>
      </c>
      <c r="F631" s="58"/>
      <c r="G631" s="60"/>
      <c r="H631" s="55"/>
      <c r="I631" s="176">
        <f>_xlfn.XLOOKUP(enrollment_table[[#This Row],[*Teacher Name]], teachers_table[*Teacher Name], teachers_table[*Teacher ID])</f>
        <v>0</v>
      </c>
      <c r="J631" s="60"/>
      <c r="K631" s="60"/>
      <c r="L631" s="55"/>
      <c r="M631" s="60"/>
      <c r="N631" s="60"/>
      <c r="O631" s="55"/>
      <c r="P631" s="161"/>
      <c r="Q631" s="160" t="str">
        <f>IF(enrollment_table[[#This Row],[Enrollment Date]]="","",TEXT(enrollment_table[[#This Row],[Enrollment Date]],"mmmm"))</f>
        <v/>
      </c>
      <c r="R631" s="60"/>
    </row>
    <row r="632" spans="1:18" ht="15" x14ac:dyDescent="0.3">
      <c r="A632" s="129"/>
      <c r="B632" s="60"/>
      <c r="C632" s="55"/>
      <c r="D632" s="60"/>
      <c r="E632" s="103">
        <f>_xlfn.XLOOKUP(enrollment_table[[#This Row],[*Subject]], classes_table[*Subject], classes_table[Fee])</f>
        <v>0</v>
      </c>
      <c r="F632" s="58"/>
      <c r="G632" s="60"/>
      <c r="H632" s="55"/>
      <c r="I632" s="176">
        <f>_xlfn.XLOOKUP(enrollment_table[[#This Row],[*Teacher Name]], teachers_table[*Teacher Name], teachers_table[*Teacher ID])</f>
        <v>0</v>
      </c>
      <c r="J632" s="60"/>
      <c r="K632" s="60"/>
      <c r="L632" s="55"/>
      <c r="M632" s="60"/>
      <c r="N632" s="60"/>
      <c r="O632" s="55"/>
      <c r="P632" s="161"/>
      <c r="Q632" s="160" t="str">
        <f>IF(enrollment_table[[#This Row],[Enrollment Date]]="","",TEXT(enrollment_table[[#This Row],[Enrollment Date]],"mmmm"))</f>
        <v/>
      </c>
      <c r="R632" s="60"/>
    </row>
    <row r="633" spans="1:18" ht="15" x14ac:dyDescent="0.3">
      <c r="A633" s="129"/>
      <c r="B633" s="60"/>
      <c r="C633" s="55"/>
      <c r="D633" s="60"/>
      <c r="E633" s="103">
        <f>_xlfn.XLOOKUP(enrollment_table[[#This Row],[*Subject]], classes_table[*Subject], classes_table[Fee])</f>
        <v>0</v>
      </c>
      <c r="F633" s="58"/>
      <c r="G633" s="60"/>
      <c r="H633" s="55"/>
      <c r="I633" s="176">
        <f>_xlfn.XLOOKUP(enrollment_table[[#This Row],[*Teacher Name]], teachers_table[*Teacher Name], teachers_table[*Teacher ID])</f>
        <v>0</v>
      </c>
      <c r="J633" s="60"/>
      <c r="K633" s="60"/>
      <c r="L633" s="55"/>
      <c r="M633" s="60"/>
      <c r="N633" s="60"/>
      <c r="O633" s="55"/>
      <c r="P633" s="161"/>
      <c r="Q633" s="160" t="str">
        <f>IF(enrollment_table[[#This Row],[Enrollment Date]]="","",TEXT(enrollment_table[[#This Row],[Enrollment Date]],"mmmm"))</f>
        <v/>
      </c>
      <c r="R633" s="60"/>
    </row>
    <row r="634" spans="1:18" ht="15" x14ac:dyDescent="0.3">
      <c r="A634" s="129"/>
      <c r="B634" s="60"/>
      <c r="C634" s="55"/>
      <c r="D634" s="60"/>
      <c r="E634" s="103">
        <f>_xlfn.XLOOKUP(enrollment_table[[#This Row],[*Subject]], classes_table[*Subject], classes_table[Fee])</f>
        <v>0</v>
      </c>
      <c r="F634" s="58"/>
      <c r="G634" s="60"/>
      <c r="H634" s="55"/>
      <c r="I634" s="176">
        <f>_xlfn.XLOOKUP(enrollment_table[[#This Row],[*Teacher Name]], teachers_table[*Teacher Name], teachers_table[*Teacher ID])</f>
        <v>0</v>
      </c>
      <c r="J634" s="60"/>
      <c r="K634" s="60"/>
      <c r="L634" s="55"/>
      <c r="M634" s="60"/>
      <c r="N634" s="60"/>
      <c r="O634" s="55"/>
      <c r="P634" s="161"/>
      <c r="Q634" s="160" t="str">
        <f>IF(enrollment_table[[#This Row],[Enrollment Date]]="","",TEXT(enrollment_table[[#This Row],[Enrollment Date]],"mmmm"))</f>
        <v/>
      </c>
      <c r="R634" s="60"/>
    </row>
    <row r="635" spans="1:18" ht="15" x14ac:dyDescent="0.3">
      <c r="A635" s="129"/>
      <c r="B635" s="60"/>
      <c r="C635" s="55"/>
      <c r="D635" s="60"/>
      <c r="E635" s="103">
        <f>_xlfn.XLOOKUP(enrollment_table[[#This Row],[*Subject]], classes_table[*Subject], classes_table[Fee])</f>
        <v>0</v>
      </c>
      <c r="F635" s="58"/>
      <c r="G635" s="60"/>
      <c r="H635" s="55"/>
      <c r="I635" s="176">
        <f>_xlfn.XLOOKUP(enrollment_table[[#This Row],[*Teacher Name]], teachers_table[*Teacher Name], teachers_table[*Teacher ID])</f>
        <v>0</v>
      </c>
      <c r="J635" s="60"/>
      <c r="K635" s="60"/>
      <c r="L635" s="55"/>
      <c r="M635" s="60"/>
      <c r="N635" s="60"/>
      <c r="O635" s="55"/>
      <c r="P635" s="161"/>
      <c r="Q635" s="160" t="str">
        <f>IF(enrollment_table[[#This Row],[Enrollment Date]]="","",TEXT(enrollment_table[[#This Row],[Enrollment Date]],"mmmm"))</f>
        <v/>
      </c>
      <c r="R635" s="60"/>
    </row>
    <row r="636" spans="1:18" ht="15" x14ac:dyDescent="0.3">
      <c r="A636" s="129"/>
      <c r="B636" s="60"/>
      <c r="C636" s="55"/>
      <c r="D636" s="60"/>
      <c r="E636" s="103">
        <f>_xlfn.XLOOKUP(enrollment_table[[#This Row],[*Subject]], classes_table[*Subject], classes_table[Fee])</f>
        <v>0</v>
      </c>
      <c r="F636" s="58"/>
      <c r="G636" s="60"/>
      <c r="H636" s="55"/>
      <c r="I636" s="176">
        <f>_xlfn.XLOOKUP(enrollment_table[[#This Row],[*Teacher Name]], teachers_table[*Teacher Name], teachers_table[*Teacher ID])</f>
        <v>0</v>
      </c>
      <c r="J636" s="60"/>
      <c r="K636" s="60"/>
      <c r="L636" s="55"/>
      <c r="M636" s="60"/>
      <c r="N636" s="60"/>
      <c r="O636" s="55"/>
      <c r="P636" s="161"/>
      <c r="Q636" s="160" t="str">
        <f>IF(enrollment_table[[#This Row],[Enrollment Date]]="","",TEXT(enrollment_table[[#This Row],[Enrollment Date]],"mmmm"))</f>
        <v/>
      </c>
      <c r="R636" s="60"/>
    </row>
    <row r="637" spans="1:18" ht="15" x14ac:dyDescent="0.3">
      <c r="A637" s="129"/>
      <c r="B637" s="60"/>
      <c r="C637" s="55"/>
      <c r="D637" s="60"/>
      <c r="E637" s="103">
        <f>_xlfn.XLOOKUP(enrollment_table[[#This Row],[*Subject]], classes_table[*Subject], classes_table[Fee])</f>
        <v>0</v>
      </c>
      <c r="F637" s="58"/>
      <c r="G637" s="60"/>
      <c r="H637" s="55"/>
      <c r="I637" s="176">
        <f>_xlfn.XLOOKUP(enrollment_table[[#This Row],[*Teacher Name]], teachers_table[*Teacher Name], teachers_table[*Teacher ID])</f>
        <v>0</v>
      </c>
      <c r="J637" s="60"/>
      <c r="K637" s="60"/>
      <c r="L637" s="55"/>
      <c r="M637" s="60"/>
      <c r="N637" s="60"/>
      <c r="O637" s="55"/>
      <c r="P637" s="161"/>
      <c r="Q637" s="160" t="str">
        <f>IF(enrollment_table[[#This Row],[Enrollment Date]]="","",TEXT(enrollment_table[[#This Row],[Enrollment Date]],"mmmm"))</f>
        <v/>
      </c>
      <c r="R637" s="60"/>
    </row>
    <row r="638" spans="1:18" ht="15" x14ac:dyDescent="0.3">
      <c r="A638" s="129"/>
      <c r="B638" s="60"/>
      <c r="C638" s="55"/>
      <c r="D638" s="60"/>
      <c r="E638" s="103">
        <f>_xlfn.XLOOKUP(enrollment_table[[#This Row],[*Subject]], classes_table[*Subject], classes_table[Fee])</f>
        <v>0</v>
      </c>
      <c r="F638" s="58"/>
      <c r="G638" s="60"/>
      <c r="H638" s="55"/>
      <c r="I638" s="176">
        <f>_xlfn.XLOOKUP(enrollment_table[[#This Row],[*Teacher Name]], teachers_table[*Teacher Name], teachers_table[*Teacher ID])</f>
        <v>0</v>
      </c>
      <c r="J638" s="60"/>
      <c r="K638" s="60"/>
      <c r="L638" s="55"/>
      <c r="M638" s="60"/>
      <c r="N638" s="60"/>
      <c r="O638" s="55"/>
      <c r="P638" s="161"/>
      <c r="Q638" s="160" t="str">
        <f>IF(enrollment_table[[#This Row],[Enrollment Date]]="","",TEXT(enrollment_table[[#This Row],[Enrollment Date]],"mmmm"))</f>
        <v/>
      </c>
      <c r="R638" s="60"/>
    </row>
    <row r="639" spans="1:18" ht="15" x14ac:dyDescent="0.3">
      <c r="A639" s="129"/>
      <c r="B639" s="60"/>
      <c r="C639" s="55"/>
      <c r="D639" s="60"/>
      <c r="E639" s="103">
        <f>_xlfn.XLOOKUP(enrollment_table[[#This Row],[*Subject]], classes_table[*Subject], classes_table[Fee])</f>
        <v>0</v>
      </c>
      <c r="F639" s="58"/>
      <c r="G639" s="60"/>
      <c r="H639" s="55"/>
      <c r="I639" s="176">
        <f>_xlfn.XLOOKUP(enrollment_table[[#This Row],[*Teacher Name]], teachers_table[*Teacher Name], teachers_table[*Teacher ID])</f>
        <v>0</v>
      </c>
      <c r="J639" s="60"/>
      <c r="K639" s="60"/>
      <c r="L639" s="55"/>
      <c r="M639" s="60"/>
      <c r="N639" s="60"/>
      <c r="O639" s="55"/>
      <c r="P639" s="161"/>
      <c r="Q639" s="160" t="str">
        <f>IF(enrollment_table[[#This Row],[Enrollment Date]]="","",TEXT(enrollment_table[[#This Row],[Enrollment Date]],"mmmm"))</f>
        <v/>
      </c>
      <c r="R639" s="60"/>
    </row>
    <row r="640" spans="1:18" ht="15" x14ac:dyDescent="0.3">
      <c r="A640" s="129"/>
      <c r="B640" s="60"/>
      <c r="C640" s="55"/>
      <c r="D640" s="60"/>
      <c r="E640" s="103">
        <f>_xlfn.XLOOKUP(enrollment_table[[#This Row],[*Subject]], classes_table[*Subject], classes_table[Fee])</f>
        <v>0</v>
      </c>
      <c r="F640" s="58"/>
      <c r="G640" s="60"/>
      <c r="H640" s="55"/>
      <c r="I640" s="176">
        <f>_xlfn.XLOOKUP(enrollment_table[[#This Row],[*Teacher Name]], teachers_table[*Teacher Name], teachers_table[*Teacher ID])</f>
        <v>0</v>
      </c>
      <c r="J640" s="60"/>
      <c r="K640" s="60"/>
      <c r="L640" s="55"/>
      <c r="M640" s="60"/>
      <c r="N640" s="60"/>
      <c r="O640" s="55"/>
      <c r="P640" s="161"/>
      <c r="Q640" s="160" t="str">
        <f>IF(enrollment_table[[#This Row],[Enrollment Date]]="","",TEXT(enrollment_table[[#This Row],[Enrollment Date]],"mmmm"))</f>
        <v/>
      </c>
      <c r="R640" s="60"/>
    </row>
    <row r="641" spans="1:18" ht="15" x14ac:dyDescent="0.3">
      <c r="A641" s="129"/>
      <c r="B641" s="60"/>
      <c r="C641" s="55"/>
      <c r="D641" s="60"/>
      <c r="E641" s="103">
        <f>_xlfn.XLOOKUP(enrollment_table[[#This Row],[*Subject]], classes_table[*Subject], classes_table[Fee])</f>
        <v>0</v>
      </c>
      <c r="F641" s="58"/>
      <c r="G641" s="60"/>
      <c r="H641" s="55"/>
      <c r="I641" s="176">
        <f>_xlfn.XLOOKUP(enrollment_table[[#This Row],[*Teacher Name]], teachers_table[*Teacher Name], teachers_table[*Teacher ID])</f>
        <v>0</v>
      </c>
      <c r="J641" s="60"/>
      <c r="K641" s="60"/>
      <c r="L641" s="55"/>
      <c r="M641" s="60"/>
      <c r="N641" s="60"/>
      <c r="O641" s="55"/>
      <c r="P641" s="161"/>
      <c r="Q641" s="160" t="str">
        <f>IF(enrollment_table[[#This Row],[Enrollment Date]]="","",TEXT(enrollment_table[[#This Row],[Enrollment Date]],"mmmm"))</f>
        <v/>
      </c>
      <c r="R641" s="60"/>
    </row>
    <row r="642" spans="1:18" ht="15" x14ac:dyDescent="0.3">
      <c r="A642" s="129"/>
      <c r="B642" s="60"/>
      <c r="C642" s="55"/>
      <c r="D642" s="60"/>
      <c r="E642" s="103">
        <f>_xlfn.XLOOKUP(enrollment_table[[#This Row],[*Subject]], classes_table[*Subject], classes_table[Fee])</f>
        <v>0</v>
      </c>
      <c r="F642" s="58"/>
      <c r="G642" s="60"/>
      <c r="H642" s="55"/>
      <c r="I642" s="176">
        <f>_xlfn.XLOOKUP(enrollment_table[[#This Row],[*Teacher Name]], teachers_table[*Teacher Name], teachers_table[*Teacher ID])</f>
        <v>0</v>
      </c>
      <c r="J642" s="60"/>
      <c r="K642" s="60"/>
      <c r="L642" s="55"/>
      <c r="M642" s="60"/>
      <c r="N642" s="60"/>
      <c r="O642" s="55"/>
      <c r="P642" s="161"/>
      <c r="Q642" s="160" t="str">
        <f>IF(enrollment_table[[#This Row],[Enrollment Date]]="","",TEXT(enrollment_table[[#This Row],[Enrollment Date]],"mmmm"))</f>
        <v/>
      </c>
      <c r="R642" s="60"/>
    </row>
    <row r="643" spans="1:18" ht="15" x14ac:dyDescent="0.3">
      <c r="A643" s="129"/>
      <c r="B643" s="60"/>
      <c r="C643" s="55"/>
      <c r="D643" s="60"/>
      <c r="E643" s="103">
        <f>_xlfn.XLOOKUP(enrollment_table[[#This Row],[*Subject]], classes_table[*Subject], classes_table[Fee])</f>
        <v>0</v>
      </c>
      <c r="F643" s="58"/>
      <c r="G643" s="60"/>
      <c r="H643" s="55"/>
      <c r="I643" s="176">
        <f>_xlfn.XLOOKUP(enrollment_table[[#This Row],[*Teacher Name]], teachers_table[*Teacher Name], teachers_table[*Teacher ID])</f>
        <v>0</v>
      </c>
      <c r="J643" s="60"/>
      <c r="K643" s="60"/>
      <c r="L643" s="55"/>
      <c r="M643" s="60"/>
      <c r="N643" s="60"/>
      <c r="O643" s="55"/>
      <c r="P643" s="161"/>
      <c r="Q643" s="160" t="str">
        <f>IF(enrollment_table[[#This Row],[Enrollment Date]]="","",TEXT(enrollment_table[[#This Row],[Enrollment Date]],"mmmm"))</f>
        <v/>
      </c>
      <c r="R643" s="60"/>
    </row>
    <row r="644" spans="1:18" ht="15" x14ac:dyDescent="0.3">
      <c r="A644" s="129"/>
      <c r="B644" s="60"/>
      <c r="C644" s="55"/>
      <c r="D644" s="60"/>
      <c r="E644" s="103">
        <f>_xlfn.XLOOKUP(enrollment_table[[#This Row],[*Subject]], classes_table[*Subject], classes_table[Fee])</f>
        <v>0</v>
      </c>
      <c r="F644" s="58"/>
      <c r="G644" s="60"/>
      <c r="H644" s="55"/>
      <c r="I644" s="176">
        <f>_xlfn.XLOOKUP(enrollment_table[[#This Row],[*Teacher Name]], teachers_table[*Teacher Name], teachers_table[*Teacher ID])</f>
        <v>0</v>
      </c>
      <c r="J644" s="60"/>
      <c r="K644" s="60"/>
      <c r="L644" s="55"/>
      <c r="M644" s="60"/>
      <c r="N644" s="60"/>
      <c r="O644" s="55"/>
      <c r="P644" s="161"/>
      <c r="Q644" s="160" t="str">
        <f>IF(enrollment_table[[#This Row],[Enrollment Date]]="","",TEXT(enrollment_table[[#This Row],[Enrollment Date]],"mmmm"))</f>
        <v/>
      </c>
      <c r="R644" s="60"/>
    </row>
    <row r="645" spans="1:18" ht="15" x14ac:dyDescent="0.3">
      <c r="A645" s="129"/>
      <c r="B645" s="60"/>
      <c r="C645" s="55"/>
      <c r="D645" s="60"/>
      <c r="E645" s="103">
        <f>_xlfn.XLOOKUP(enrollment_table[[#This Row],[*Subject]], classes_table[*Subject], classes_table[Fee])</f>
        <v>0</v>
      </c>
      <c r="F645" s="58"/>
      <c r="G645" s="60"/>
      <c r="H645" s="55"/>
      <c r="I645" s="176">
        <f>_xlfn.XLOOKUP(enrollment_table[[#This Row],[*Teacher Name]], teachers_table[*Teacher Name], teachers_table[*Teacher ID])</f>
        <v>0</v>
      </c>
      <c r="J645" s="60"/>
      <c r="K645" s="60"/>
      <c r="L645" s="55"/>
      <c r="M645" s="60"/>
      <c r="N645" s="60"/>
      <c r="O645" s="55"/>
      <c r="P645" s="161"/>
      <c r="Q645" s="160" t="str">
        <f>IF(enrollment_table[[#This Row],[Enrollment Date]]="","",TEXT(enrollment_table[[#This Row],[Enrollment Date]],"mmmm"))</f>
        <v/>
      </c>
      <c r="R645" s="60"/>
    </row>
    <row r="646" spans="1:18" ht="15" x14ac:dyDescent="0.3">
      <c r="A646" s="129"/>
      <c r="B646" s="60"/>
      <c r="C646" s="55"/>
      <c r="D646" s="60"/>
      <c r="E646" s="103">
        <f>_xlfn.XLOOKUP(enrollment_table[[#This Row],[*Subject]], classes_table[*Subject], classes_table[Fee])</f>
        <v>0</v>
      </c>
      <c r="F646" s="58"/>
      <c r="G646" s="60"/>
      <c r="H646" s="55"/>
      <c r="I646" s="176">
        <f>_xlfn.XLOOKUP(enrollment_table[[#This Row],[*Teacher Name]], teachers_table[*Teacher Name], teachers_table[*Teacher ID])</f>
        <v>0</v>
      </c>
      <c r="J646" s="60"/>
      <c r="K646" s="60"/>
      <c r="L646" s="55"/>
      <c r="M646" s="60"/>
      <c r="N646" s="60"/>
      <c r="O646" s="55"/>
      <c r="P646" s="161"/>
      <c r="Q646" s="160" t="str">
        <f>IF(enrollment_table[[#This Row],[Enrollment Date]]="","",TEXT(enrollment_table[[#This Row],[Enrollment Date]],"mmmm"))</f>
        <v/>
      </c>
      <c r="R646" s="60"/>
    </row>
    <row r="647" spans="1:18" ht="15" x14ac:dyDescent="0.3">
      <c r="A647" s="129"/>
      <c r="B647" s="60"/>
      <c r="C647" s="55"/>
      <c r="D647" s="60"/>
      <c r="E647" s="103">
        <f>_xlfn.XLOOKUP(enrollment_table[[#This Row],[*Subject]], classes_table[*Subject], classes_table[Fee])</f>
        <v>0</v>
      </c>
      <c r="F647" s="58"/>
      <c r="G647" s="60"/>
      <c r="H647" s="55"/>
      <c r="I647" s="176">
        <f>_xlfn.XLOOKUP(enrollment_table[[#This Row],[*Teacher Name]], teachers_table[*Teacher Name], teachers_table[*Teacher ID])</f>
        <v>0</v>
      </c>
      <c r="J647" s="60"/>
      <c r="K647" s="60"/>
      <c r="L647" s="55"/>
      <c r="M647" s="60"/>
      <c r="N647" s="60"/>
      <c r="O647" s="55"/>
      <c r="P647" s="161"/>
      <c r="Q647" s="160" t="str">
        <f>IF(enrollment_table[[#This Row],[Enrollment Date]]="","",TEXT(enrollment_table[[#This Row],[Enrollment Date]],"mmmm"))</f>
        <v/>
      </c>
      <c r="R647" s="60"/>
    </row>
    <row r="648" spans="1:18" ht="15" x14ac:dyDescent="0.3">
      <c r="A648" s="129"/>
      <c r="B648" s="60"/>
      <c r="C648" s="55"/>
      <c r="D648" s="60"/>
      <c r="E648" s="103">
        <f>_xlfn.XLOOKUP(enrollment_table[[#This Row],[*Subject]], classes_table[*Subject], classes_table[Fee])</f>
        <v>0</v>
      </c>
      <c r="F648" s="58"/>
      <c r="G648" s="60"/>
      <c r="H648" s="55"/>
      <c r="I648" s="176">
        <f>_xlfn.XLOOKUP(enrollment_table[[#This Row],[*Teacher Name]], teachers_table[*Teacher Name], teachers_table[*Teacher ID])</f>
        <v>0</v>
      </c>
      <c r="J648" s="60"/>
      <c r="K648" s="60"/>
      <c r="L648" s="55"/>
      <c r="M648" s="60"/>
      <c r="N648" s="60"/>
      <c r="O648" s="55"/>
      <c r="P648" s="161"/>
      <c r="Q648" s="160" t="str">
        <f>IF(enrollment_table[[#This Row],[Enrollment Date]]="","",TEXT(enrollment_table[[#This Row],[Enrollment Date]],"mmmm"))</f>
        <v/>
      </c>
      <c r="R648" s="60"/>
    </row>
    <row r="649" spans="1:18" ht="15" x14ac:dyDescent="0.3">
      <c r="A649" s="129"/>
      <c r="B649" s="60"/>
      <c r="C649" s="55"/>
      <c r="D649" s="60"/>
      <c r="E649" s="103">
        <f>_xlfn.XLOOKUP(enrollment_table[[#This Row],[*Subject]], classes_table[*Subject], classes_table[Fee])</f>
        <v>0</v>
      </c>
      <c r="F649" s="58"/>
      <c r="G649" s="60"/>
      <c r="H649" s="55"/>
      <c r="I649" s="176">
        <f>_xlfn.XLOOKUP(enrollment_table[[#This Row],[*Teacher Name]], teachers_table[*Teacher Name], teachers_table[*Teacher ID])</f>
        <v>0</v>
      </c>
      <c r="J649" s="60"/>
      <c r="K649" s="60"/>
      <c r="L649" s="55"/>
      <c r="M649" s="60"/>
      <c r="N649" s="60"/>
      <c r="O649" s="55"/>
      <c r="P649" s="161"/>
      <c r="Q649" s="160" t="str">
        <f>IF(enrollment_table[[#This Row],[Enrollment Date]]="","",TEXT(enrollment_table[[#This Row],[Enrollment Date]],"mmmm"))</f>
        <v/>
      </c>
      <c r="R649" s="60"/>
    </row>
    <row r="650" spans="1:18" ht="15" x14ac:dyDescent="0.3">
      <c r="A650" s="129"/>
      <c r="B650" s="60"/>
      <c r="C650" s="55"/>
      <c r="D650" s="60"/>
      <c r="E650" s="103">
        <f>_xlfn.XLOOKUP(enrollment_table[[#This Row],[*Subject]], classes_table[*Subject], classes_table[Fee])</f>
        <v>0</v>
      </c>
      <c r="F650" s="58"/>
      <c r="G650" s="60"/>
      <c r="H650" s="55"/>
      <c r="I650" s="176">
        <f>_xlfn.XLOOKUP(enrollment_table[[#This Row],[*Teacher Name]], teachers_table[*Teacher Name], teachers_table[*Teacher ID])</f>
        <v>0</v>
      </c>
      <c r="J650" s="60"/>
      <c r="K650" s="60"/>
      <c r="L650" s="55"/>
      <c r="M650" s="60"/>
      <c r="N650" s="60"/>
      <c r="O650" s="55"/>
      <c r="P650" s="161"/>
      <c r="Q650" s="160" t="str">
        <f>IF(enrollment_table[[#This Row],[Enrollment Date]]="","",TEXT(enrollment_table[[#This Row],[Enrollment Date]],"mmmm"))</f>
        <v/>
      </c>
      <c r="R650" s="60"/>
    </row>
    <row r="651" spans="1:18" ht="15" x14ac:dyDescent="0.3">
      <c r="A651" s="129"/>
      <c r="B651" s="60"/>
      <c r="C651" s="55"/>
      <c r="D651" s="60"/>
      <c r="E651" s="103">
        <f>_xlfn.XLOOKUP(enrollment_table[[#This Row],[*Subject]], classes_table[*Subject], classes_table[Fee])</f>
        <v>0</v>
      </c>
      <c r="F651" s="58"/>
      <c r="G651" s="60"/>
      <c r="H651" s="55"/>
      <c r="I651" s="176">
        <f>_xlfn.XLOOKUP(enrollment_table[[#This Row],[*Teacher Name]], teachers_table[*Teacher Name], teachers_table[*Teacher ID])</f>
        <v>0</v>
      </c>
      <c r="J651" s="60"/>
      <c r="K651" s="60"/>
      <c r="L651" s="55"/>
      <c r="M651" s="60"/>
      <c r="N651" s="60"/>
      <c r="O651" s="55"/>
      <c r="P651" s="161"/>
      <c r="Q651" s="160" t="str">
        <f>IF(enrollment_table[[#This Row],[Enrollment Date]]="","",TEXT(enrollment_table[[#This Row],[Enrollment Date]],"mmmm"))</f>
        <v/>
      </c>
      <c r="R651" s="60"/>
    </row>
    <row r="652" spans="1:18" ht="15" x14ac:dyDescent="0.3">
      <c r="A652" s="129"/>
      <c r="B652" s="60"/>
      <c r="C652" s="55"/>
      <c r="D652" s="60"/>
      <c r="E652" s="103">
        <f>_xlfn.XLOOKUP(enrollment_table[[#This Row],[*Subject]], classes_table[*Subject], classes_table[Fee])</f>
        <v>0</v>
      </c>
      <c r="F652" s="58"/>
      <c r="G652" s="60"/>
      <c r="H652" s="55"/>
      <c r="I652" s="176">
        <f>_xlfn.XLOOKUP(enrollment_table[[#This Row],[*Teacher Name]], teachers_table[*Teacher Name], teachers_table[*Teacher ID])</f>
        <v>0</v>
      </c>
      <c r="J652" s="60"/>
      <c r="K652" s="60"/>
      <c r="L652" s="55"/>
      <c r="M652" s="60"/>
      <c r="N652" s="60"/>
      <c r="O652" s="55"/>
      <c r="P652" s="161"/>
      <c r="Q652" s="160" t="str">
        <f>IF(enrollment_table[[#This Row],[Enrollment Date]]="","",TEXT(enrollment_table[[#This Row],[Enrollment Date]],"mmmm"))</f>
        <v/>
      </c>
      <c r="R652" s="60"/>
    </row>
    <row r="653" spans="1:18" ht="15" x14ac:dyDescent="0.3">
      <c r="A653" s="129"/>
      <c r="B653" s="60"/>
      <c r="C653" s="55"/>
      <c r="D653" s="60"/>
      <c r="E653" s="103">
        <f>_xlfn.XLOOKUP(enrollment_table[[#This Row],[*Subject]], classes_table[*Subject], classes_table[Fee])</f>
        <v>0</v>
      </c>
      <c r="F653" s="58"/>
      <c r="G653" s="60"/>
      <c r="H653" s="55"/>
      <c r="I653" s="176">
        <f>_xlfn.XLOOKUP(enrollment_table[[#This Row],[*Teacher Name]], teachers_table[*Teacher Name], teachers_table[*Teacher ID])</f>
        <v>0</v>
      </c>
      <c r="J653" s="60"/>
      <c r="K653" s="60"/>
      <c r="L653" s="55"/>
      <c r="M653" s="60"/>
      <c r="N653" s="60"/>
      <c r="O653" s="55"/>
      <c r="P653" s="161"/>
      <c r="Q653" s="160" t="str">
        <f>IF(enrollment_table[[#This Row],[Enrollment Date]]="","",TEXT(enrollment_table[[#This Row],[Enrollment Date]],"mmmm"))</f>
        <v/>
      </c>
      <c r="R653" s="60"/>
    </row>
    <row r="654" spans="1:18" ht="15" x14ac:dyDescent="0.3">
      <c r="A654" s="129"/>
      <c r="B654" s="60"/>
      <c r="C654" s="55"/>
      <c r="D654" s="60"/>
      <c r="E654" s="103">
        <f>_xlfn.XLOOKUP(enrollment_table[[#This Row],[*Subject]], classes_table[*Subject], classes_table[Fee])</f>
        <v>0</v>
      </c>
      <c r="F654" s="58"/>
      <c r="G654" s="60"/>
      <c r="H654" s="55"/>
      <c r="I654" s="176">
        <f>_xlfn.XLOOKUP(enrollment_table[[#This Row],[*Teacher Name]], teachers_table[*Teacher Name], teachers_table[*Teacher ID])</f>
        <v>0</v>
      </c>
      <c r="J654" s="60"/>
      <c r="K654" s="60"/>
      <c r="L654" s="55"/>
      <c r="M654" s="60"/>
      <c r="N654" s="60"/>
      <c r="O654" s="55"/>
      <c r="P654" s="161"/>
      <c r="Q654" s="160" t="str">
        <f>IF(enrollment_table[[#This Row],[Enrollment Date]]="","",TEXT(enrollment_table[[#This Row],[Enrollment Date]],"mmmm"))</f>
        <v/>
      </c>
      <c r="R654" s="60"/>
    </row>
    <row r="655" spans="1:18" ht="15" x14ac:dyDescent="0.3">
      <c r="A655" s="129"/>
      <c r="B655" s="60"/>
      <c r="C655" s="55"/>
      <c r="D655" s="60"/>
      <c r="E655" s="103">
        <f>_xlfn.XLOOKUP(enrollment_table[[#This Row],[*Subject]], classes_table[*Subject], classes_table[Fee])</f>
        <v>0</v>
      </c>
      <c r="F655" s="58"/>
      <c r="G655" s="60"/>
      <c r="H655" s="55"/>
      <c r="I655" s="176">
        <f>_xlfn.XLOOKUP(enrollment_table[[#This Row],[*Teacher Name]], teachers_table[*Teacher Name], teachers_table[*Teacher ID])</f>
        <v>0</v>
      </c>
      <c r="J655" s="60"/>
      <c r="K655" s="60"/>
      <c r="L655" s="55"/>
      <c r="M655" s="60"/>
      <c r="N655" s="60"/>
      <c r="O655" s="55"/>
      <c r="P655" s="161"/>
      <c r="Q655" s="160" t="str">
        <f>IF(enrollment_table[[#This Row],[Enrollment Date]]="","",TEXT(enrollment_table[[#This Row],[Enrollment Date]],"mmmm"))</f>
        <v/>
      </c>
      <c r="R655" s="60"/>
    </row>
    <row r="656" spans="1:18" ht="15" x14ac:dyDescent="0.3">
      <c r="A656" s="129"/>
      <c r="B656" s="60"/>
      <c r="C656" s="55"/>
      <c r="D656" s="60"/>
      <c r="E656" s="103">
        <f>_xlfn.XLOOKUP(enrollment_table[[#This Row],[*Subject]], classes_table[*Subject], classes_table[Fee])</f>
        <v>0</v>
      </c>
      <c r="F656" s="58"/>
      <c r="G656" s="60"/>
      <c r="H656" s="55"/>
      <c r="I656" s="176">
        <f>_xlfn.XLOOKUP(enrollment_table[[#This Row],[*Teacher Name]], teachers_table[*Teacher Name], teachers_table[*Teacher ID])</f>
        <v>0</v>
      </c>
      <c r="J656" s="60"/>
      <c r="K656" s="60"/>
      <c r="L656" s="55"/>
      <c r="M656" s="60"/>
      <c r="N656" s="60"/>
      <c r="O656" s="55"/>
      <c r="P656" s="161"/>
      <c r="Q656" s="160" t="str">
        <f>IF(enrollment_table[[#This Row],[Enrollment Date]]="","",TEXT(enrollment_table[[#This Row],[Enrollment Date]],"mmmm"))</f>
        <v/>
      </c>
      <c r="R656" s="60"/>
    </row>
    <row r="657" spans="1:18" ht="15" x14ac:dyDescent="0.3">
      <c r="A657" s="129"/>
      <c r="B657" s="60"/>
      <c r="C657" s="55"/>
      <c r="D657" s="60"/>
      <c r="E657" s="103">
        <f>_xlfn.XLOOKUP(enrollment_table[[#This Row],[*Subject]], classes_table[*Subject], classes_table[Fee])</f>
        <v>0</v>
      </c>
      <c r="F657" s="58"/>
      <c r="G657" s="60"/>
      <c r="H657" s="55"/>
      <c r="I657" s="176">
        <f>_xlfn.XLOOKUP(enrollment_table[[#This Row],[*Teacher Name]], teachers_table[*Teacher Name], teachers_table[*Teacher ID])</f>
        <v>0</v>
      </c>
      <c r="J657" s="60"/>
      <c r="K657" s="60"/>
      <c r="L657" s="55"/>
      <c r="M657" s="60"/>
      <c r="N657" s="60"/>
      <c r="O657" s="55"/>
      <c r="P657" s="161"/>
      <c r="Q657" s="160" t="str">
        <f>IF(enrollment_table[[#This Row],[Enrollment Date]]="","",TEXT(enrollment_table[[#This Row],[Enrollment Date]],"mmmm"))</f>
        <v/>
      </c>
      <c r="R657" s="60"/>
    </row>
    <row r="658" spans="1:18" ht="15" x14ac:dyDescent="0.3">
      <c r="A658" s="129"/>
      <c r="B658" s="60"/>
      <c r="C658" s="55"/>
      <c r="D658" s="60"/>
      <c r="E658" s="103">
        <f>_xlfn.XLOOKUP(enrollment_table[[#This Row],[*Subject]], classes_table[*Subject], classes_table[Fee])</f>
        <v>0</v>
      </c>
      <c r="F658" s="58"/>
      <c r="G658" s="60"/>
      <c r="H658" s="55"/>
      <c r="I658" s="176">
        <f>_xlfn.XLOOKUP(enrollment_table[[#This Row],[*Teacher Name]], teachers_table[*Teacher Name], teachers_table[*Teacher ID])</f>
        <v>0</v>
      </c>
      <c r="J658" s="60"/>
      <c r="K658" s="60"/>
      <c r="L658" s="55"/>
      <c r="M658" s="60"/>
      <c r="N658" s="60"/>
      <c r="O658" s="55"/>
      <c r="P658" s="161"/>
      <c r="Q658" s="160" t="str">
        <f>IF(enrollment_table[[#This Row],[Enrollment Date]]="","",TEXT(enrollment_table[[#This Row],[Enrollment Date]],"mmmm"))</f>
        <v/>
      </c>
      <c r="R658" s="60"/>
    </row>
    <row r="659" spans="1:18" ht="15" x14ac:dyDescent="0.3">
      <c r="A659" s="129"/>
      <c r="B659" s="60"/>
      <c r="C659" s="55"/>
      <c r="D659" s="60"/>
      <c r="E659" s="103">
        <f>_xlfn.XLOOKUP(enrollment_table[[#This Row],[*Subject]], classes_table[*Subject], classes_table[Fee])</f>
        <v>0</v>
      </c>
      <c r="F659" s="58"/>
      <c r="G659" s="60"/>
      <c r="H659" s="55"/>
      <c r="I659" s="176">
        <f>_xlfn.XLOOKUP(enrollment_table[[#This Row],[*Teacher Name]], teachers_table[*Teacher Name], teachers_table[*Teacher ID])</f>
        <v>0</v>
      </c>
      <c r="J659" s="60"/>
      <c r="K659" s="60"/>
      <c r="L659" s="55"/>
      <c r="M659" s="60"/>
      <c r="N659" s="60"/>
      <c r="O659" s="55"/>
      <c r="P659" s="161"/>
      <c r="Q659" s="160" t="str">
        <f>IF(enrollment_table[[#This Row],[Enrollment Date]]="","",TEXT(enrollment_table[[#This Row],[Enrollment Date]],"mmmm"))</f>
        <v/>
      </c>
      <c r="R659" s="60"/>
    </row>
    <row r="660" spans="1:18" ht="15" x14ac:dyDescent="0.3">
      <c r="A660" s="129"/>
      <c r="B660" s="60"/>
      <c r="C660" s="55"/>
      <c r="D660" s="60"/>
      <c r="E660" s="103">
        <f>_xlfn.XLOOKUP(enrollment_table[[#This Row],[*Subject]], classes_table[*Subject], classes_table[Fee])</f>
        <v>0</v>
      </c>
      <c r="F660" s="58"/>
      <c r="G660" s="60"/>
      <c r="H660" s="55"/>
      <c r="I660" s="176">
        <f>_xlfn.XLOOKUP(enrollment_table[[#This Row],[*Teacher Name]], teachers_table[*Teacher Name], teachers_table[*Teacher ID])</f>
        <v>0</v>
      </c>
      <c r="J660" s="60"/>
      <c r="K660" s="60"/>
      <c r="L660" s="55"/>
      <c r="M660" s="60"/>
      <c r="N660" s="60"/>
      <c r="O660" s="55"/>
      <c r="P660" s="161"/>
      <c r="Q660" s="160" t="str">
        <f>IF(enrollment_table[[#This Row],[Enrollment Date]]="","",TEXT(enrollment_table[[#This Row],[Enrollment Date]],"mmmm"))</f>
        <v/>
      </c>
      <c r="R660" s="60"/>
    </row>
    <row r="661" spans="1:18" ht="15" x14ac:dyDescent="0.3">
      <c r="A661" s="129"/>
      <c r="B661" s="60"/>
      <c r="C661" s="55"/>
      <c r="D661" s="60"/>
      <c r="E661" s="103">
        <f>_xlfn.XLOOKUP(enrollment_table[[#This Row],[*Subject]], classes_table[*Subject], classes_table[Fee])</f>
        <v>0</v>
      </c>
      <c r="F661" s="58"/>
      <c r="G661" s="60"/>
      <c r="H661" s="55"/>
      <c r="I661" s="176">
        <f>_xlfn.XLOOKUP(enrollment_table[[#This Row],[*Teacher Name]], teachers_table[*Teacher Name], teachers_table[*Teacher ID])</f>
        <v>0</v>
      </c>
      <c r="J661" s="60"/>
      <c r="K661" s="60"/>
      <c r="L661" s="55"/>
      <c r="M661" s="60"/>
      <c r="N661" s="60"/>
      <c r="O661" s="55"/>
      <c r="P661" s="161"/>
      <c r="Q661" s="160" t="str">
        <f>IF(enrollment_table[[#This Row],[Enrollment Date]]="","",TEXT(enrollment_table[[#This Row],[Enrollment Date]],"mmmm"))</f>
        <v/>
      </c>
      <c r="R661" s="60"/>
    </row>
    <row r="662" spans="1:18" ht="15" x14ac:dyDescent="0.3">
      <c r="A662" s="129"/>
      <c r="B662" s="60"/>
      <c r="C662" s="55"/>
      <c r="D662" s="60"/>
      <c r="E662" s="103">
        <f>_xlfn.XLOOKUP(enrollment_table[[#This Row],[*Subject]], classes_table[*Subject], classes_table[Fee])</f>
        <v>0</v>
      </c>
      <c r="F662" s="58"/>
      <c r="G662" s="60"/>
      <c r="H662" s="55"/>
      <c r="I662" s="176">
        <f>_xlfn.XLOOKUP(enrollment_table[[#This Row],[*Teacher Name]], teachers_table[*Teacher Name], teachers_table[*Teacher ID])</f>
        <v>0</v>
      </c>
      <c r="J662" s="60"/>
      <c r="K662" s="60"/>
      <c r="L662" s="55"/>
      <c r="M662" s="60"/>
      <c r="N662" s="60"/>
      <c r="O662" s="55"/>
      <c r="P662" s="161"/>
      <c r="Q662" s="160" t="str">
        <f>IF(enrollment_table[[#This Row],[Enrollment Date]]="","",TEXT(enrollment_table[[#This Row],[Enrollment Date]],"mmmm"))</f>
        <v/>
      </c>
      <c r="R662" s="60"/>
    </row>
    <row r="663" spans="1:18" ht="15" x14ac:dyDescent="0.3">
      <c r="A663" s="129"/>
      <c r="B663" s="60"/>
      <c r="C663" s="55"/>
      <c r="D663" s="60"/>
      <c r="E663" s="103">
        <f>_xlfn.XLOOKUP(enrollment_table[[#This Row],[*Subject]], classes_table[*Subject], classes_table[Fee])</f>
        <v>0</v>
      </c>
      <c r="F663" s="58"/>
      <c r="G663" s="60"/>
      <c r="H663" s="55"/>
      <c r="I663" s="176">
        <f>_xlfn.XLOOKUP(enrollment_table[[#This Row],[*Teacher Name]], teachers_table[*Teacher Name], teachers_table[*Teacher ID])</f>
        <v>0</v>
      </c>
      <c r="J663" s="60"/>
      <c r="K663" s="60"/>
      <c r="L663" s="55"/>
      <c r="M663" s="60"/>
      <c r="N663" s="60"/>
      <c r="O663" s="55"/>
      <c r="P663" s="161"/>
      <c r="Q663" s="160" t="str">
        <f>IF(enrollment_table[[#This Row],[Enrollment Date]]="","",TEXT(enrollment_table[[#This Row],[Enrollment Date]],"mmmm"))</f>
        <v/>
      </c>
      <c r="R663" s="60"/>
    </row>
    <row r="664" spans="1:18" ht="15" x14ac:dyDescent="0.3">
      <c r="A664" s="129"/>
      <c r="B664" s="60"/>
      <c r="C664" s="55"/>
      <c r="D664" s="60"/>
      <c r="E664" s="103">
        <f>_xlfn.XLOOKUP(enrollment_table[[#This Row],[*Subject]], classes_table[*Subject], classes_table[Fee])</f>
        <v>0</v>
      </c>
      <c r="F664" s="58"/>
      <c r="G664" s="60"/>
      <c r="H664" s="55"/>
      <c r="I664" s="176">
        <f>_xlfn.XLOOKUP(enrollment_table[[#This Row],[*Teacher Name]], teachers_table[*Teacher Name], teachers_table[*Teacher ID])</f>
        <v>0</v>
      </c>
      <c r="J664" s="60"/>
      <c r="K664" s="60"/>
      <c r="L664" s="55"/>
      <c r="M664" s="60"/>
      <c r="N664" s="60"/>
      <c r="O664" s="55"/>
      <c r="P664" s="161"/>
      <c r="Q664" s="160" t="str">
        <f>IF(enrollment_table[[#This Row],[Enrollment Date]]="","",TEXT(enrollment_table[[#This Row],[Enrollment Date]],"mmmm"))</f>
        <v/>
      </c>
      <c r="R664" s="60"/>
    </row>
    <row r="665" spans="1:18" ht="15" x14ac:dyDescent="0.3">
      <c r="A665" s="129"/>
      <c r="B665" s="60"/>
      <c r="C665" s="55"/>
      <c r="D665" s="60"/>
      <c r="E665" s="103">
        <f>_xlfn.XLOOKUP(enrollment_table[[#This Row],[*Subject]], classes_table[*Subject], classes_table[Fee])</f>
        <v>0</v>
      </c>
      <c r="F665" s="58"/>
      <c r="G665" s="60"/>
      <c r="H665" s="55"/>
      <c r="I665" s="176">
        <f>_xlfn.XLOOKUP(enrollment_table[[#This Row],[*Teacher Name]], teachers_table[*Teacher Name], teachers_table[*Teacher ID])</f>
        <v>0</v>
      </c>
      <c r="J665" s="60"/>
      <c r="K665" s="60"/>
      <c r="L665" s="55"/>
      <c r="M665" s="60"/>
      <c r="N665" s="60"/>
      <c r="O665" s="55"/>
      <c r="P665" s="161"/>
      <c r="Q665" s="160" t="str">
        <f>IF(enrollment_table[[#This Row],[Enrollment Date]]="","",TEXT(enrollment_table[[#This Row],[Enrollment Date]],"mmmm"))</f>
        <v/>
      </c>
      <c r="R665" s="60"/>
    </row>
    <row r="666" spans="1:18" ht="15" x14ac:dyDescent="0.3">
      <c r="A666" s="129"/>
      <c r="B666" s="60"/>
      <c r="C666" s="55"/>
      <c r="D666" s="60"/>
      <c r="E666" s="103">
        <f>_xlfn.XLOOKUP(enrollment_table[[#This Row],[*Subject]], classes_table[*Subject], classes_table[Fee])</f>
        <v>0</v>
      </c>
      <c r="F666" s="58"/>
      <c r="G666" s="60"/>
      <c r="H666" s="55"/>
      <c r="I666" s="176">
        <f>_xlfn.XLOOKUP(enrollment_table[[#This Row],[*Teacher Name]], teachers_table[*Teacher Name], teachers_table[*Teacher ID])</f>
        <v>0</v>
      </c>
      <c r="J666" s="60"/>
      <c r="K666" s="60"/>
      <c r="L666" s="55"/>
      <c r="M666" s="60"/>
      <c r="N666" s="60"/>
      <c r="O666" s="55"/>
      <c r="P666" s="161"/>
      <c r="Q666" s="160" t="str">
        <f>IF(enrollment_table[[#This Row],[Enrollment Date]]="","",TEXT(enrollment_table[[#This Row],[Enrollment Date]],"mmmm"))</f>
        <v/>
      </c>
      <c r="R666" s="60"/>
    </row>
    <row r="667" spans="1:18" ht="15" x14ac:dyDescent="0.3">
      <c r="A667" s="129"/>
      <c r="B667" s="60"/>
      <c r="C667" s="55"/>
      <c r="D667" s="60"/>
      <c r="E667" s="103">
        <f>_xlfn.XLOOKUP(enrollment_table[[#This Row],[*Subject]], classes_table[*Subject], classes_table[Fee])</f>
        <v>0</v>
      </c>
      <c r="F667" s="58"/>
      <c r="G667" s="60"/>
      <c r="H667" s="55"/>
      <c r="I667" s="176">
        <f>_xlfn.XLOOKUP(enrollment_table[[#This Row],[*Teacher Name]], teachers_table[*Teacher Name], teachers_table[*Teacher ID])</f>
        <v>0</v>
      </c>
      <c r="J667" s="60"/>
      <c r="K667" s="60"/>
      <c r="L667" s="55"/>
      <c r="M667" s="60"/>
      <c r="N667" s="60"/>
      <c r="O667" s="55"/>
      <c r="P667" s="161"/>
      <c r="Q667" s="160" t="str">
        <f>IF(enrollment_table[[#This Row],[Enrollment Date]]="","",TEXT(enrollment_table[[#This Row],[Enrollment Date]],"mmmm"))</f>
        <v/>
      </c>
      <c r="R667" s="60"/>
    </row>
    <row r="668" spans="1:18" ht="15" x14ac:dyDescent="0.3">
      <c r="A668" s="129"/>
      <c r="B668" s="60"/>
      <c r="C668" s="55"/>
      <c r="D668" s="60"/>
      <c r="E668" s="103">
        <f>_xlfn.XLOOKUP(enrollment_table[[#This Row],[*Subject]], classes_table[*Subject], classes_table[Fee])</f>
        <v>0</v>
      </c>
      <c r="F668" s="58"/>
      <c r="G668" s="60"/>
      <c r="H668" s="55"/>
      <c r="I668" s="176">
        <f>_xlfn.XLOOKUP(enrollment_table[[#This Row],[*Teacher Name]], teachers_table[*Teacher Name], teachers_table[*Teacher ID])</f>
        <v>0</v>
      </c>
      <c r="J668" s="60"/>
      <c r="K668" s="60"/>
      <c r="L668" s="55"/>
      <c r="M668" s="60"/>
      <c r="N668" s="60"/>
      <c r="O668" s="55"/>
      <c r="P668" s="161"/>
      <c r="Q668" s="160" t="str">
        <f>IF(enrollment_table[[#This Row],[Enrollment Date]]="","",TEXT(enrollment_table[[#This Row],[Enrollment Date]],"mmmm"))</f>
        <v/>
      </c>
      <c r="R668" s="60"/>
    </row>
    <row r="669" spans="1:18" ht="15" x14ac:dyDescent="0.3">
      <c r="A669" s="129"/>
      <c r="B669" s="60"/>
      <c r="C669" s="55"/>
      <c r="D669" s="60"/>
      <c r="E669" s="103">
        <f>_xlfn.XLOOKUP(enrollment_table[[#This Row],[*Subject]], classes_table[*Subject], classes_table[Fee])</f>
        <v>0</v>
      </c>
      <c r="F669" s="58"/>
      <c r="G669" s="60"/>
      <c r="H669" s="55"/>
      <c r="I669" s="176">
        <f>_xlfn.XLOOKUP(enrollment_table[[#This Row],[*Teacher Name]], teachers_table[*Teacher Name], teachers_table[*Teacher ID])</f>
        <v>0</v>
      </c>
      <c r="J669" s="60"/>
      <c r="K669" s="60"/>
      <c r="L669" s="55"/>
      <c r="M669" s="60"/>
      <c r="N669" s="60"/>
      <c r="O669" s="55"/>
      <c r="P669" s="161"/>
      <c r="Q669" s="160" t="str">
        <f>IF(enrollment_table[[#This Row],[Enrollment Date]]="","",TEXT(enrollment_table[[#This Row],[Enrollment Date]],"mmmm"))</f>
        <v/>
      </c>
      <c r="R669" s="60"/>
    </row>
    <row r="670" spans="1:18" ht="15" x14ac:dyDescent="0.3">
      <c r="A670" s="129"/>
      <c r="B670" s="60"/>
      <c r="C670" s="55"/>
      <c r="D670" s="60"/>
      <c r="E670" s="103">
        <f>_xlfn.XLOOKUP(enrollment_table[[#This Row],[*Subject]], classes_table[*Subject], classes_table[Fee])</f>
        <v>0</v>
      </c>
      <c r="F670" s="58"/>
      <c r="G670" s="60"/>
      <c r="H670" s="55"/>
      <c r="I670" s="176">
        <f>_xlfn.XLOOKUP(enrollment_table[[#This Row],[*Teacher Name]], teachers_table[*Teacher Name], teachers_table[*Teacher ID])</f>
        <v>0</v>
      </c>
      <c r="J670" s="60"/>
      <c r="K670" s="60"/>
      <c r="L670" s="55"/>
      <c r="M670" s="60"/>
      <c r="N670" s="60"/>
      <c r="O670" s="55"/>
      <c r="P670" s="161"/>
      <c r="Q670" s="160" t="str">
        <f>IF(enrollment_table[[#This Row],[Enrollment Date]]="","",TEXT(enrollment_table[[#This Row],[Enrollment Date]],"mmmm"))</f>
        <v/>
      </c>
      <c r="R670" s="60"/>
    </row>
    <row r="671" spans="1:18" ht="15" x14ac:dyDescent="0.3">
      <c r="A671" s="129"/>
      <c r="B671" s="60"/>
      <c r="C671" s="55"/>
      <c r="D671" s="60"/>
      <c r="E671" s="103">
        <f>_xlfn.XLOOKUP(enrollment_table[[#This Row],[*Subject]], classes_table[*Subject], classes_table[Fee])</f>
        <v>0</v>
      </c>
      <c r="F671" s="58"/>
      <c r="G671" s="60"/>
      <c r="H671" s="55"/>
      <c r="I671" s="176">
        <f>_xlfn.XLOOKUP(enrollment_table[[#This Row],[*Teacher Name]], teachers_table[*Teacher Name], teachers_table[*Teacher ID])</f>
        <v>0</v>
      </c>
      <c r="J671" s="60"/>
      <c r="K671" s="60"/>
      <c r="L671" s="55"/>
      <c r="M671" s="60"/>
      <c r="N671" s="60"/>
      <c r="O671" s="55"/>
      <c r="P671" s="161"/>
      <c r="Q671" s="160" t="str">
        <f>IF(enrollment_table[[#This Row],[Enrollment Date]]="","",TEXT(enrollment_table[[#This Row],[Enrollment Date]],"mmmm"))</f>
        <v/>
      </c>
      <c r="R671" s="60"/>
    </row>
    <row r="672" spans="1:18" ht="15" x14ac:dyDescent="0.3">
      <c r="A672" s="129"/>
      <c r="B672" s="60"/>
      <c r="C672" s="55"/>
      <c r="D672" s="60"/>
      <c r="E672" s="103">
        <f>_xlfn.XLOOKUP(enrollment_table[[#This Row],[*Subject]], classes_table[*Subject], classes_table[Fee])</f>
        <v>0</v>
      </c>
      <c r="F672" s="58"/>
      <c r="G672" s="60"/>
      <c r="H672" s="55"/>
      <c r="I672" s="176">
        <f>_xlfn.XLOOKUP(enrollment_table[[#This Row],[*Teacher Name]], teachers_table[*Teacher Name], teachers_table[*Teacher ID])</f>
        <v>0</v>
      </c>
      <c r="J672" s="60"/>
      <c r="K672" s="60"/>
      <c r="L672" s="55"/>
      <c r="M672" s="60"/>
      <c r="N672" s="60"/>
      <c r="O672" s="55"/>
      <c r="P672" s="161"/>
      <c r="Q672" s="160" t="str">
        <f>IF(enrollment_table[[#This Row],[Enrollment Date]]="","",TEXT(enrollment_table[[#This Row],[Enrollment Date]],"mmmm"))</f>
        <v/>
      </c>
      <c r="R672" s="60"/>
    </row>
    <row r="673" spans="1:18" ht="15" x14ac:dyDescent="0.3">
      <c r="A673" s="129"/>
      <c r="B673" s="60"/>
      <c r="C673" s="55"/>
      <c r="D673" s="60"/>
      <c r="E673" s="103">
        <f>_xlfn.XLOOKUP(enrollment_table[[#This Row],[*Subject]], classes_table[*Subject], classes_table[Fee])</f>
        <v>0</v>
      </c>
      <c r="F673" s="58"/>
      <c r="G673" s="60"/>
      <c r="H673" s="55"/>
      <c r="I673" s="176">
        <f>_xlfn.XLOOKUP(enrollment_table[[#This Row],[*Teacher Name]], teachers_table[*Teacher Name], teachers_table[*Teacher ID])</f>
        <v>0</v>
      </c>
      <c r="J673" s="60"/>
      <c r="K673" s="60"/>
      <c r="L673" s="55"/>
      <c r="M673" s="60"/>
      <c r="N673" s="60"/>
      <c r="O673" s="55"/>
      <c r="P673" s="161"/>
      <c r="Q673" s="160" t="str">
        <f>IF(enrollment_table[[#This Row],[Enrollment Date]]="","",TEXT(enrollment_table[[#This Row],[Enrollment Date]],"mmmm"))</f>
        <v/>
      </c>
      <c r="R673" s="60"/>
    </row>
    <row r="674" spans="1:18" ht="15" x14ac:dyDescent="0.3">
      <c r="A674" s="129"/>
      <c r="B674" s="60"/>
      <c r="C674" s="55"/>
      <c r="D674" s="60"/>
      <c r="E674" s="103">
        <f>_xlfn.XLOOKUP(enrollment_table[[#This Row],[*Subject]], classes_table[*Subject], classes_table[Fee])</f>
        <v>0</v>
      </c>
      <c r="F674" s="58"/>
      <c r="G674" s="60"/>
      <c r="H674" s="55"/>
      <c r="I674" s="176">
        <f>_xlfn.XLOOKUP(enrollment_table[[#This Row],[*Teacher Name]], teachers_table[*Teacher Name], teachers_table[*Teacher ID])</f>
        <v>0</v>
      </c>
      <c r="J674" s="60"/>
      <c r="K674" s="60"/>
      <c r="L674" s="55"/>
      <c r="M674" s="60"/>
      <c r="N674" s="60"/>
      <c r="O674" s="55"/>
      <c r="P674" s="161"/>
      <c r="Q674" s="160" t="str">
        <f>IF(enrollment_table[[#This Row],[Enrollment Date]]="","",TEXT(enrollment_table[[#This Row],[Enrollment Date]],"mmmm"))</f>
        <v/>
      </c>
      <c r="R674" s="60"/>
    </row>
    <row r="675" spans="1:18" ht="15" x14ac:dyDescent="0.3">
      <c r="A675" s="129"/>
      <c r="B675" s="60"/>
      <c r="C675" s="55"/>
      <c r="D675" s="60"/>
      <c r="E675" s="103">
        <f>_xlfn.XLOOKUP(enrollment_table[[#This Row],[*Subject]], classes_table[*Subject], classes_table[Fee])</f>
        <v>0</v>
      </c>
      <c r="F675" s="58"/>
      <c r="G675" s="60"/>
      <c r="H675" s="55"/>
      <c r="I675" s="176">
        <f>_xlfn.XLOOKUP(enrollment_table[[#This Row],[*Teacher Name]], teachers_table[*Teacher Name], teachers_table[*Teacher ID])</f>
        <v>0</v>
      </c>
      <c r="J675" s="60"/>
      <c r="K675" s="60"/>
      <c r="L675" s="55"/>
      <c r="M675" s="60"/>
      <c r="N675" s="60"/>
      <c r="O675" s="55"/>
      <c r="P675" s="161"/>
      <c r="Q675" s="160" t="str">
        <f>IF(enrollment_table[[#This Row],[Enrollment Date]]="","",TEXT(enrollment_table[[#This Row],[Enrollment Date]],"mmmm"))</f>
        <v/>
      </c>
      <c r="R675" s="60"/>
    </row>
    <row r="676" spans="1:18" ht="15" x14ac:dyDescent="0.3">
      <c r="A676" s="129"/>
      <c r="B676" s="60"/>
      <c r="C676" s="55"/>
      <c r="D676" s="60"/>
      <c r="E676" s="103">
        <f>_xlfn.XLOOKUP(enrollment_table[[#This Row],[*Subject]], classes_table[*Subject], classes_table[Fee])</f>
        <v>0</v>
      </c>
      <c r="F676" s="58"/>
      <c r="G676" s="60"/>
      <c r="H676" s="55"/>
      <c r="I676" s="176">
        <f>_xlfn.XLOOKUP(enrollment_table[[#This Row],[*Teacher Name]], teachers_table[*Teacher Name], teachers_table[*Teacher ID])</f>
        <v>0</v>
      </c>
      <c r="J676" s="60"/>
      <c r="K676" s="60"/>
      <c r="L676" s="55"/>
      <c r="M676" s="60"/>
      <c r="N676" s="60"/>
      <c r="O676" s="55"/>
      <c r="P676" s="161"/>
      <c r="Q676" s="160" t="str">
        <f>IF(enrollment_table[[#This Row],[Enrollment Date]]="","",TEXT(enrollment_table[[#This Row],[Enrollment Date]],"mmmm"))</f>
        <v/>
      </c>
      <c r="R676" s="60"/>
    </row>
    <row r="677" spans="1:18" ht="15" x14ac:dyDescent="0.3">
      <c r="A677" s="129"/>
      <c r="B677" s="60"/>
      <c r="C677" s="55"/>
      <c r="D677" s="60"/>
      <c r="E677" s="103">
        <f>_xlfn.XLOOKUP(enrollment_table[[#This Row],[*Subject]], classes_table[*Subject], classes_table[Fee])</f>
        <v>0</v>
      </c>
      <c r="F677" s="58"/>
      <c r="G677" s="60"/>
      <c r="H677" s="55"/>
      <c r="I677" s="176">
        <f>_xlfn.XLOOKUP(enrollment_table[[#This Row],[*Teacher Name]], teachers_table[*Teacher Name], teachers_table[*Teacher ID])</f>
        <v>0</v>
      </c>
      <c r="J677" s="60"/>
      <c r="K677" s="60"/>
      <c r="L677" s="55"/>
      <c r="M677" s="60"/>
      <c r="N677" s="60"/>
      <c r="O677" s="55"/>
      <c r="P677" s="161"/>
      <c r="Q677" s="160" t="str">
        <f>IF(enrollment_table[[#This Row],[Enrollment Date]]="","",TEXT(enrollment_table[[#This Row],[Enrollment Date]],"mmmm"))</f>
        <v/>
      </c>
      <c r="R677" s="60"/>
    </row>
    <row r="678" spans="1:18" ht="15" x14ac:dyDescent="0.3">
      <c r="A678" s="129"/>
      <c r="B678" s="60"/>
      <c r="C678" s="55"/>
      <c r="D678" s="60"/>
      <c r="E678" s="103">
        <f>_xlfn.XLOOKUP(enrollment_table[[#This Row],[*Subject]], classes_table[*Subject], classes_table[Fee])</f>
        <v>0</v>
      </c>
      <c r="F678" s="58"/>
      <c r="G678" s="60"/>
      <c r="H678" s="55"/>
      <c r="I678" s="176">
        <f>_xlfn.XLOOKUP(enrollment_table[[#This Row],[*Teacher Name]], teachers_table[*Teacher Name], teachers_table[*Teacher ID])</f>
        <v>0</v>
      </c>
      <c r="J678" s="60"/>
      <c r="K678" s="60"/>
      <c r="L678" s="55"/>
      <c r="M678" s="60"/>
      <c r="N678" s="60"/>
      <c r="O678" s="55"/>
      <c r="P678" s="161"/>
      <c r="Q678" s="160" t="str">
        <f>IF(enrollment_table[[#This Row],[Enrollment Date]]="","",TEXT(enrollment_table[[#This Row],[Enrollment Date]],"mmmm"))</f>
        <v/>
      </c>
      <c r="R678" s="60"/>
    </row>
    <row r="679" spans="1:18" ht="15" x14ac:dyDescent="0.3">
      <c r="A679" s="129"/>
      <c r="B679" s="60"/>
      <c r="C679" s="55"/>
      <c r="D679" s="60"/>
      <c r="E679" s="103">
        <f>_xlfn.XLOOKUP(enrollment_table[[#This Row],[*Subject]], classes_table[*Subject], classes_table[Fee])</f>
        <v>0</v>
      </c>
      <c r="F679" s="58"/>
      <c r="G679" s="60"/>
      <c r="H679" s="55"/>
      <c r="I679" s="176">
        <f>_xlfn.XLOOKUP(enrollment_table[[#This Row],[*Teacher Name]], teachers_table[*Teacher Name], teachers_table[*Teacher ID])</f>
        <v>0</v>
      </c>
      <c r="J679" s="60"/>
      <c r="K679" s="60"/>
      <c r="L679" s="55"/>
      <c r="M679" s="60"/>
      <c r="N679" s="60"/>
      <c r="O679" s="55"/>
      <c r="P679" s="161"/>
      <c r="Q679" s="160" t="str">
        <f>IF(enrollment_table[[#This Row],[Enrollment Date]]="","",TEXT(enrollment_table[[#This Row],[Enrollment Date]],"mmmm"))</f>
        <v/>
      </c>
      <c r="R679" s="60"/>
    </row>
    <row r="680" spans="1:18" ht="15" x14ac:dyDescent="0.3">
      <c r="A680" s="129"/>
      <c r="B680" s="60"/>
      <c r="C680" s="55"/>
      <c r="D680" s="60"/>
      <c r="E680" s="103">
        <f>_xlfn.XLOOKUP(enrollment_table[[#This Row],[*Subject]], classes_table[*Subject], classes_table[Fee])</f>
        <v>0</v>
      </c>
      <c r="F680" s="58"/>
      <c r="G680" s="60"/>
      <c r="H680" s="55"/>
      <c r="I680" s="176">
        <f>_xlfn.XLOOKUP(enrollment_table[[#This Row],[*Teacher Name]], teachers_table[*Teacher Name], teachers_table[*Teacher ID])</f>
        <v>0</v>
      </c>
      <c r="J680" s="60"/>
      <c r="K680" s="60"/>
      <c r="L680" s="55"/>
      <c r="M680" s="60"/>
      <c r="N680" s="60"/>
      <c r="O680" s="55"/>
      <c r="P680" s="161"/>
      <c r="Q680" s="160" t="str">
        <f>IF(enrollment_table[[#This Row],[Enrollment Date]]="","",TEXT(enrollment_table[[#This Row],[Enrollment Date]],"mmmm"))</f>
        <v/>
      </c>
      <c r="R680" s="60"/>
    </row>
    <row r="681" spans="1:18" ht="15" x14ac:dyDescent="0.3">
      <c r="A681" s="129"/>
      <c r="B681" s="60"/>
      <c r="C681" s="55"/>
      <c r="D681" s="60"/>
      <c r="E681" s="103">
        <f>_xlfn.XLOOKUP(enrollment_table[[#This Row],[*Subject]], classes_table[*Subject], classes_table[Fee])</f>
        <v>0</v>
      </c>
      <c r="F681" s="58"/>
      <c r="G681" s="60"/>
      <c r="H681" s="55"/>
      <c r="I681" s="176">
        <f>_xlfn.XLOOKUP(enrollment_table[[#This Row],[*Teacher Name]], teachers_table[*Teacher Name], teachers_table[*Teacher ID])</f>
        <v>0</v>
      </c>
      <c r="J681" s="60"/>
      <c r="K681" s="60"/>
      <c r="L681" s="55"/>
      <c r="M681" s="60"/>
      <c r="N681" s="60"/>
      <c r="O681" s="55"/>
      <c r="P681" s="161"/>
      <c r="Q681" s="160" t="str">
        <f>IF(enrollment_table[[#This Row],[Enrollment Date]]="","",TEXT(enrollment_table[[#This Row],[Enrollment Date]],"mmmm"))</f>
        <v/>
      </c>
      <c r="R681" s="60"/>
    </row>
    <row r="682" spans="1:18" ht="15" x14ac:dyDescent="0.3">
      <c r="A682" s="129"/>
      <c r="B682" s="60"/>
      <c r="C682" s="55"/>
      <c r="D682" s="60"/>
      <c r="E682" s="103">
        <f>_xlfn.XLOOKUP(enrollment_table[[#This Row],[*Subject]], classes_table[*Subject], classes_table[Fee])</f>
        <v>0</v>
      </c>
      <c r="F682" s="58"/>
      <c r="G682" s="60"/>
      <c r="H682" s="55"/>
      <c r="I682" s="176">
        <f>_xlfn.XLOOKUP(enrollment_table[[#This Row],[*Teacher Name]], teachers_table[*Teacher Name], teachers_table[*Teacher ID])</f>
        <v>0</v>
      </c>
      <c r="J682" s="60"/>
      <c r="K682" s="60"/>
      <c r="L682" s="55"/>
      <c r="M682" s="60"/>
      <c r="N682" s="60"/>
      <c r="O682" s="55"/>
      <c r="P682" s="161"/>
      <c r="Q682" s="160" t="str">
        <f>IF(enrollment_table[[#This Row],[Enrollment Date]]="","",TEXT(enrollment_table[[#This Row],[Enrollment Date]],"mmmm"))</f>
        <v/>
      </c>
      <c r="R682" s="60"/>
    </row>
    <row r="683" spans="1:18" ht="15" x14ac:dyDescent="0.3">
      <c r="A683" s="129"/>
      <c r="B683" s="60"/>
      <c r="C683" s="55"/>
      <c r="D683" s="60"/>
      <c r="E683" s="103">
        <f>_xlfn.XLOOKUP(enrollment_table[[#This Row],[*Subject]], classes_table[*Subject], classes_table[Fee])</f>
        <v>0</v>
      </c>
      <c r="F683" s="58"/>
      <c r="G683" s="60"/>
      <c r="H683" s="55"/>
      <c r="I683" s="176">
        <f>_xlfn.XLOOKUP(enrollment_table[[#This Row],[*Teacher Name]], teachers_table[*Teacher Name], teachers_table[*Teacher ID])</f>
        <v>0</v>
      </c>
      <c r="J683" s="60"/>
      <c r="K683" s="60"/>
      <c r="L683" s="55"/>
      <c r="M683" s="60"/>
      <c r="N683" s="60"/>
      <c r="O683" s="55"/>
      <c r="P683" s="161"/>
      <c r="Q683" s="160" t="str">
        <f>IF(enrollment_table[[#This Row],[Enrollment Date]]="","",TEXT(enrollment_table[[#This Row],[Enrollment Date]],"mmmm"))</f>
        <v/>
      </c>
      <c r="R683" s="60"/>
    </row>
    <row r="684" spans="1:18" ht="15" x14ac:dyDescent="0.3">
      <c r="A684" s="129"/>
      <c r="B684" s="60"/>
      <c r="C684" s="55"/>
      <c r="D684" s="60"/>
      <c r="E684" s="103">
        <f>_xlfn.XLOOKUP(enrollment_table[[#This Row],[*Subject]], classes_table[*Subject], classes_table[Fee])</f>
        <v>0</v>
      </c>
      <c r="F684" s="58"/>
      <c r="G684" s="60"/>
      <c r="H684" s="55"/>
      <c r="I684" s="176">
        <f>_xlfn.XLOOKUP(enrollment_table[[#This Row],[*Teacher Name]], teachers_table[*Teacher Name], teachers_table[*Teacher ID])</f>
        <v>0</v>
      </c>
      <c r="J684" s="60"/>
      <c r="K684" s="60"/>
      <c r="L684" s="55"/>
      <c r="M684" s="60"/>
      <c r="N684" s="60"/>
      <c r="O684" s="55"/>
      <c r="P684" s="161"/>
      <c r="Q684" s="160" t="str">
        <f>IF(enrollment_table[[#This Row],[Enrollment Date]]="","",TEXT(enrollment_table[[#This Row],[Enrollment Date]],"mmmm"))</f>
        <v/>
      </c>
      <c r="R684" s="60"/>
    </row>
    <row r="685" spans="1:18" ht="15" x14ac:dyDescent="0.3">
      <c r="A685" s="129"/>
      <c r="B685" s="60"/>
      <c r="C685" s="55"/>
      <c r="D685" s="60"/>
      <c r="E685" s="103">
        <f>_xlfn.XLOOKUP(enrollment_table[[#This Row],[*Subject]], classes_table[*Subject], classes_table[Fee])</f>
        <v>0</v>
      </c>
      <c r="F685" s="58"/>
      <c r="G685" s="60"/>
      <c r="H685" s="55"/>
      <c r="I685" s="176">
        <f>_xlfn.XLOOKUP(enrollment_table[[#This Row],[*Teacher Name]], teachers_table[*Teacher Name], teachers_table[*Teacher ID])</f>
        <v>0</v>
      </c>
      <c r="J685" s="60"/>
      <c r="K685" s="60"/>
      <c r="L685" s="55"/>
      <c r="M685" s="60"/>
      <c r="N685" s="60"/>
      <c r="O685" s="55"/>
      <c r="P685" s="161"/>
      <c r="Q685" s="160" t="str">
        <f>IF(enrollment_table[[#This Row],[Enrollment Date]]="","",TEXT(enrollment_table[[#This Row],[Enrollment Date]],"mmmm"))</f>
        <v/>
      </c>
      <c r="R685" s="60"/>
    </row>
    <row r="686" spans="1:18" ht="15" x14ac:dyDescent="0.3">
      <c r="A686" s="129"/>
      <c r="B686" s="60"/>
      <c r="C686" s="55"/>
      <c r="D686" s="60"/>
      <c r="E686" s="103">
        <f>_xlfn.XLOOKUP(enrollment_table[[#This Row],[*Subject]], classes_table[*Subject], classes_table[Fee])</f>
        <v>0</v>
      </c>
      <c r="F686" s="58"/>
      <c r="G686" s="60"/>
      <c r="H686" s="55"/>
      <c r="I686" s="176">
        <f>_xlfn.XLOOKUP(enrollment_table[[#This Row],[*Teacher Name]], teachers_table[*Teacher Name], teachers_table[*Teacher ID])</f>
        <v>0</v>
      </c>
      <c r="J686" s="60"/>
      <c r="K686" s="60"/>
      <c r="L686" s="55"/>
      <c r="M686" s="60"/>
      <c r="N686" s="60"/>
      <c r="O686" s="55"/>
      <c r="P686" s="161"/>
      <c r="Q686" s="160" t="str">
        <f>IF(enrollment_table[[#This Row],[Enrollment Date]]="","",TEXT(enrollment_table[[#This Row],[Enrollment Date]],"mmmm"))</f>
        <v/>
      </c>
      <c r="R686" s="60"/>
    </row>
    <row r="687" spans="1:18" ht="15" x14ac:dyDescent="0.3">
      <c r="A687" s="129"/>
      <c r="B687" s="60"/>
      <c r="C687" s="55"/>
      <c r="D687" s="60"/>
      <c r="E687" s="103">
        <f>_xlfn.XLOOKUP(enrollment_table[[#This Row],[*Subject]], classes_table[*Subject], classes_table[Fee])</f>
        <v>0</v>
      </c>
      <c r="F687" s="58"/>
      <c r="G687" s="60"/>
      <c r="H687" s="55"/>
      <c r="I687" s="176">
        <f>_xlfn.XLOOKUP(enrollment_table[[#This Row],[*Teacher Name]], teachers_table[*Teacher Name], teachers_table[*Teacher ID])</f>
        <v>0</v>
      </c>
      <c r="J687" s="60"/>
      <c r="K687" s="60"/>
      <c r="L687" s="55"/>
      <c r="M687" s="60"/>
      <c r="N687" s="60"/>
      <c r="O687" s="55"/>
      <c r="P687" s="161"/>
      <c r="Q687" s="160" t="str">
        <f>IF(enrollment_table[[#This Row],[Enrollment Date]]="","",TEXT(enrollment_table[[#This Row],[Enrollment Date]],"mmmm"))</f>
        <v/>
      </c>
      <c r="R687" s="60"/>
    </row>
    <row r="688" spans="1:18" ht="15" x14ac:dyDescent="0.3">
      <c r="A688" s="129"/>
      <c r="B688" s="60"/>
      <c r="C688" s="55"/>
      <c r="D688" s="60"/>
      <c r="E688" s="103">
        <f>_xlfn.XLOOKUP(enrollment_table[[#This Row],[*Subject]], classes_table[*Subject], classes_table[Fee])</f>
        <v>0</v>
      </c>
      <c r="F688" s="58"/>
      <c r="G688" s="60"/>
      <c r="H688" s="55"/>
      <c r="I688" s="176">
        <f>_xlfn.XLOOKUP(enrollment_table[[#This Row],[*Teacher Name]], teachers_table[*Teacher Name], teachers_table[*Teacher ID])</f>
        <v>0</v>
      </c>
      <c r="J688" s="60"/>
      <c r="K688" s="60"/>
      <c r="L688" s="55"/>
      <c r="M688" s="60"/>
      <c r="N688" s="60"/>
      <c r="O688" s="55"/>
      <c r="P688" s="161"/>
      <c r="Q688" s="160" t="str">
        <f>IF(enrollment_table[[#This Row],[Enrollment Date]]="","",TEXT(enrollment_table[[#This Row],[Enrollment Date]],"mmmm"))</f>
        <v/>
      </c>
      <c r="R688" s="60"/>
    </row>
    <row r="689" spans="1:18" ht="15" x14ac:dyDescent="0.3">
      <c r="A689" s="129"/>
      <c r="B689" s="60"/>
      <c r="C689" s="55"/>
      <c r="D689" s="60"/>
      <c r="E689" s="103">
        <f>_xlfn.XLOOKUP(enrollment_table[[#This Row],[*Subject]], classes_table[*Subject], classes_table[Fee])</f>
        <v>0</v>
      </c>
      <c r="F689" s="58"/>
      <c r="G689" s="60"/>
      <c r="H689" s="55"/>
      <c r="I689" s="176">
        <f>_xlfn.XLOOKUP(enrollment_table[[#This Row],[*Teacher Name]], teachers_table[*Teacher Name], teachers_table[*Teacher ID])</f>
        <v>0</v>
      </c>
      <c r="J689" s="60"/>
      <c r="K689" s="60"/>
      <c r="L689" s="55"/>
      <c r="M689" s="60"/>
      <c r="N689" s="60"/>
      <c r="O689" s="55"/>
      <c r="P689" s="161"/>
      <c r="Q689" s="160" t="str">
        <f>IF(enrollment_table[[#This Row],[Enrollment Date]]="","",TEXT(enrollment_table[[#This Row],[Enrollment Date]],"mmmm"))</f>
        <v/>
      </c>
      <c r="R689" s="60"/>
    </row>
    <row r="690" spans="1:18" ht="15" x14ac:dyDescent="0.3">
      <c r="A690" s="129"/>
      <c r="B690" s="60"/>
      <c r="C690" s="55"/>
      <c r="D690" s="60"/>
      <c r="E690" s="103">
        <f>_xlfn.XLOOKUP(enrollment_table[[#This Row],[*Subject]], classes_table[*Subject], classes_table[Fee])</f>
        <v>0</v>
      </c>
      <c r="F690" s="58"/>
      <c r="G690" s="60"/>
      <c r="H690" s="55"/>
      <c r="I690" s="176">
        <f>_xlfn.XLOOKUP(enrollment_table[[#This Row],[*Teacher Name]], teachers_table[*Teacher Name], teachers_table[*Teacher ID])</f>
        <v>0</v>
      </c>
      <c r="J690" s="60"/>
      <c r="K690" s="60"/>
      <c r="L690" s="55"/>
      <c r="M690" s="60"/>
      <c r="N690" s="60"/>
      <c r="O690" s="55"/>
      <c r="P690" s="161"/>
      <c r="Q690" s="160" t="str">
        <f>IF(enrollment_table[[#This Row],[Enrollment Date]]="","",TEXT(enrollment_table[[#This Row],[Enrollment Date]],"mmmm"))</f>
        <v/>
      </c>
      <c r="R690" s="60"/>
    </row>
    <row r="691" spans="1:18" ht="15" x14ac:dyDescent="0.3">
      <c r="A691" s="129"/>
      <c r="B691" s="60"/>
      <c r="C691" s="55"/>
      <c r="D691" s="60"/>
      <c r="E691" s="103">
        <f>_xlfn.XLOOKUP(enrollment_table[[#This Row],[*Subject]], classes_table[*Subject], classes_table[Fee])</f>
        <v>0</v>
      </c>
      <c r="F691" s="58"/>
      <c r="G691" s="60"/>
      <c r="H691" s="55"/>
      <c r="I691" s="176">
        <f>_xlfn.XLOOKUP(enrollment_table[[#This Row],[*Teacher Name]], teachers_table[*Teacher Name], teachers_table[*Teacher ID])</f>
        <v>0</v>
      </c>
      <c r="J691" s="60"/>
      <c r="K691" s="60"/>
      <c r="L691" s="55"/>
      <c r="M691" s="60"/>
      <c r="N691" s="60"/>
      <c r="O691" s="55"/>
      <c r="P691" s="161"/>
      <c r="Q691" s="160" t="str">
        <f>IF(enrollment_table[[#This Row],[Enrollment Date]]="","",TEXT(enrollment_table[[#This Row],[Enrollment Date]],"mmmm"))</f>
        <v/>
      </c>
      <c r="R691" s="60"/>
    </row>
    <row r="692" spans="1:18" ht="15" x14ac:dyDescent="0.3">
      <c r="A692" s="129"/>
      <c r="B692" s="60"/>
      <c r="C692" s="55"/>
      <c r="D692" s="60"/>
      <c r="E692" s="103">
        <f>_xlfn.XLOOKUP(enrollment_table[[#This Row],[*Subject]], classes_table[*Subject], classes_table[Fee])</f>
        <v>0</v>
      </c>
      <c r="F692" s="58"/>
      <c r="G692" s="60"/>
      <c r="H692" s="55"/>
      <c r="I692" s="176">
        <f>_xlfn.XLOOKUP(enrollment_table[[#This Row],[*Teacher Name]], teachers_table[*Teacher Name], teachers_table[*Teacher ID])</f>
        <v>0</v>
      </c>
      <c r="J692" s="60"/>
      <c r="K692" s="60"/>
      <c r="L692" s="55"/>
      <c r="M692" s="60"/>
      <c r="N692" s="60"/>
      <c r="O692" s="55"/>
      <c r="P692" s="161"/>
      <c r="Q692" s="160" t="str">
        <f>IF(enrollment_table[[#This Row],[Enrollment Date]]="","",TEXT(enrollment_table[[#This Row],[Enrollment Date]],"mmmm"))</f>
        <v/>
      </c>
      <c r="R692" s="60"/>
    </row>
    <row r="693" spans="1:18" ht="15" x14ac:dyDescent="0.3">
      <c r="A693" s="129"/>
      <c r="B693" s="60"/>
      <c r="C693" s="55"/>
      <c r="D693" s="60"/>
      <c r="E693" s="103">
        <f>_xlfn.XLOOKUP(enrollment_table[[#This Row],[*Subject]], classes_table[*Subject], classes_table[Fee])</f>
        <v>0</v>
      </c>
      <c r="F693" s="58"/>
      <c r="G693" s="60"/>
      <c r="H693" s="55"/>
      <c r="I693" s="176">
        <f>_xlfn.XLOOKUP(enrollment_table[[#This Row],[*Teacher Name]], teachers_table[*Teacher Name], teachers_table[*Teacher ID])</f>
        <v>0</v>
      </c>
      <c r="J693" s="60"/>
      <c r="K693" s="60"/>
      <c r="L693" s="55"/>
      <c r="M693" s="60"/>
      <c r="N693" s="60"/>
      <c r="O693" s="55"/>
      <c r="P693" s="161"/>
      <c r="Q693" s="160" t="str">
        <f>IF(enrollment_table[[#This Row],[Enrollment Date]]="","",TEXT(enrollment_table[[#This Row],[Enrollment Date]],"mmmm"))</f>
        <v/>
      </c>
      <c r="R693" s="60"/>
    </row>
    <row r="694" spans="1:18" ht="15" x14ac:dyDescent="0.3">
      <c r="A694" s="129"/>
      <c r="B694" s="60"/>
      <c r="C694" s="55"/>
      <c r="D694" s="60"/>
      <c r="E694" s="103">
        <f>_xlfn.XLOOKUP(enrollment_table[[#This Row],[*Subject]], classes_table[*Subject], classes_table[Fee])</f>
        <v>0</v>
      </c>
      <c r="F694" s="58"/>
      <c r="G694" s="60"/>
      <c r="H694" s="55"/>
      <c r="I694" s="176">
        <f>_xlfn.XLOOKUP(enrollment_table[[#This Row],[*Teacher Name]], teachers_table[*Teacher Name], teachers_table[*Teacher ID])</f>
        <v>0</v>
      </c>
      <c r="J694" s="60"/>
      <c r="K694" s="60"/>
      <c r="L694" s="55"/>
      <c r="M694" s="60"/>
      <c r="N694" s="60"/>
      <c r="O694" s="55"/>
      <c r="P694" s="161"/>
      <c r="Q694" s="160" t="str">
        <f>IF(enrollment_table[[#This Row],[Enrollment Date]]="","",TEXT(enrollment_table[[#This Row],[Enrollment Date]],"mmmm"))</f>
        <v/>
      </c>
      <c r="R694" s="60"/>
    </row>
    <row r="695" spans="1:18" ht="15" x14ac:dyDescent="0.3">
      <c r="A695" s="129"/>
      <c r="B695" s="60"/>
      <c r="C695" s="55"/>
      <c r="D695" s="60"/>
      <c r="E695" s="103">
        <f>_xlfn.XLOOKUP(enrollment_table[[#This Row],[*Subject]], classes_table[*Subject], classes_table[Fee])</f>
        <v>0</v>
      </c>
      <c r="F695" s="58"/>
      <c r="G695" s="60"/>
      <c r="H695" s="55"/>
      <c r="I695" s="176">
        <f>_xlfn.XLOOKUP(enrollment_table[[#This Row],[*Teacher Name]], teachers_table[*Teacher Name], teachers_table[*Teacher ID])</f>
        <v>0</v>
      </c>
      <c r="J695" s="60"/>
      <c r="K695" s="60"/>
      <c r="L695" s="55"/>
      <c r="M695" s="60"/>
      <c r="N695" s="60"/>
      <c r="O695" s="55"/>
      <c r="P695" s="161"/>
      <c r="Q695" s="160" t="str">
        <f>IF(enrollment_table[[#This Row],[Enrollment Date]]="","",TEXT(enrollment_table[[#This Row],[Enrollment Date]],"mmmm"))</f>
        <v/>
      </c>
      <c r="R695" s="60"/>
    </row>
    <row r="696" spans="1:18" ht="15" x14ac:dyDescent="0.3">
      <c r="A696" s="129"/>
      <c r="B696" s="60"/>
      <c r="C696" s="55"/>
      <c r="D696" s="60"/>
      <c r="E696" s="103">
        <f>_xlfn.XLOOKUP(enrollment_table[[#This Row],[*Subject]], classes_table[*Subject], classes_table[Fee])</f>
        <v>0</v>
      </c>
      <c r="F696" s="58"/>
      <c r="G696" s="60"/>
      <c r="H696" s="55"/>
      <c r="I696" s="176">
        <f>_xlfn.XLOOKUP(enrollment_table[[#This Row],[*Teacher Name]], teachers_table[*Teacher Name], teachers_table[*Teacher ID])</f>
        <v>0</v>
      </c>
      <c r="J696" s="60"/>
      <c r="K696" s="60"/>
      <c r="L696" s="55"/>
      <c r="M696" s="60"/>
      <c r="N696" s="60"/>
      <c r="O696" s="55"/>
      <c r="P696" s="161"/>
      <c r="Q696" s="160" t="str">
        <f>IF(enrollment_table[[#This Row],[Enrollment Date]]="","",TEXT(enrollment_table[[#This Row],[Enrollment Date]],"mmmm"))</f>
        <v/>
      </c>
      <c r="R696" s="60"/>
    </row>
    <row r="697" spans="1:18" ht="15" x14ac:dyDescent="0.3">
      <c r="A697" s="129"/>
      <c r="B697" s="60"/>
      <c r="C697" s="55"/>
      <c r="D697" s="60"/>
      <c r="E697" s="103">
        <f>_xlfn.XLOOKUP(enrollment_table[[#This Row],[*Subject]], classes_table[*Subject], classes_table[Fee])</f>
        <v>0</v>
      </c>
      <c r="F697" s="58"/>
      <c r="G697" s="60"/>
      <c r="H697" s="55"/>
      <c r="I697" s="176">
        <f>_xlfn.XLOOKUP(enrollment_table[[#This Row],[*Teacher Name]], teachers_table[*Teacher Name], teachers_table[*Teacher ID])</f>
        <v>0</v>
      </c>
      <c r="J697" s="60"/>
      <c r="K697" s="60"/>
      <c r="L697" s="55"/>
      <c r="M697" s="60"/>
      <c r="N697" s="60"/>
      <c r="O697" s="55"/>
      <c r="P697" s="161"/>
      <c r="Q697" s="160" t="str">
        <f>IF(enrollment_table[[#This Row],[Enrollment Date]]="","",TEXT(enrollment_table[[#This Row],[Enrollment Date]],"mmmm"))</f>
        <v/>
      </c>
      <c r="R697" s="60"/>
    </row>
    <row r="698" spans="1:18" ht="15" x14ac:dyDescent="0.3">
      <c r="A698" s="129"/>
      <c r="B698" s="60"/>
      <c r="C698" s="55"/>
      <c r="D698" s="60"/>
      <c r="E698" s="103">
        <f>_xlfn.XLOOKUP(enrollment_table[[#This Row],[*Subject]], classes_table[*Subject], classes_table[Fee])</f>
        <v>0</v>
      </c>
      <c r="F698" s="58"/>
      <c r="G698" s="60"/>
      <c r="H698" s="55"/>
      <c r="I698" s="176">
        <f>_xlfn.XLOOKUP(enrollment_table[[#This Row],[*Teacher Name]], teachers_table[*Teacher Name], teachers_table[*Teacher ID])</f>
        <v>0</v>
      </c>
      <c r="J698" s="60"/>
      <c r="K698" s="60"/>
      <c r="L698" s="55"/>
      <c r="M698" s="60"/>
      <c r="N698" s="60"/>
      <c r="O698" s="55"/>
      <c r="P698" s="161"/>
      <c r="Q698" s="160" t="str">
        <f>IF(enrollment_table[[#This Row],[Enrollment Date]]="","",TEXT(enrollment_table[[#This Row],[Enrollment Date]],"mmmm"))</f>
        <v/>
      </c>
      <c r="R698" s="60"/>
    </row>
    <row r="699" spans="1:18" ht="15" x14ac:dyDescent="0.3">
      <c r="A699" s="129"/>
      <c r="B699" s="60"/>
      <c r="C699" s="55"/>
      <c r="D699" s="60"/>
      <c r="E699" s="103">
        <f>_xlfn.XLOOKUP(enrollment_table[[#This Row],[*Subject]], classes_table[*Subject], classes_table[Fee])</f>
        <v>0</v>
      </c>
      <c r="F699" s="58"/>
      <c r="G699" s="60"/>
      <c r="H699" s="55"/>
      <c r="I699" s="176">
        <f>_xlfn.XLOOKUP(enrollment_table[[#This Row],[*Teacher Name]], teachers_table[*Teacher Name], teachers_table[*Teacher ID])</f>
        <v>0</v>
      </c>
      <c r="J699" s="60"/>
      <c r="K699" s="60"/>
      <c r="L699" s="55"/>
      <c r="M699" s="60"/>
      <c r="N699" s="60"/>
      <c r="O699" s="55"/>
      <c r="P699" s="161"/>
      <c r="Q699" s="160" t="str">
        <f>IF(enrollment_table[[#This Row],[Enrollment Date]]="","",TEXT(enrollment_table[[#This Row],[Enrollment Date]],"mmmm"))</f>
        <v/>
      </c>
      <c r="R699" s="60"/>
    </row>
    <row r="700" spans="1:18" ht="15" x14ac:dyDescent="0.3">
      <c r="A700" s="129"/>
      <c r="B700" s="60"/>
      <c r="C700" s="55"/>
      <c r="D700" s="60"/>
      <c r="E700" s="103">
        <f>_xlfn.XLOOKUP(enrollment_table[[#This Row],[*Subject]], classes_table[*Subject], classes_table[Fee])</f>
        <v>0</v>
      </c>
      <c r="F700" s="58"/>
      <c r="G700" s="60"/>
      <c r="H700" s="55"/>
      <c r="I700" s="176">
        <f>_xlfn.XLOOKUP(enrollment_table[[#This Row],[*Teacher Name]], teachers_table[*Teacher Name], teachers_table[*Teacher ID])</f>
        <v>0</v>
      </c>
      <c r="J700" s="60"/>
      <c r="K700" s="60"/>
      <c r="L700" s="55"/>
      <c r="M700" s="60"/>
      <c r="N700" s="60"/>
      <c r="O700" s="55"/>
      <c r="P700" s="161"/>
      <c r="Q700" s="160" t="str">
        <f>IF(enrollment_table[[#This Row],[Enrollment Date]]="","",TEXT(enrollment_table[[#This Row],[Enrollment Date]],"mmmm"))</f>
        <v/>
      </c>
      <c r="R700" s="60"/>
    </row>
    <row r="701" spans="1:18" ht="15" x14ac:dyDescent="0.3">
      <c r="A701" s="129"/>
      <c r="B701" s="60"/>
      <c r="C701" s="55"/>
      <c r="D701" s="60"/>
      <c r="E701" s="103">
        <f>_xlfn.XLOOKUP(enrollment_table[[#This Row],[*Subject]], classes_table[*Subject], classes_table[Fee])</f>
        <v>0</v>
      </c>
      <c r="F701" s="58"/>
      <c r="G701" s="60"/>
      <c r="H701" s="55"/>
      <c r="I701" s="176">
        <f>_xlfn.XLOOKUP(enrollment_table[[#This Row],[*Teacher Name]], teachers_table[*Teacher Name], teachers_table[*Teacher ID])</f>
        <v>0</v>
      </c>
      <c r="J701" s="60"/>
      <c r="K701" s="60"/>
      <c r="L701" s="55"/>
      <c r="M701" s="60"/>
      <c r="N701" s="60"/>
      <c r="O701" s="55"/>
      <c r="P701" s="161"/>
      <c r="Q701" s="160" t="str">
        <f>IF(enrollment_table[[#This Row],[Enrollment Date]]="","",TEXT(enrollment_table[[#This Row],[Enrollment Date]],"mmmm"))</f>
        <v/>
      </c>
      <c r="R701" s="60"/>
    </row>
    <row r="702" spans="1:18" ht="15" x14ac:dyDescent="0.3">
      <c r="A702" s="129"/>
      <c r="B702" s="60"/>
      <c r="C702" s="55"/>
      <c r="D702" s="60"/>
      <c r="E702" s="103">
        <f>_xlfn.XLOOKUP(enrollment_table[[#This Row],[*Subject]], classes_table[*Subject], classes_table[Fee])</f>
        <v>0</v>
      </c>
      <c r="F702" s="58"/>
      <c r="G702" s="60"/>
      <c r="H702" s="55"/>
      <c r="I702" s="176">
        <f>_xlfn.XLOOKUP(enrollment_table[[#This Row],[*Teacher Name]], teachers_table[*Teacher Name], teachers_table[*Teacher ID])</f>
        <v>0</v>
      </c>
      <c r="J702" s="60"/>
      <c r="K702" s="60"/>
      <c r="L702" s="55"/>
      <c r="M702" s="60"/>
      <c r="N702" s="60"/>
      <c r="O702" s="55"/>
      <c r="P702" s="161"/>
      <c r="Q702" s="160" t="str">
        <f>IF(enrollment_table[[#This Row],[Enrollment Date]]="","",TEXT(enrollment_table[[#This Row],[Enrollment Date]],"mmmm"))</f>
        <v/>
      </c>
      <c r="R702" s="60"/>
    </row>
    <row r="703" spans="1:18" ht="15" x14ac:dyDescent="0.3">
      <c r="A703" s="129"/>
      <c r="B703" s="60"/>
      <c r="C703" s="55"/>
      <c r="D703" s="60"/>
      <c r="E703" s="103">
        <f>_xlfn.XLOOKUP(enrollment_table[[#This Row],[*Subject]], classes_table[*Subject], classes_table[Fee])</f>
        <v>0</v>
      </c>
      <c r="F703" s="58"/>
      <c r="G703" s="60"/>
      <c r="H703" s="55"/>
      <c r="I703" s="176">
        <f>_xlfn.XLOOKUP(enrollment_table[[#This Row],[*Teacher Name]], teachers_table[*Teacher Name], teachers_table[*Teacher ID])</f>
        <v>0</v>
      </c>
      <c r="J703" s="60"/>
      <c r="K703" s="60"/>
      <c r="L703" s="55"/>
      <c r="M703" s="60"/>
      <c r="N703" s="60"/>
      <c r="O703" s="55"/>
      <c r="P703" s="161"/>
      <c r="Q703" s="160" t="str">
        <f>IF(enrollment_table[[#This Row],[Enrollment Date]]="","",TEXT(enrollment_table[[#This Row],[Enrollment Date]],"mmmm"))</f>
        <v/>
      </c>
      <c r="R703" s="60"/>
    </row>
    <row r="704" spans="1:18" ht="15" x14ac:dyDescent="0.3">
      <c r="A704" s="129"/>
      <c r="B704" s="60"/>
      <c r="C704" s="55"/>
      <c r="D704" s="60"/>
      <c r="E704" s="103">
        <f>_xlfn.XLOOKUP(enrollment_table[[#This Row],[*Subject]], classes_table[*Subject], classes_table[Fee])</f>
        <v>0</v>
      </c>
      <c r="F704" s="58"/>
      <c r="G704" s="60"/>
      <c r="H704" s="55"/>
      <c r="I704" s="176">
        <f>_xlfn.XLOOKUP(enrollment_table[[#This Row],[*Teacher Name]], teachers_table[*Teacher Name], teachers_table[*Teacher ID])</f>
        <v>0</v>
      </c>
      <c r="J704" s="60"/>
      <c r="K704" s="60"/>
      <c r="L704" s="55"/>
      <c r="M704" s="60"/>
      <c r="N704" s="60"/>
      <c r="O704" s="55"/>
      <c r="P704" s="161"/>
      <c r="Q704" s="160" t="str">
        <f>IF(enrollment_table[[#This Row],[Enrollment Date]]="","",TEXT(enrollment_table[[#This Row],[Enrollment Date]],"mmmm"))</f>
        <v/>
      </c>
      <c r="R704" s="60"/>
    </row>
    <row r="705" spans="1:18" ht="15" x14ac:dyDescent="0.3">
      <c r="A705" s="129"/>
      <c r="B705" s="60"/>
      <c r="C705" s="55"/>
      <c r="D705" s="60"/>
      <c r="E705" s="103">
        <f>_xlfn.XLOOKUP(enrollment_table[[#This Row],[*Subject]], classes_table[*Subject], classes_table[Fee])</f>
        <v>0</v>
      </c>
      <c r="F705" s="58"/>
      <c r="G705" s="60"/>
      <c r="H705" s="55"/>
      <c r="I705" s="176">
        <f>_xlfn.XLOOKUP(enrollment_table[[#This Row],[*Teacher Name]], teachers_table[*Teacher Name], teachers_table[*Teacher ID])</f>
        <v>0</v>
      </c>
      <c r="J705" s="60"/>
      <c r="K705" s="60"/>
      <c r="L705" s="55"/>
      <c r="M705" s="60"/>
      <c r="N705" s="60"/>
      <c r="O705" s="55"/>
      <c r="P705" s="161"/>
      <c r="Q705" s="160" t="str">
        <f>IF(enrollment_table[[#This Row],[Enrollment Date]]="","",TEXT(enrollment_table[[#This Row],[Enrollment Date]],"mmmm"))</f>
        <v/>
      </c>
      <c r="R705" s="60"/>
    </row>
    <row r="706" spans="1:18" ht="15" x14ac:dyDescent="0.3">
      <c r="A706" s="129"/>
      <c r="B706" s="60"/>
      <c r="C706" s="55"/>
      <c r="D706" s="60"/>
      <c r="E706" s="103">
        <f>_xlfn.XLOOKUP(enrollment_table[[#This Row],[*Subject]], classes_table[*Subject], classes_table[Fee])</f>
        <v>0</v>
      </c>
      <c r="F706" s="58"/>
      <c r="G706" s="60"/>
      <c r="H706" s="55"/>
      <c r="I706" s="176">
        <f>_xlfn.XLOOKUP(enrollment_table[[#This Row],[*Teacher Name]], teachers_table[*Teacher Name], teachers_table[*Teacher ID])</f>
        <v>0</v>
      </c>
      <c r="J706" s="60"/>
      <c r="K706" s="60"/>
      <c r="L706" s="55"/>
      <c r="M706" s="60"/>
      <c r="N706" s="60"/>
      <c r="O706" s="55"/>
      <c r="P706" s="161"/>
      <c r="Q706" s="160" t="str">
        <f>IF(enrollment_table[[#This Row],[Enrollment Date]]="","",TEXT(enrollment_table[[#This Row],[Enrollment Date]],"mmmm"))</f>
        <v/>
      </c>
      <c r="R706" s="60"/>
    </row>
    <row r="707" spans="1:18" ht="15" x14ac:dyDescent="0.3">
      <c r="A707" s="129"/>
      <c r="B707" s="60"/>
      <c r="C707" s="55"/>
      <c r="D707" s="60"/>
      <c r="E707" s="103">
        <f>_xlfn.XLOOKUP(enrollment_table[[#This Row],[*Subject]], classes_table[*Subject], classes_table[Fee])</f>
        <v>0</v>
      </c>
      <c r="F707" s="58"/>
      <c r="G707" s="60"/>
      <c r="H707" s="55"/>
      <c r="I707" s="176">
        <f>_xlfn.XLOOKUP(enrollment_table[[#This Row],[*Teacher Name]], teachers_table[*Teacher Name], teachers_table[*Teacher ID])</f>
        <v>0</v>
      </c>
      <c r="J707" s="60"/>
      <c r="K707" s="60"/>
      <c r="L707" s="55"/>
      <c r="M707" s="60"/>
      <c r="N707" s="60"/>
      <c r="O707" s="55"/>
      <c r="P707" s="161"/>
      <c r="Q707" s="160" t="str">
        <f>IF(enrollment_table[[#This Row],[Enrollment Date]]="","",TEXT(enrollment_table[[#This Row],[Enrollment Date]],"mmmm"))</f>
        <v/>
      </c>
      <c r="R707" s="60"/>
    </row>
    <row r="708" spans="1:18" ht="15" x14ac:dyDescent="0.3">
      <c r="A708" s="129"/>
      <c r="B708" s="60"/>
      <c r="C708" s="55"/>
      <c r="D708" s="60"/>
      <c r="E708" s="103">
        <f>_xlfn.XLOOKUP(enrollment_table[[#This Row],[*Subject]], classes_table[*Subject], classes_table[Fee])</f>
        <v>0</v>
      </c>
      <c r="F708" s="58"/>
      <c r="G708" s="60"/>
      <c r="H708" s="55"/>
      <c r="I708" s="176">
        <f>_xlfn.XLOOKUP(enrollment_table[[#This Row],[*Teacher Name]], teachers_table[*Teacher Name], teachers_table[*Teacher ID])</f>
        <v>0</v>
      </c>
      <c r="J708" s="60"/>
      <c r="K708" s="60"/>
      <c r="L708" s="55"/>
      <c r="M708" s="60"/>
      <c r="N708" s="60"/>
      <c r="O708" s="55"/>
      <c r="P708" s="161"/>
      <c r="Q708" s="160" t="str">
        <f>IF(enrollment_table[[#This Row],[Enrollment Date]]="","",TEXT(enrollment_table[[#This Row],[Enrollment Date]],"mmmm"))</f>
        <v/>
      </c>
      <c r="R708" s="60"/>
    </row>
    <row r="709" spans="1:18" ht="15" x14ac:dyDescent="0.3">
      <c r="A709" s="129"/>
      <c r="B709" s="60"/>
      <c r="C709" s="55"/>
      <c r="D709" s="60"/>
      <c r="E709" s="103">
        <f>_xlfn.XLOOKUP(enrollment_table[[#This Row],[*Subject]], classes_table[*Subject], classes_table[Fee])</f>
        <v>0</v>
      </c>
      <c r="F709" s="58"/>
      <c r="G709" s="60"/>
      <c r="H709" s="55"/>
      <c r="I709" s="176">
        <f>_xlfn.XLOOKUP(enrollment_table[[#This Row],[*Teacher Name]], teachers_table[*Teacher Name], teachers_table[*Teacher ID])</f>
        <v>0</v>
      </c>
      <c r="J709" s="60"/>
      <c r="K709" s="60"/>
      <c r="L709" s="55"/>
      <c r="M709" s="60"/>
      <c r="N709" s="60"/>
      <c r="O709" s="55"/>
      <c r="P709" s="161"/>
      <c r="Q709" s="160" t="str">
        <f>IF(enrollment_table[[#This Row],[Enrollment Date]]="","",TEXT(enrollment_table[[#This Row],[Enrollment Date]],"mmmm"))</f>
        <v/>
      </c>
      <c r="R709" s="60"/>
    </row>
    <row r="710" spans="1:18" ht="15" x14ac:dyDescent="0.3">
      <c r="A710" s="129"/>
      <c r="B710" s="60"/>
      <c r="C710" s="55"/>
      <c r="D710" s="60"/>
      <c r="E710" s="103">
        <f>_xlfn.XLOOKUP(enrollment_table[[#This Row],[*Subject]], classes_table[*Subject], classes_table[Fee])</f>
        <v>0</v>
      </c>
      <c r="F710" s="58"/>
      <c r="G710" s="60"/>
      <c r="H710" s="55"/>
      <c r="I710" s="176">
        <f>_xlfn.XLOOKUP(enrollment_table[[#This Row],[*Teacher Name]], teachers_table[*Teacher Name], teachers_table[*Teacher ID])</f>
        <v>0</v>
      </c>
      <c r="J710" s="60"/>
      <c r="K710" s="60"/>
      <c r="L710" s="55"/>
      <c r="M710" s="60"/>
      <c r="N710" s="60"/>
      <c r="O710" s="55"/>
      <c r="P710" s="161"/>
      <c r="Q710" s="160" t="str">
        <f>IF(enrollment_table[[#This Row],[Enrollment Date]]="","",TEXT(enrollment_table[[#This Row],[Enrollment Date]],"mmmm"))</f>
        <v/>
      </c>
      <c r="R710" s="60"/>
    </row>
    <row r="711" spans="1:18" ht="15" x14ac:dyDescent="0.3">
      <c r="A711" s="129"/>
      <c r="B711" s="60"/>
      <c r="C711" s="55"/>
      <c r="D711" s="60"/>
      <c r="E711" s="103">
        <f>_xlfn.XLOOKUP(enrollment_table[[#This Row],[*Subject]], classes_table[*Subject], classes_table[Fee])</f>
        <v>0</v>
      </c>
      <c r="F711" s="58"/>
      <c r="G711" s="60"/>
      <c r="H711" s="55"/>
      <c r="I711" s="176">
        <f>_xlfn.XLOOKUP(enrollment_table[[#This Row],[*Teacher Name]], teachers_table[*Teacher Name], teachers_table[*Teacher ID])</f>
        <v>0</v>
      </c>
      <c r="J711" s="60"/>
      <c r="K711" s="60"/>
      <c r="L711" s="55"/>
      <c r="M711" s="60"/>
      <c r="N711" s="60"/>
      <c r="O711" s="55"/>
      <c r="P711" s="161"/>
      <c r="Q711" s="160" t="str">
        <f>IF(enrollment_table[[#This Row],[Enrollment Date]]="","",TEXT(enrollment_table[[#This Row],[Enrollment Date]],"mmmm"))</f>
        <v/>
      </c>
      <c r="R711" s="60"/>
    </row>
    <row r="712" spans="1:18" ht="15" x14ac:dyDescent="0.3">
      <c r="A712" s="129"/>
      <c r="B712" s="60"/>
      <c r="C712" s="55"/>
      <c r="D712" s="60"/>
      <c r="E712" s="103">
        <f>_xlfn.XLOOKUP(enrollment_table[[#This Row],[*Subject]], classes_table[*Subject], classes_table[Fee])</f>
        <v>0</v>
      </c>
      <c r="F712" s="58"/>
      <c r="G712" s="60"/>
      <c r="H712" s="55"/>
      <c r="I712" s="176">
        <f>_xlfn.XLOOKUP(enrollment_table[[#This Row],[*Teacher Name]], teachers_table[*Teacher Name], teachers_table[*Teacher ID])</f>
        <v>0</v>
      </c>
      <c r="J712" s="60"/>
      <c r="K712" s="60"/>
      <c r="L712" s="55"/>
      <c r="M712" s="60"/>
      <c r="N712" s="60"/>
      <c r="O712" s="55"/>
      <c r="P712" s="161"/>
      <c r="Q712" s="160" t="str">
        <f>IF(enrollment_table[[#This Row],[Enrollment Date]]="","",TEXT(enrollment_table[[#This Row],[Enrollment Date]],"mmmm"))</f>
        <v/>
      </c>
      <c r="R712" s="60"/>
    </row>
    <row r="713" spans="1:18" ht="15" x14ac:dyDescent="0.3">
      <c r="A713" s="129"/>
      <c r="B713" s="60"/>
      <c r="C713" s="55"/>
      <c r="D713" s="60"/>
      <c r="E713" s="103">
        <f>_xlfn.XLOOKUP(enrollment_table[[#This Row],[*Subject]], classes_table[*Subject], classes_table[Fee])</f>
        <v>0</v>
      </c>
      <c r="F713" s="58"/>
      <c r="G713" s="60"/>
      <c r="H713" s="55"/>
      <c r="I713" s="176">
        <f>_xlfn.XLOOKUP(enrollment_table[[#This Row],[*Teacher Name]], teachers_table[*Teacher Name], teachers_table[*Teacher ID])</f>
        <v>0</v>
      </c>
      <c r="J713" s="60"/>
      <c r="K713" s="60"/>
      <c r="L713" s="55"/>
      <c r="M713" s="60"/>
      <c r="N713" s="60"/>
      <c r="O713" s="55"/>
      <c r="P713" s="161"/>
      <c r="Q713" s="160" t="str">
        <f>IF(enrollment_table[[#This Row],[Enrollment Date]]="","",TEXT(enrollment_table[[#This Row],[Enrollment Date]],"mmmm"))</f>
        <v/>
      </c>
      <c r="R713" s="60"/>
    </row>
    <row r="714" spans="1:18" ht="15" x14ac:dyDescent="0.3">
      <c r="A714" s="129"/>
      <c r="B714" s="60"/>
      <c r="C714" s="55"/>
      <c r="D714" s="60"/>
      <c r="E714" s="103">
        <f>_xlfn.XLOOKUP(enrollment_table[[#This Row],[*Subject]], classes_table[*Subject], classes_table[Fee])</f>
        <v>0</v>
      </c>
      <c r="F714" s="58"/>
      <c r="G714" s="60"/>
      <c r="H714" s="55"/>
      <c r="I714" s="176">
        <f>_xlfn.XLOOKUP(enrollment_table[[#This Row],[*Teacher Name]], teachers_table[*Teacher Name], teachers_table[*Teacher ID])</f>
        <v>0</v>
      </c>
      <c r="J714" s="60"/>
      <c r="K714" s="60"/>
      <c r="L714" s="55"/>
      <c r="M714" s="60"/>
      <c r="N714" s="60"/>
      <c r="O714" s="55"/>
      <c r="P714" s="161"/>
      <c r="Q714" s="160" t="str">
        <f>IF(enrollment_table[[#This Row],[Enrollment Date]]="","",TEXT(enrollment_table[[#This Row],[Enrollment Date]],"mmmm"))</f>
        <v/>
      </c>
      <c r="R714" s="60"/>
    </row>
    <row r="715" spans="1:18" ht="15" x14ac:dyDescent="0.3">
      <c r="A715" s="129"/>
      <c r="B715" s="60"/>
      <c r="C715" s="55"/>
      <c r="D715" s="60"/>
      <c r="E715" s="103">
        <f>_xlfn.XLOOKUP(enrollment_table[[#This Row],[*Subject]], classes_table[*Subject], classes_table[Fee])</f>
        <v>0</v>
      </c>
      <c r="F715" s="58"/>
      <c r="G715" s="60"/>
      <c r="H715" s="55"/>
      <c r="I715" s="176">
        <f>_xlfn.XLOOKUP(enrollment_table[[#This Row],[*Teacher Name]], teachers_table[*Teacher Name], teachers_table[*Teacher ID])</f>
        <v>0</v>
      </c>
      <c r="J715" s="60"/>
      <c r="K715" s="60"/>
      <c r="L715" s="55"/>
      <c r="M715" s="60"/>
      <c r="N715" s="60"/>
      <c r="O715" s="55"/>
      <c r="P715" s="161"/>
      <c r="Q715" s="160" t="str">
        <f>IF(enrollment_table[[#This Row],[Enrollment Date]]="","",TEXT(enrollment_table[[#This Row],[Enrollment Date]],"mmmm"))</f>
        <v/>
      </c>
      <c r="R715" s="60"/>
    </row>
    <row r="716" spans="1:18" ht="15" x14ac:dyDescent="0.3">
      <c r="A716" s="129"/>
      <c r="B716" s="60"/>
      <c r="C716" s="55"/>
      <c r="D716" s="60"/>
      <c r="E716" s="103">
        <f>_xlfn.XLOOKUP(enrollment_table[[#This Row],[*Subject]], classes_table[*Subject], classes_table[Fee])</f>
        <v>0</v>
      </c>
      <c r="F716" s="58"/>
      <c r="G716" s="60"/>
      <c r="H716" s="55"/>
      <c r="I716" s="176">
        <f>_xlfn.XLOOKUP(enrollment_table[[#This Row],[*Teacher Name]], teachers_table[*Teacher Name], teachers_table[*Teacher ID])</f>
        <v>0</v>
      </c>
      <c r="J716" s="60"/>
      <c r="K716" s="60"/>
      <c r="L716" s="55"/>
      <c r="M716" s="60"/>
      <c r="N716" s="60"/>
      <c r="O716" s="55"/>
      <c r="P716" s="161"/>
      <c r="Q716" s="160" t="str">
        <f>IF(enrollment_table[[#This Row],[Enrollment Date]]="","",TEXT(enrollment_table[[#This Row],[Enrollment Date]],"mmmm"))</f>
        <v/>
      </c>
      <c r="R716" s="60"/>
    </row>
    <row r="717" spans="1:18" ht="15" x14ac:dyDescent="0.3">
      <c r="A717" s="129"/>
      <c r="B717" s="60"/>
      <c r="C717" s="55"/>
      <c r="D717" s="60"/>
      <c r="E717" s="103">
        <f>_xlfn.XLOOKUP(enrollment_table[[#This Row],[*Subject]], classes_table[*Subject], classes_table[Fee])</f>
        <v>0</v>
      </c>
      <c r="F717" s="58"/>
      <c r="G717" s="60"/>
      <c r="H717" s="55"/>
      <c r="I717" s="176">
        <f>_xlfn.XLOOKUP(enrollment_table[[#This Row],[*Teacher Name]], teachers_table[*Teacher Name], teachers_table[*Teacher ID])</f>
        <v>0</v>
      </c>
      <c r="J717" s="60"/>
      <c r="K717" s="60"/>
      <c r="L717" s="55"/>
      <c r="M717" s="60"/>
      <c r="N717" s="60"/>
      <c r="O717" s="55"/>
      <c r="P717" s="161"/>
      <c r="Q717" s="160" t="str">
        <f>IF(enrollment_table[[#This Row],[Enrollment Date]]="","",TEXT(enrollment_table[[#This Row],[Enrollment Date]],"mmmm"))</f>
        <v/>
      </c>
      <c r="R717" s="60"/>
    </row>
    <row r="718" spans="1:18" ht="15" x14ac:dyDescent="0.3">
      <c r="A718" s="129"/>
      <c r="B718" s="60"/>
      <c r="C718" s="55"/>
      <c r="D718" s="60"/>
      <c r="E718" s="103">
        <f>_xlfn.XLOOKUP(enrollment_table[[#This Row],[*Subject]], classes_table[*Subject], classes_table[Fee])</f>
        <v>0</v>
      </c>
      <c r="F718" s="58"/>
      <c r="G718" s="60"/>
      <c r="H718" s="55"/>
      <c r="I718" s="176">
        <f>_xlfn.XLOOKUP(enrollment_table[[#This Row],[*Teacher Name]], teachers_table[*Teacher Name], teachers_table[*Teacher ID])</f>
        <v>0</v>
      </c>
      <c r="J718" s="60"/>
      <c r="K718" s="60"/>
      <c r="L718" s="55"/>
      <c r="M718" s="60"/>
      <c r="N718" s="60"/>
      <c r="O718" s="55"/>
      <c r="P718" s="161"/>
      <c r="Q718" s="160" t="str">
        <f>IF(enrollment_table[[#This Row],[Enrollment Date]]="","",TEXT(enrollment_table[[#This Row],[Enrollment Date]],"mmmm"))</f>
        <v/>
      </c>
      <c r="R718" s="60"/>
    </row>
    <row r="719" spans="1:18" ht="15" x14ac:dyDescent="0.3">
      <c r="A719" s="129"/>
      <c r="B719" s="60"/>
      <c r="C719" s="55"/>
      <c r="D719" s="60"/>
      <c r="E719" s="103">
        <f>_xlfn.XLOOKUP(enrollment_table[[#This Row],[*Subject]], classes_table[*Subject], classes_table[Fee])</f>
        <v>0</v>
      </c>
      <c r="F719" s="58"/>
      <c r="G719" s="60"/>
      <c r="H719" s="55"/>
      <c r="I719" s="176">
        <f>_xlfn.XLOOKUP(enrollment_table[[#This Row],[*Teacher Name]], teachers_table[*Teacher Name], teachers_table[*Teacher ID])</f>
        <v>0</v>
      </c>
      <c r="J719" s="60"/>
      <c r="K719" s="60"/>
      <c r="L719" s="55"/>
      <c r="M719" s="60"/>
      <c r="N719" s="60"/>
      <c r="O719" s="55"/>
      <c r="P719" s="161"/>
      <c r="Q719" s="160" t="str">
        <f>IF(enrollment_table[[#This Row],[Enrollment Date]]="","",TEXT(enrollment_table[[#This Row],[Enrollment Date]],"mmmm"))</f>
        <v/>
      </c>
      <c r="R719" s="60"/>
    </row>
    <row r="720" spans="1:18" ht="15" x14ac:dyDescent="0.3">
      <c r="A720" s="129"/>
      <c r="B720" s="60"/>
      <c r="C720" s="55"/>
      <c r="D720" s="60"/>
      <c r="E720" s="103">
        <f>_xlfn.XLOOKUP(enrollment_table[[#This Row],[*Subject]], classes_table[*Subject], classes_table[Fee])</f>
        <v>0</v>
      </c>
      <c r="F720" s="58"/>
      <c r="G720" s="60"/>
      <c r="H720" s="55"/>
      <c r="I720" s="176">
        <f>_xlfn.XLOOKUP(enrollment_table[[#This Row],[*Teacher Name]], teachers_table[*Teacher Name], teachers_table[*Teacher ID])</f>
        <v>0</v>
      </c>
      <c r="J720" s="60"/>
      <c r="K720" s="60"/>
      <c r="L720" s="55"/>
      <c r="M720" s="60"/>
      <c r="N720" s="60"/>
      <c r="O720" s="55"/>
      <c r="P720" s="161"/>
      <c r="Q720" s="160" t="str">
        <f>IF(enrollment_table[[#This Row],[Enrollment Date]]="","",TEXT(enrollment_table[[#This Row],[Enrollment Date]],"mmmm"))</f>
        <v/>
      </c>
      <c r="R720" s="60"/>
    </row>
    <row r="721" spans="1:18" ht="15" x14ac:dyDescent="0.3">
      <c r="A721" s="129"/>
      <c r="B721" s="60"/>
      <c r="C721" s="55"/>
      <c r="D721" s="60"/>
      <c r="E721" s="103">
        <f>_xlfn.XLOOKUP(enrollment_table[[#This Row],[*Subject]], classes_table[*Subject], classes_table[Fee])</f>
        <v>0</v>
      </c>
      <c r="F721" s="58"/>
      <c r="G721" s="60"/>
      <c r="H721" s="55"/>
      <c r="I721" s="176">
        <f>_xlfn.XLOOKUP(enrollment_table[[#This Row],[*Teacher Name]], teachers_table[*Teacher Name], teachers_table[*Teacher ID])</f>
        <v>0</v>
      </c>
      <c r="J721" s="60"/>
      <c r="K721" s="60"/>
      <c r="L721" s="55"/>
      <c r="M721" s="60"/>
      <c r="N721" s="60"/>
      <c r="O721" s="55"/>
      <c r="P721" s="161"/>
      <c r="Q721" s="160" t="str">
        <f>IF(enrollment_table[[#This Row],[Enrollment Date]]="","",TEXT(enrollment_table[[#This Row],[Enrollment Date]],"mmmm"))</f>
        <v/>
      </c>
      <c r="R721" s="60"/>
    </row>
    <row r="722" spans="1:18" ht="15" x14ac:dyDescent="0.3">
      <c r="A722" s="129"/>
      <c r="B722" s="60"/>
      <c r="C722" s="55"/>
      <c r="D722" s="60"/>
      <c r="E722" s="103">
        <f>_xlfn.XLOOKUP(enrollment_table[[#This Row],[*Subject]], classes_table[*Subject], classes_table[Fee])</f>
        <v>0</v>
      </c>
      <c r="F722" s="58"/>
      <c r="G722" s="60"/>
      <c r="H722" s="55"/>
      <c r="I722" s="176">
        <f>_xlfn.XLOOKUP(enrollment_table[[#This Row],[*Teacher Name]], teachers_table[*Teacher Name], teachers_table[*Teacher ID])</f>
        <v>0</v>
      </c>
      <c r="J722" s="60"/>
      <c r="K722" s="60"/>
      <c r="L722" s="55"/>
      <c r="M722" s="60"/>
      <c r="N722" s="60"/>
      <c r="O722" s="55"/>
      <c r="P722" s="161"/>
      <c r="Q722" s="160" t="str">
        <f>IF(enrollment_table[[#This Row],[Enrollment Date]]="","",TEXT(enrollment_table[[#This Row],[Enrollment Date]],"mmmm"))</f>
        <v/>
      </c>
      <c r="R722" s="60"/>
    </row>
    <row r="723" spans="1:18" ht="15" x14ac:dyDescent="0.3">
      <c r="A723" s="129"/>
      <c r="B723" s="60"/>
      <c r="C723" s="55"/>
      <c r="D723" s="60"/>
      <c r="E723" s="103">
        <f>_xlfn.XLOOKUP(enrollment_table[[#This Row],[*Subject]], classes_table[*Subject], classes_table[Fee])</f>
        <v>0</v>
      </c>
      <c r="F723" s="58"/>
      <c r="G723" s="60"/>
      <c r="H723" s="55"/>
      <c r="I723" s="176">
        <f>_xlfn.XLOOKUP(enrollment_table[[#This Row],[*Teacher Name]], teachers_table[*Teacher Name], teachers_table[*Teacher ID])</f>
        <v>0</v>
      </c>
      <c r="J723" s="60"/>
      <c r="K723" s="60"/>
      <c r="L723" s="55"/>
      <c r="M723" s="60"/>
      <c r="N723" s="60"/>
      <c r="O723" s="55"/>
      <c r="P723" s="161"/>
      <c r="Q723" s="160" t="str">
        <f>IF(enrollment_table[[#This Row],[Enrollment Date]]="","",TEXT(enrollment_table[[#This Row],[Enrollment Date]],"mmmm"))</f>
        <v/>
      </c>
      <c r="R723" s="60"/>
    </row>
    <row r="724" spans="1:18" ht="15" x14ac:dyDescent="0.3">
      <c r="A724" s="129"/>
      <c r="B724" s="60"/>
      <c r="C724" s="55"/>
      <c r="D724" s="60"/>
      <c r="E724" s="103">
        <f>_xlfn.XLOOKUP(enrollment_table[[#This Row],[*Subject]], classes_table[*Subject], classes_table[Fee])</f>
        <v>0</v>
      </c>
      <c r="F724" s="58"/>
      <c r="G724" s="60"/>
      <c r="H724" s="55"/>
      <c r="I724" s="176">
        <f>_xlfn.XLOOKUP(enrollment_table[[#This Row],[*Teacher Name]], teachers_table[*Teacher Name], teachers_table[*Teacher ID])</f>
        <v>0</v>
      </c>
      <c r="J724" s="60"/>
      <c r="K724" s="60"/>
      <c r="L724" s="55"/>
      <c r="M724" s="60"/>
      <c r="N724" s="60"/>
      <c r="O724" s="55"/>
      <c r="P724" s="161"/>
      <c r="Q724" s="160" t="str">
        <f>IF(enrollment_table[[#This Row],[Enrollment Date]]="","",TEXT(enrollment_table[[#This Row],[Enrollment Date]],"mmmm"))</f>
        <v/>
      </c>
      <c r="R724" s="60"/>
    </row>
    <row r="725" spans="1:18" ht="15" x14ac:dyDescent="0.3">
      <c r="A725" s="129"/>
      <c r="B725" s="60"/>
      <c r="C725" s="55"/>
      <c r="D725" s="60"/>
      <c r="E725" s="103">
        <f>_xlfn.XLOOKUP(enrollment_table[[#This Row],[*Subject]], classes_table[*Subject], classes_table[Fee])</f>
        <v>0</v>
      </c>
      <c r="F725" s="58"/>
      <c r="G725" s="60"/>
      <c r="H725" s="55"/>
      <c r="I725" s="176">
        <f>_xlfn.XLOOKUP(enrollment_table[[#This Row],[*Teacher Name]], teachers_table[*Teacher Name], teachers_table[*Teacher ID])</f>
        <v>0</v>
      </c>
      <c r="J725" s="60"/>
      <c r="K725" s="60"/>
      <c r="L725" s="55"/>
      <c r="M725" s="60"/>
      <c r="N725" s="60"/>
      <c r="O725" s="55"/>
      <c r="P725" s="161"/>
      <c r="Q725" s="160" t="str">
        <f>IF(enrollment_table[[#This Row],[Enrollment Date]]="","",TEXT(enrollment_table[[#This Row],[Enrollment Date]],"mmmm"))</f>
        <v/>
      </c>
      <c r="R725" s="60"/>
    </row>
    <row r="726" spans="1:18" ht="15" x14ac:dyDescent="0.3">
      <c r="A726" s="129"/>
      <c r="B726" s="60"/>
      <c r="C726" s="55"/>
      <c r="D726" s="60"/>
      <c r="E726" s="103">
        <f>_xlfn.XLOOKUP(enrollment_table[[#This Row],[*Subject]], classes_table[*Subject], classes_table[Fee])</f>
        <v>0</v>
      </c>
      <c r="F726" s="58"/>
      <c r="G726" s="60"/>
      <c r="H726" s="55"/>
      <c r="I726" s="176">
        <f>_xlfn.XLOOKUP(enrollment_table[[#This Row],[*Teacher Name]], teachers_table[*Teacher Name], teachers_table[*Teacher ID])</f>
        <v>0</v>
      </c>
      <c r="J726" s="60"/>
      <c r="K726" s="60"/>
      <c r="L726" s="55"/>
      <c r="M726" s="60"/>
      <c r="N726" s="60"/>
      <c r="O726" s="55"/>
      <c r="P726" s="161"/>
      <c r="Q726" s="160" t="str">
        <f>IF(enrollment_table[[#This Row],[Enrollment Date]]="","",TEXT(enrollment_table[[#This Row],[Enrollment Date]],"mmmm"))</f>
        <v/>
      </c>
      <c r="R726" s="60"/>
    </row>
    <row r="727" spans="1:18" ht="15" x14ac:dyDescent="0.3">
      <c r="A727" s="129"/>
      <c r="B727" s="60"/>
      <c r="C727" s="55"/>
      <c r="D727" s="60"/>
      <c r="E727" s="103">
        <f>_xlfn.XLOOKUP(enrollment_table[[#This Row],[*Subject]], classes_table[*Subject], classes_table[Fee])</f>
        <v>0</v>
      </c>
      <c r="F727" s="58"/>
      <c r="G727" s="60"/>
      <c r="H727" s="55"/>
      <c r="I727" s="176">
        <f>_xlfn.XLOOKUP(enrollment_table[[#This Row],[*Teacher Name]], teachers_table[*Teacher Name], teachers_table[*Teacher ID])</f>
        <v>0</v>
      </c>
      <c r="J727" s="60"/>
      <c r="K727" s="60"/>
      <c r="L727" s="55"/>
      <c r="M727" s="60"/>
      <c r="N727" s="60"/>
      <c r="O727" s="55"/>
      <c r="P727" s="161"/>
      <c r="Q727" s="160" t="str">
        <f>IF(enrollment_table[[#This Row],[Enrollment Date]]="","",TEXT(enrollment_table[[#This Row],[Enrollment Date]],"mmmm"))</f>
        <v/>
      </c>
      <c r="R727" s="60"/>
    </row>
    <row r="728" spans="1:18" ht="15" x14ac:dyDescent="0.3">
      <c r="A728" s="129"/>
      <c r="B728" s="60"/>
      <c r="C728" s="55"/>
      <c r="D728" s="60"/>
      <c r="E728" s="103">
        <f>_xlfn.XLOOKUP(enrollment_table[[#This Row],[*Subject]], classes_table[*Subject], classes_table[Fee])</f>
        <v>0</v>
      </c>
      <c r="F728" s="58"/>
      <c r="G728" s="60"/>
      <c r="H728" s="55"/>
      <c r="I728" s="176">
        <f>_xlfn.XLOOKUP(enrollment_table[[#This Row],[*Teacher Name]], teachers_table[*Teacher Name], teachers_table[*Teacher ID])</f>
        <v>0</v>
      </c>
      <c r="J728" s="60"/>
      <c r="K728" s="60"/>
      <c r="L728" s="55"/>
      <c r="M728" s="60"/>
      <c r="N728" s="60"/>
      <c r="O728" s="55"/>
      <c r="P728" s="161"/>
      <c r="Q728" s="160" t="str">
        <f>IF(enrollment_table[[#This Row],[Enrollment Date]]="","",TEXT(enrollment_table[[#This Row],[Enrollment Date]],"mmmm"))</f>
        <v/>
      </c>
      <c r="R728" s="60"/>
    </row>
    <row r="729" spans="1:18" ht="15" x14ac:dyDescent="0.3">
      <c r="A729" s="129"/>
      <c r="B729" s="60"/>
      <c r="C729" s="55"/>
      <c r="D729" s="60"/>
      <c r="E729" s="103">
        <f>_xlfn.XLOOKUP(enrollment_table[[#This Row],[*Subject]], classes_table[*Subject], classes_table[Fee])</f>
        <v>0</v>
      </c>
      <c r="F729" s="58"/>
      <c r="G729" s="60"/>
      <c r="H729" s="55"/>
      <c r="I729" s="176">
        <f>_xlfn.XLOOKUP(enrollment_table[[#This Row],[*Teacher Name]], teachers_table[*Teacher Name], teachers_table[*Teacher ID])</f>
        <v>0</v>
      </c>
      <c r="J729" s="60"/>
      <c r="K729" s="60"/>
      <c r="L729" s="55"/>
      <c r="M729" s="60"/>
      <c r="N729" s="60"/>
      <c r="O729" s="55"/>
      <c r="P729" s="161"/>
      <c r="Q729" s="160" t="str">
        <f>IF(enrollment_table[[#This Row],[Enrollment Date]]="","",TEXT(enrollment_table[[#This Row],[Enrollment Date]],"mmmm"))</f>
        <v/>
      </c>
      <c r="R729" s="60"/>
    </row>
    <row r="730" spans="1:18" ht="15" x14ac:dyDescent="0.3">
      <c r="A730" s="129"/>
      <c r="B730" s="60"/>
      <c r="C730" s="55"/>
      <c r="D730" s="60"/>
      <c r="E730" s="103">
        <f>_xlfn.XLOOKUP(enrollment_table[[#This Row],[*Subject]], classes_table[*Subject], classes_table[Fee])</f>
        <v>0</v>
      </c>
      <c r="F730" s="58"/>
      <c r="G730" s="60"/>
      <c r="H730" s="55"/>
      <c r="I730" s="176">
        <f>_xlfn.XLOOKUP(enrollment_table[[#This Row],[*Teacher Name]], teachers_table[*Teacher Name], teachers_table[*Teacher ID])</f>
        <v>0</v>
      </c>
      <c r="J730" s="60"/>
      <c r="K730" s="60"/>
      <c r="L730" s="55"/>
      <c r="M730" s="60"/>
      <c r="N730" s="60"/>
      <c r="O730" s="55"/>
      <c r="P730" s="161"/>
      <c r="Q730" s="160" t="str">
        <f>IF(enrollment_table[[#This Row],[Enrollment Date]]="","",TEXT(enrollment_table[[#This Row],[Enrollment Date]],"mmmm"))</f>
        <v/>
      </c>
      <c r="R730" s="60"/>
    </row>
    <row r="731" spans="1:18" ht="15" x14ac:dyDescent="0.3">
      <c r="A731" s="129"/>
      <c r="B731" s="60"/>
      <c r="C731" s="55"/>
      <c r="D731" s="60"/>
      <c r="E731" s="103">
        <f>_xlfn.XLOOKUP(enrollment_table[[#This Row],[*Subject]], classes_table[*Subject], classes_table[Fee])</f>
        <v>0</v>
      </c>
      <c r="F731" s="58"/>
      <c r="G731" s="60"/>
      <c r="H731" s="55"/>
      <c r="I731" s="176">
        <f>_xlfn.XLOOKUP(enrollment_table[[#This Row],[*Teacher Name]], teachers_table[*Teacher Name], teachers_table[*Teacher ID])</f>
        <v>0</v>
      </c>
      <c r="J731" s="60"/>
      <c r="K731" s="60"/>
      <c r="L731" s="55"/>
      <c r="M731" s="60"/>
      <c r="N731" s="60"/>
      <c r="O731" s="55"/>
      <c r="P731" s="161"/>
      <c r="Q731" s="160" t="str">
        <f>IF(enrollment_table[[#This Row],[Enrollment Date]]="","",TEXT(enrollment_table[[#This Row],[Enrollment Date]],"mmmm"))</f>
        <v/>
      </c>
      <c r="R731" s="60"/>
    </row>
    <row r="732" spans="1:18" ht="15" x14ac:dyDescent="0.3">
      <c r="A732" s="129"/>
      <c r="B732" s="60"/>
      <c r="C732" s="55"/>
      <c r="D732" s="60"/>
      <c r="E732" s="103">
        <f>_xlfn.XLOOKUP(enrollment_table[[#This Row],[*Subject]], classes_table[*Subject], classes_table[Fee])</f>
        <v>0</v>
      </c>
      <c r="F732" s="58"/>
      <c r="G732" s="60"/>
      <c r="H732" s="55"/>
      <c r="I732" s="176">
        <f>_xlfn.XLOOKUP(enrollment_table[[#This Row],[*Teacher Name]], teachers_table[*Teacher Name], teachers_table[*Teacher ID])</f>
        <v>0</v>
      </c>
      <c r="J732" s="60"/>
      <c r="K732" s="60"/>
      <c r="L732" s="55"/>
      <c r="M732" s="60"/>
      <c r="N732" s="60"/>
      <c r="O732" s="55"/>
      <c r="P732" s="161"/>
      <c r="Q732" s="160" t="str">
        <f>IF(enrollment_table[[#This Row],[Enrollment Date]]="","",TEXT(enrollment_table[[#This Row],[Enrollment Date]],"mmmm"))</f>
        <v/>
      </c>
      <c r="R732" s="60"/>
    </row>
    <row r="733" spans="1:18" ht="15" x14ac:dyDescent="0.3">
      <c r="A733" s="129"/>
      <c r="B733" s="60"/>
      <c r="C733" s="55"/>
      <c r="D733" s="60"/>
      <c r="E733" s="103">
        <f>_xlfn.XLOOKUP(enrollment_table[[#This Row],[*Subject]], classes_table[*Subject], classes_table[Fee])</f>
        <v>0</v>
      </c>
      <c r="F733" s="58"/>
      <c r="G733" s="60"/>
      <c r="H733" s="55"/>
      <c r="I733" s="176">
        <f>_xlfn.XLOOKUP(enrollment_table[[#This Row],[*Teacher Name]], teachers_table[*Teacher Name], teachers_table[*Teacher ID])</f>
        <v>0</v>
      </c>
      <c r="J733" s="60"/>
      <c r="K733" s="60"/>
      <c r="L733" s="55"/>
      <c r="M733" s="60"/>
      <c r="N733" s="60"/>
      <c r="O733" s="55"/>
      <c r="P733" s="161"/>
      <c r="Q733" s="160" t="str">
        <f>IF(enrollment_table[[#This Row],[Enrollment Date]]="","",TEXT(enrollment_table[[#This Row],[Enrollment Date]],"mmmm"))</f>
        <v/>
      </c>
      <c r="R733" s="60"/>
    </row>
    <row r="734" spans="1:18" ht="15" x14ac:dyDescent="0.3">
      <c r="A734" s="129"/>
      <c r="B734" s="60"/>
      <c r="C734" s="55"/>
      <c r="D734" s="60"/>
      <c r="E734" s="103">
        <f>_xlfn.XLOOKUP(enrollment_table[[#This Row],[*Subject]], classes_table[*Subject], classes_table[Fee])</f>
        <v>0</v>
      </c>
      <c r="F734" s="58"/>
      <c r="G734" s="60"/>
      <c r="H734" s="55"/>
      <c r="I734" s="176">
        <f>_xlfn.XLOOKUP(enrollment_table[[#This Row],[*Teacher Name]], teachers_table[*Teacher Name], teachers_table[*Teacher ID])</f>
        <v>0</v>
      </c>
      <c r="J734" s="60"/>
      <c r="K734" s="60"/>
      <c r="L734" s="55"/>
      <c r="M734" s="60"/>
      <c r="N734" s="60"/>
      <c r="O734" s="55"/>
      <c r="P734" s="161"/>
      <c r="Q734" s="160" t="str">
        <f>IF(enrollment_table[[#This Row],[Enrollment Date]]="","",TEXT(enrollment_table[[#This Row],[Enrollment Date]],"mmmm"))</f>
        <v/>
      </c>
      <c r="R734" s="60"/>
    </row>
    <row r="735" spans="1:18" ht="15" x14ac:dyDescent="0.3">
      <c r="A735" s="129"/>
      <c r="B735" s="60"/>
      <c r="C735" s="55"/>
      <c r="D735" s="60"/>
      <c r="E735" s="103">
        <f>_xlfn.XLOOKUP(enrollment_table[[#This Row],[*Subject]], classes_table[*Subject], classes_table[Fee])</f>
        <v>0</v>
      </c>
      <c r="F735" s="58"/>
      <c r="G735" s="60"/>
      <c r="H735" s="55"/>
      <c r="I735" s="176">
        <f>_xlfn.XLOOKUP(enrollment_table[[#This Row],[*Teacher Name]], teachers_table[*Teacher Name], teachers_table[*Teacher ID])</f>
        <v>0</v>
      </c>
      <c r="J735" s="60"/>
      <c r="K735" s="60"/>
      <c r="L735" s="55"/>
      <c r="M735" s="60"/>
      <c r="N735" s="60"/>
      <c r="O735" s="55"/>
      <c r="P735" s="161"/>
      <c r="Q735" s="160" t="str">
        <f>IF(enrollment_table[[#This Row],[Enrollment Date]]="","",TEXT(enrollment_table[[#This Row],[Enrollment Date]],"mmmm"))</f>
        <v/>
      </c>
      <c r="R735" s="60"/>
    </row>
    <row r="736" spans="1:18" ht="15" x14ac:dyDescent="0.3">
      <c r="A736" s="129"/>
      <c r="B736" s="60"/>
      <c r="C736" s="55"/>
      <c r="D736" s="60"/>
      <c r="E736" s="103">
        <f>_xlfn.XLOOKUP(enrollment_table[[#This Row],[*Subject]], classes_table[*Subject], classes_table[Fee])</f>
        <v>0</v>
      </c>
      <c r="F736" s="58"/>
      <c r="G736" s="60"/>
      <c r="H736" s="55"/>
      <c r="I736" s="176">
        <f>_xlfn.XLOOKUP(enrollment_table[[#This Row],[*Teacher Name]], teachers_table[*Teacher Name], teachers_table[*Teacher ID])</f>
        <v>0</v>
      </c>
      <c r="J736" s="60"/>
      <c r="K736" s="60"/>
      <c r="L736" s="55"/>
      <c r="M736" s="60"/>
      <c r="N736" s="60"/>
      <c r="O736" s="55"/>
      <c r="P736" s="161"/>
      <c r="Q736" s="160" t="str">
        <f>IF(enrollment_table[[#This Row],[Enrollment Date]]="","",TEXT(enrollment_table[[#This Row],[Enrollment Date]],"mmmm"))</f>
        <v/>
      </c>
      <c r="R736" s="60"/>
    </row>
    <row r="737" spans="1:18" ht="15" x14ac:dyDescent="0.3">
      <c r="A737" s="129"/>
      <c r="B737" s="60"/>
      <c r="C737" s="55"/>
      <c r="D737" s="60"/>
      <c r="E737" s="103">
        <f>_xlfn.XLOOKUP(enrollment_table[[#This Row],[*Subject]], classes_table[*Subject], classes_table[Fee])</f>
        <v>0</v>
      </c>
      <c r="F737" s="58"/>
      <c r="G737" s="60"/>
      <c r="H737" s="55"/>
      <c r="I737" s="176">
        <f>_xlfn.XLOOKUP(enrollment_table[[#This Row],[*Teacher Name]], teachers_table[*Teacher Name], teachers_table[*Teacher ID])</f>
        <v>0</v>
      </c>
      <c r="J737" s="60"/>
      <c r="K737" s="60"/>
      <c r="L737" s="55"/>
      <c r="M737" s="60"/>
      <c r="N737" s="60"/>
      <c r="O737" s="55"/>
      <c r="P737" s="161"/>
      <c r="Q737" s="160" t="str">
        <f>IF(enrollment_table[[#This Row],[Enrollment Date]]="","",TEXT(enrollment_table[[#This Row],[Enrollment Date]],"mmmm"))</f>
        <v/>
      </c>
      <c r="R737" s="60"/>
    </row>
    <row r="738" spans="1:18" ht="15" x14ac:dyDescent="0.3">
      <c r="A738" s="129"/>
      <c r="B738" s="60"/>
      <c r="C738" s="55"/>
      <c r="D738" s="60"/>
      <c r="E738" s="103">
        <f>_xlfn.XLOOKUP(enrollment_table[[#This Row],[*Subject]], classes_table[*Subject], classes_table[Fee])</f>
        <v>0</v>
      </c>
      <c r="F738" s="58"/>
      <c r="G738" s="60"/>
      <c r="H738" s="55"/>
      <c r="I738" s="176">
        <f>_xlfn.XLOOKUP(enrollment_table[[#This Row],[*Teacher Name]], teachers_table[*Teacher Name], teachers_table[*Teacher ID])</f>
        <v>0</v>
      </c>
      <c r="J738" s="60"/>
      <c r="K738" s="60"/>
      <c r="L738" s="55"/>
      <c r="M738" s="60"/>
      <c r="N738" s="60"/>
      <c r="O738" s="55"/>
      <c r="P738" s="161"/>
      <c r="Q738" s="160" t="str">
        <f>IF(enrollment_table[[#This Row],[Enrollment Date]]="","",TEXT(enrollment_table[[#This Row],[Enrollment Date]],"mmmm"))</f>
        <v/>
      </c>
      <c r="R738" s="60"/>
    </row>
    <row r="739" spans="1:18" ht="15" x14ac:dyDescent="0.3">
      <c r="A739" s="129"/>
      <c r="B739" s="60"/>
      <c r="C739" s="55"/>
      <c r="D739" s="60"/>
      <c r="E739" s="103">
        <f>_xlfn.XLOOKUP(enrollment_table[[#This Row],[*Subject]], classes_table[*Subject], classes_table[Fee])</f>
        <v>0</v>
      </c>
      <c r="F739" s="58"/>
      <c r="G739" s="60"/>
      <c r="H739" s="55"/>
      <c r="I739" s="176">
        <f>_xlfn.XLOOKUP(enrollment_table[[#This Row],[*Teacher Name]], teachers_table[*Teacher Name], teachers_table[*Teacher ID])</f>
        <v>0</v>
      </c>
      <c r="J739" s="60"/>
      <c r="K739" s="60"/>
      <c r="L739" s="55"/>
      <c r="M739" s="60"/>
      <c r="N739" s="60"/>
      <c r="O739" s="55"/>
      <c r="P739" s="161"/>
      <c r="Q739" s="160" t="str">
        <f>IF(enrollment_table[[#This Row],[Enrollment Date]]="","",TEXT(enrollment_table[[#This Row],[Enrollment Date]],"mmmm"))</f>
        <v/>
      </c>
      <c r="R739" s="60"/>
    </row>
    <row r="740" spans="1:18" ht="15" x14ac:dyDescent="0.3">
      <c r="A740" s="129"/>
      <c r="B740" s="60"/>
      <c r="C740" s="55"/>
      <c r="D740" s="60"/>
      <c r="E740" s="103">
        <f>_xlfn.XLOOKUP(enrollment_table[[#This Row],[*Subject]], classes_table[*Subject], classes_table[Fee])</f>
        <v>0</v>
      </c>
      <c r="F740" s="58"/>
      <c r="G740" s="60"/>
      <c r="H740" s="55"/>
      <c r="I740" s="176">
        <f>_xlfn.XLOOKUP(enrollment_table[[#This Row],[*Teacher Name]], teachers_table[*Teacher Name], teachers_table[*Teacher ID])</f>
        <v>0</v>
      </c>
      <c r="J740" s="60"/>
      <c r="K740" s="60"/>
      <c r="L740" s="55"/>
      <c r="M740" s="60"/>
      <c r="N740" s="60"/>
      <c r="O740" s="55"/>
      <c r="P740" s="161"/>
      <c r="Q740" s="160" t="str">
        <f>IF(enrollment_table[[#This Row],[Enrollment Date]]="","",TEXT(enrollment_table[[#This Row],[Enrollment Date]],"mmmm"))</f>
        <v/>
      </c>
      <c r="R740" s="60"/>
    </row>
    <row r="741" spans="1:18" ht="15" x14ac:dyDescent="0.3">
      <c r="A741" s="129"/>
      <c r="B741" s="60"/>
      <c r="C741" s="55"/>
      <c r="D741" s="60"/>
      <c r="E741" s="103">
        <f>_xlfn.XLOOKUP(enrollment_table[[#This Row],[*Subject]], classes_table[*Subject], classes_table[Fee])</f>
        <v>0</v>
      </c>
      <c r="F741" s="58"/>
      <c r="G741" s="60"/>
      <c r="H741" s="55"/>
      <c r="I741" s="176">
        <f>_xlfn.XLOOKUP(enrollment_table[[#This Row],[*Teacher Name]], teachers_table[*Teacher Name], teachers_table[*Teacher ID])</f>
        <v>0</v>
      </c>
      <c r="J741" s="60"/>
      <c r="K741" s="60"/>
      <c r="L741" s="55"/>
      <c r="M741" s="60"/>
      <c r="N741" s="60"/>
      <c r="O741" s="55"/>
      <c r="P741" s="161"/>
      <c r="Q741" s="160" t="str">
        <f>IF(enrollment_table[[#This Row],[Enrollment Date]]="","",TEXT(enrollment_table[[#This Row],[Enrollment Date]],"mmmm"))</f>
        <v/>
      </c>
      <c r="R741" s="60"/>
    </row>
    <row r="742" spans="1:18" ht="15" x14ac:dyDescent="0.3">
      <c r="A742" s="129"/>
      <c r="B742" s="60"/>
      <c r="C742" s="55"/>
      <c r="D742" s="60"/>
      <c r="E742" s="103">
        <f>_xlfn.XLOOKUP(enrollment_table[[#This Row],[*Subject]], classes_table[*Subject], classes_table[Fee])</f>
        <v>0</v>
      </c>
      <c r="F742" s="58"/>
      <c r="G742" s="60"/>
      <c r="H742" s="55"/>
      <c r="I742" s="176">
        <f>_xlfn.XLOOKUP(enrollment_table[[#This Row],[*Teacher Name]], teachers_table[*Teacher Name], teachers_table[*Teacher ID])</f>
        <v>0</v>
      </c>
      <c r="J742" s="60"/>
      <c r="K742" s="60"/>
      <c r="L742" s="55"/>
      <c r="M742" s="60"/>
      <c r="N742" s="60"/>
      <c r="O742" s="55"/>
      <c r="P742" s="161"/>
      <c r="Q742" s="160" t="str">
        <f>IF(enrollment_table[[#This Row],[Enrollment Date]]="","",TEXT(enrollment_table[[#This Row],[Enrollment Date]],"mmmm"))</f>
        <v/>
      </c>
      <c r="R742" s="60"/>
    </row>
    <row r="743" spans="1:18" ht="15" x14ac:dyDescent="0.3">
      <c r="A743" s="129"/>
      <c r="B743" s="60"/>
      <c r="C743" s="55"/>
      <c r="D743" s="60"/>
      <c r="E743" s="103">
        <f>_xlfn.XLOOKUP(enrollment_table[[#This Row],[*Subject]], classes_table[*Subject], classes_table[Fee])</f>
        <v>0</v>
      </c>
      <c r="F743" s="58"/>
      <c r="G743" s="60"/>
      <c r="H743" s="55"/>
      <c r="I743" s="176">
        <f>_xlfn.XLOOKUP(enrollment_table[[#This Row],[*Teacher Name]], teachers_table[*Teacher Name], teachers_table[*Teacher ID])</f>
        <v>0</v>
      </c>
      <c r="J743" s="60"/>
      <c r="K743" s="60"/>
      <c r="L743" s="55"/>
      <c r="M743" s="60"/>
      <c r="N743" s="60"/>
      <c r="O743" s="55"/>
      <c r="P743" s="161"/>
      <c r="Q743" s="160" t="str">
        <f>IF(enrollment_table[[#This Row],[Enrollment Date]]="","",TEXT(enrollment_table[[#This Row],[Enrollment Date]],"mmmm"))</f>
        <v/>
      </c>
      <c r="R743" s="60"/>
    </row>
    <row r="744" spans="1:18" ht="15" x14ac:dyDescent="0.3">
      <c r="A744" s="129"/>
      <c r="B744" s="60"/>
      <c r="C744" s="55"/>
      <c r="D744" s="60"/>
      <c r="E744" s="103">
        <f>_xlfn.XLOOKUP(enrollment_table[[#This Row],[*Subject]], classes_table[*Subject], classes_table[Fee])</f>
        <v>0</v>
      </c>
      <c r="F744" s="58"/>
      <c r="G744" s="60"/>
      <c r="H744" s="55"/>
      <c r="I744" s="176">
        <f>_xlfn.XLOOKUP(enrollment_table[[#This Row],[*Teacher Name]], teachers_table[*Teacher Name], teachers_table[*Teacher ID])</f>
        <v>0</v>
      </c>
      <c r="J744" s="60"/>
      <c r="K744" s="60"/>
      <c r="L744" s="55"/>
      <c r="M744" s="60"/>
      <c r="N744" s="60"/>
      <c r="O744" s="55"/>
      <c r="P744" s="161"/>
      <c r="Q744" s="160" t="str">
        <f>IF(enrollment_table[[#This Row],[Enrollment Date]]="","",TEXT(enrollment_table[[#This Row],[Enrollment Date]],"mmmm"))</f>
        <v/>
      </c>
      <c r="R744" s="60"/>
    </row>
    <row r="745" spans="1:18" ht="15" x14ac:dyDescent="0.3">
      <c r="A745" s="129"/>
      <c r="B745" s="60"/>
      <c r="C745" s="55"/>
      <c r="D745" s="60"/>
      <c r="E745" s="103">
        <f>_xlfn.XLOOKUP(enrollment_table[[#This Row],[*Subject]], classes_table[*Subject], classes_table[Fee])</f>
        <v>0</v>
      </c>
      <c r="F745" s="58"/>
      <c r="G745" s="60"/>
      <c r="H745" s="55"/>
      <c r="I745" s="176">
        <f>_xlfn.XLOOKUP(enrollment_table[[#This Row],[*Teacher Name]], teachers_table[*Teacher Name], teachers_table[*Teacher ID])</f>
        <v>0</v>
      </c>
      <c r="J745" s="60"/>
      <c r="K745" s="60"/>
      <c r="L745" s="55"/>
      <c r="M745" s="60"/>
      <c r="N745" s="60"/>
      <c r="O745" s="55"/>
      <c r="P745" s="161"/>
      <c r="Q745" s="160" t="str">
        <f>IF(enrollment_table[[#This Row],[Enrollment Date]]="","",TEXT(enrollment_table[[#This Row],[Enrollment Date]],"mmmm"))</f>
        <v/>
      </c>
      <c r="R745" s="60"/>
    </row>
    <row r="746" spans="1:18" ht="15" x14ac:dyDescent="0.3">
      <c r="A746" s="129"/>
      <c r="B746" s="60"/>
      <c r="C746" s="55"/>
      <c r="D746" s="60"/>
      <c r="E746" s="103">
        <f>_xlfn.XLOOKUP(enrollment_table[[#This Row],[*Subject]], classes_table[*Subject], classes_table[Fee])</f>
        <v>0</v>
      </c>
      <c r="F746" s="58"/>
      <c r="G746" s="60"/>
      <c r="H746" s="55"/>
      <c r="I746" s="176">
        <f>_xlfn.XLOOKUP(enrollment_table[[#This Row],[*Teacher Name]], teachers_table[*Teacher Name], teachers_table[*Teacher ID])</f>
        <v>0</v>
      </c>
      <c r="J746" s="60"/>
      <c r="K746" s="60"/>
      <c r="L746" s="55"/>
      <c r="M746" s="60"/>
      <c r="N746" s="60"/>
      <c r="O746" s="55"/>
      <c r="P746" s="161"/>
      <c r="Q746" s="160" t="str">
        <f>IF(enrollment_table[[#This Row],[Enrollment Date]]="","",TEXT(enrollment_table[[#This Row],[Enrollment Date]],"mmmm"))</f>
        <v/>
      </c>
      <c r="R746" s="60"/>
    </row>
    <row r="747" spans="1:18" ht="15" x14ac:dyDescent="0.3">
      <c r="A747" s="129"/>
      <c r="B747" s="60"/>
      <c r="C747" s="55"/>
      <c r="D747" s="60"/>
      <c r="E747" s="103">
        <f>_xlfn.XLOOKUP(enrollment_table[[#This Row],[*Subject]], classes_table[*Subject], classes_table[Fee])</f>
        <v>0</v>
      </c>
      <c r="F747" s="58"/>
      <c r="G747" s="60"/>
      <c r="H747" s="55"/>
      <c r="I747" s="176">
        <f>_xlfn.XLOOKUP(enrollment_table[[#This Row],[*Teacher Name]], teachers_table[*Teacher Name], teachers_table[*Teacher ID])</f>
        <v>0</v>
      </c>
      <c r="J747" s="60"/>
      <c r="K747" s="60"/>
      <c r="L747" s="55"/>
      <c r="M747" s="60"/>
      <c r="N747" s="60"/>
      <c r="O747" s="55"/>
      <c r="P747" s="161"/>
      <c r="Q747" s="160" t="str">
        <f>IF(enrollment_table[[#This Row],[Enrollment Date]]="","",TEXT(enrollment_table[[#This Row],[Enrollment Date]],"mmmm"))</f>
        <v/>
      </c>
      <c r="R747" s="60"/>
    </row>
    <row r="748" spans="1:18" ht="15" x14ac:dyDescent="0.3">
      <c r="A748" s="129"/>
      <c r="B748" s="60"/>
      <c r="C748" s="55"/>
      <c r="D748" s="60"/>
      <c r="E748" s="103">
        <f>_xlfn.XLOOKUP(enrollment_table[[#This Row],[*Subject]], classes_table[*Subject], classes_table[Fee])</f>
        <v>0</v>
      </c>
      <c r="F748" s="58"/>
      <c r="G748" s="60"/>
      <c r="H748" s="55"/>
      <c r="I748" s="176">
        <f>_xlfn.XLOOKUP(enrollment_table[[#This Row],[*Teacher Name]], teachers_table[*Teacher Name], teachers_table[*Teacher ID])</f>
        <v>0</v>
      </c>
      <c r="J748" s="60"/>
      <c r="K748" s="60"/>
      <c r="L748" s="55"/>
      <c r="M748" s="60"/>
      <c r="N748" s="60"/>
      <c r="O748" s="55"/>
      <c r="P748" s="161"/>
      <c r="Q748" s="160" t="str">
        <f>IF(enrollment_table[[#This Row],[Enrollment Date]]="","",TEXT(enrollment_table[[#This Row],[Enrollment Date]],"mmmm"))</f>
        <v/>
      </c>
      <c r="R748" s="60"/>
    </row>
    <row r="749" spans="1:18" ht="15" x14ac:dyDescent="0.3">
      <c r="A749" s="129"/>
      <c r="B749" s="60"/>
      <c r="C749" s="55"/>
      <c r="D749" s="60"/>
      <c r="E749" s="103">
        <f>_xlfn.XLOOKUP(enrollment_table[[#This Row],[*Subject]], classes_table[*Subject], classes_table[Fee])</f>
        <v>0</v>
      </c>
      <c r="F749" s="58"/>
      <c r="G749" s="60"/>
      <c r="H749" s="55"/>
      <c r="I749" s="176">
        <f>_xlfn.XLOOKUP(enrollment_table[[#This Row],[*Teacher Name]], teachers_table[*Teacher Name], teachers_table[*Teacher ID])</f>
        <v>0</v>
      </c>
      <c r="J749" s="60"/>
      <c r="K749" s="60"/>
      <c r="L749" s="55"/>
      <c r="M749" s="60"/>
      <c r="N749" s="60"/>
      <c r="O749" s="55"/>
      <c r="P749" s="161"/>
      <c r="Q749" s="160" t="str">
        <f>IF(enrollment_table[[#This Row],[Enrollment Date]]="","",TEXT(enrollment_table[[#This Row],[Enrollment Date]],"mmmm"))</f>
        <v/>
      </c>
      <c r="R749" s="60"/>
    </row>
    <row r="750" spans="1:18" ht="15" x14ac:dyDescent="0.3">
      <c r="A750" s="129"/>
      <c r="B750" s="60"/>
      <c r="C750" s="55"/>
      <c r="D750" s="60"/>
      <c r="E750" s="103">
        <f>_xlfn.XLOOKUP(enrollment_table[[#This Row],[*Subject]], classes_table[*Subject], classes_table[Fee])</f>
        <v>0</v>
      </c>
      <c r="F750" s="58"/>
      <c r="G750" s="60"/>
      <c r="H750" s="55"/>
      <c r="I750" s="176">
        <f>_xlfn.XLOOKUP(enrollment_table[[#This Row],[*Teacher Name]], teachers_table[*Teacher Name], teachers_table[*Teacher ID])</f>
        <v>0</v>
      </c>
      <c r="J750" s="60"/>
      <c r="K750" s="60"/>
      <c r="L750" s="55"/>
      <c r="M750" s="60"/>
      <c r="N750" s="60"/>
      <c r="O750" s="55"/>
      <c r="P750" s="161"/>
      <c r="Q750" s="160" t="str">
        <f>IF(enrollment_table[[#This Row],[Enrollment Date]]="","",TEXT(enrollment_table[[#This Row],[Enrollment Date]],"mmmm"))</f>
        <v/>
      </c>
      <c r="R750" s="60"/>
    </row>
    <row r="751" spans="1:18" ht="15" x14ac:dyDescent="0.3">
      <c r="A751" s="129"/>
      <c r="B751" s="60"/>
      <c r="C751" s="55"/>
      <c r="D751" s="60"/>
      <c r="E751" s="103">
        <f>_xlfn.XLOOKUP(enrollment_table[[#This Row],[*Subject]], classes_table[*Subject], classes_table[Fee])</f>
        <v>0</v>
      </c>
      <c r="F751" s="58"/>
      <c r="G751" s="60"/>
      <c r="H751" s="55"/>
      <c r="I751" s="176">
        <f>_xlfn.XLOOKUP(enrollment_table[[#This Row],[*Teacher Name]], teachers_table[*Teacher Name], teachers_table[*Teacher ID])</f>
        <v>0</v>
      </c>
      <c r="J751" s="60"/>
      <c r="K751" s="60"/>
      <c r="L751" s="55"/>
      <c r="M751" s="60"/>
      <c r="N751" s="60"/>
      <c r="O751" s="55"/>
      <c r="P751" s="161"/>
      <c r="Q751" s="160" t="str">
        <f>IF(enrollment_table[[#This Row],[Enrollment Date]]="","",TEXT(enrollment_table[[#This Row],[Enrollment Date]],"mmmm"))</f>
        <v/>
      </c>
      <c r="R751" s="60"/>
    </row>
    <row r="752" spans="1:18" ht="15" x14ac:dyDescent="0.3">
      <c r="A752" s="129"/>
      <c r="B752" s="60"/>
      <c r="C752" s="55"/>
      <c r="D752" s="60"/>
      <c r="E752" s="103">
        <f>_xlfn.XLOOKUP(enrollment_table[[#This Row],[*Subject]], classes_table[*Subject], classes_table[Fee])</f>
        <v>0</v>
      </c>
      <c r="F752" s="58"/>
      <c r="G752" s="60"/>
      <c r="H752" s="55"/>
      <c r="I752" s="176">
        <f>_xlfn.XLOOKUP(enrollment_table[[#This Row],[*Teacher Name]], teachers_table[*Teacher Name], teachers_table[*Teacher ID])</f>
        <v>0</v>
      </c>
      <c r="J752" s="60"/>
      <c r="K752" s="60"/>
      <c r="L752" s="55"/>
      <c r="M752" s="60"/>
      <c r="N752" s="60"/>
      <c r="O752" s="55"/>
      <c r="P752" s="161"/>
      <c r="Q752" s="160" t="str">
        <f>IF(enrollment_table[[#This Row],[Enrollment Date]]="","",TEXT(enrollment_table[[#This Row],[Enrollment Date]],"mmmm"))</f>
        <v/>
      </c>
      <c r="R752" s="60"/>
    </row>
    <row r="753" spans="1:18" ht="15" x14ac:dyDescent="0.3">
      <c r="A753" s="129"/>
      <c r="B753" s="60"/>
      <c r="C753" s="55"/>
      <c r="D753" s="60"/>
      <c r="E753" s="103">
        <f>_xlfn.XLOOKUP(enrollment_table[[#This Row],[*Subject]], classes_table[*Subject], classes_table[Fee])</f>
        <v>0</v>
      </c>
      <c r="F753" s="58"/>
      <c r="G753" s="60"/>
      <c r="H753" s="55"/>
      <c r="I753" s="176">
        <f>_xlfn.XLOOKUP(enrollment_table[[#This Row],[*Teacher Name]], teachers_table[*Teacher Name], teachers_table[*Teacher ID])</f>
        <v>0</v>
      </c>
      <c r="J753" s="60"/>
      <c r="K753" s="60"/>
      <c r="L753" s="55"/>
      <c r="M753" s="60"/>
      <c r="N753" s="60"/>
      <c r="O753" s="55"/>
      <c r="P753" s="161"/>
      <c r="Q753" s="160" t="str">
        <f>IF(enrollment_table[[#This Row],[Enrollment Date]]="","",TEXT(enrollment_table[[#This Row],[Enrollment Date]],"mmmm"))</f>
        <v/>
      </c>
      <c r="R753" s="60"/>
    </row>
    <row r="754" spans="1:18" ht="15" x14ac:dyDescent="0.3">
      <c r="A754" s="129"/>
      <c r="B754" s="60"/>
      <c r="C754" s="55"/>
      <c r="D754" s="60"/>
      <c r="E754" s="103">
        <f>_xlfn.XLOOKUP(enrollment_table[[#This Row],[*Subject]], classes_table[*Subject], classes_table[Fee])</f>
        <v>0</v>
      </c>
      <c r="F754" s="58"/>
      <c r="G754" s="60"/>
      <c r="H754" s="55"/>
      <c r="I754" s="176">
        <f>_xlfn.XLOOKUP(enrollment_table[[#This Row],[*Teacher Name]], teachers_table[*Teacher Name], teachers_table[*Teacher ID])</f>
        <v>0</v>
      </c>
      <c r="J754" s="60"/>
      <c r="K754" s="60"/>
      <c r="L754" s="55"/>
      <c r="M754" s="60"/>
      <c r="N754" s="60"/>
      <c r="O754" s="55"/>
      <c r="P754" s="161"/>
      <c r="Q754" s="160" t="str">
        <f>IF(enrollment_table[[#This Row],[Enrollment Date]]="","",TEXT(enrollment_table[[#This Row],[Enrollment Date]],"mmmm"))</f>
        <v/>
      </c>
      <c r="R754" s="60"/>
    </row>
    <row r="755" spans="1:18" ht="15" x14ac:dyDescent="0.3">
      <c r="A755" s="129"/>
      <c r="B755" s="60"/>
      <c r="C755" s="55"/>
      <c r="D755" s="60"/>
      <c r="E755" s="103">
        <f>_xlfn.XLOOKUP(enrollment_table[[#This Row],[*Subject]], classes_table[*Subject], classes_table[Fee])</f>
        <v>0</v>
      </c>
      <c r="F755" s="58"/>
      <c r="G755" s="60"/>
      <c r="H755" s="55"/>
      <c r="I755" s="176">
        <f>_xlfn.XLOOKUP(enrollment_table[[#This Row],[*Teacher Name]], teachers_table[*Teacher Name], teachers_table[*Teacher ID])</f>
        <v>0</v>
      </c>
      <c r="J755" s="60"/>
      <c r="K755" s="60"/>
      <c r="L755" s="55"/>
      <c r="M755" s="60"/>
      <c r="N755" s="60"/>
      <c r="O755" s="55"/>
      <c r="P755" s="161"/>
      <c r="Q755" s="160" t="str">
        <f>IF(enrollment_table[[#This Row],[Enrollment Date]]="","",TEXT(enrollment_table[[#This Row],[Enrollment Date]],"mmmm"))</f>
        <v/>
      </c>
      <c r="R755" s="60"/>
    </row>
    <row r="756" spans="1:18" ht="15" x14ac:dyDescent="0.3">
      <c r="A756" s="129"/>
      <c r="B756" s="60"/>
      <c r="C756" s="55"/>
      <c r="D756" s="60"/>
      <c r="E756" s="103">
        <f>_xlfn.XLOOKUP(enrollment_table[[#This Row],[*Subject]], classes_table[*Subject], classes_table[Fee])</f>
        <v>0</v>
      </c>
      <c r="F756" s="58"/>
      <c r="G756" s="60"/>
      <c r="H756" s="55"/>
      <c r="I756" s="176">
        <f>_xlfn.XLOOKUP(enrollment_table[[#This Row],[*Teacher Name]], teachers_table[*Teacher Name], teachers_table[*Teacher ID])</f>
        <v>0</v>
      </c>
      <c r="J756" s="60"/>
      <c r="K756" s="60"/>
      <c r="L756" s="55"/>
      <c r="M756" s="60"/>
      <c r="N756" s="60"/>
      <c r="O756" s="55"/>
      <c r="P756" s="161"/>
      <c r="Q756" s="160" t="str">
        <f>IF(enrollment_table[[#This Row],[Enrollment Date]]="","",TEXT(enrollment_table[[#This Row],[Enrollment Date]],"mmmm"))</f>
        <v/>
      </c>
      <c r="R756" s="60"/>
    </row>
    <row r="757" spans="1:18" ht="15" x14ac:dyDescent="0.3">
      <c r="A757" s="129"/>
      <c r="B757" s="60"/>
      <c r="C757" s="55"/>
      <c r="D757" s="60"/>
      <c r="E757" s="103">
        <f>_xlfn.XLOOKUP(enrollment_table[[#This Row],[*Subject]], classes_table[*Subject], classes_table[Fee])</f>
        <v>0</v>
      </c>
      <c r="F757" s="58"/>
      <c r="G757" s="60"/>
      <c r="H757" s="55"/>
      <c r="I757" s="176">
        <f>_xlfn.XLOOKUP(enrollment_table[[#This Row],[*Teacher Name]], teachers_table[*Teacher Name], teachers_table[*Teacher ID])</f>
        <v>0</v>
      </c>
      <c r="J757" s="60"/>
      <c r="K757" s="60"/>
      <c r="L757" s="55"/>
      <c r="M757" s="60"/>
      <c r="N757" s="60"/>
      <c r="O757" s="55"/>
      <c r="P757" s="161"/>
      <c r="Q757" s="160" t="str">
        <f>IF(enrollment_table[[#This Row],[Enrollment Date]]="","",TEXT(enrollment_table[[#This Row],[Enrollment Date]],"mmmm"))</f>
        <v/>
      </c>
      <c r="R757" s="60"/>
    </row>
    <row r="758" spans="1:18" ht="15" x14ac:dyDescent="0.3">
      <c r="A758" s="129"/>
      <c r="B758" s="60"/>
      <c r="C758" s="55"/>
      <c r="D758" s="60"/>
      <c r="E758" s="103">
        <f>_xlfn.XLOOKUP(enrollment_table[[#This Row],[*Subject]], classes_table[*Subject], classes_table[Fee])</f>
        <v>0</v>
      </c>
      <c r="F758" s="58"/>
      <c r="G758" s="60"/>
      <c r="H758" s="55"/>
      <c r="I758" s="176">
        <f>_xlfn.XLOOKUP(enrollment_table[[#This Row],[*Teacher Name]], teachers_table[*Teacher Name], teachers_table[*Teacher ID])</f>
        <v>0</v>
      </c>
      <c r="J758" s="60"/>
      <c r="K758" s="60"/>
      <c r="L758" s="55"/>
      <c r="M758" s="60"/>
      <c r="N758" s="60"/>
      <c r="O758" s="55"/>
      <c r="P758" s="161"/>
      <c r="Q758" s="160" t="str">
        <f>IF(enrollment_table[[#This Row],[Enrollment Date]]="","",TEXT(enrollment_table[[#This Row],[Enrollment Date]],"mmmm"))</f>
        <v/>
      </c>
      <c r="R758" s="60"/>
    </row>
    <row r="759" spans="1:18" ht="15" x14ac:dyDescent="0.3">
      <c r="A759" s="129"/>
      <c r="B759" s="60"/>
      <c r="C759" s="55"/>
      <c r="D759" s="60"/>
      <c r="E759" s="103">
        <f>_xlfn.XLOOKUP(enrollment_table[[#This Row],[*Subject]], classes_table[*Subject], classes_table[Fee])</f>
        <v>0</v>
      </c>
      <c r="F759" s="58"/>
      <c r="G759" s="60"/>
      <c r="H759" s="55"/>
      <c r="I759" s="176">
        <f>_xlfn.XLOOKUP(enrollment_table[[#This Row],[*Teacher Name]], teachers_table[*Teacher Name], teachers_table[*Teacher ID])</f>
        <v>0</v>
      </c>
      <c r="J759" s="60"/>
      <c r="K759" s="60"/>
      <c r="L759" s="55"/>
      <c r="M759" s="60"/>
      <c r="N759" s="60"/>
      <c r="O759" s="55"/>
      <c r="P759" s="161"/>
      <c r="Q759" s="160" t="str">
        <f>IF(enrollment_table[[#This Row],[Enrollment Date]]="","",TEXT(enrollment_table[[#This Row],[Enrollment Date]],"mmmm"))</f>
        <v/>
      </c>
      <c r="R759" s="60"/>
    </row>
    <row r="760" spans="1:18" ht="15" x14ac:dyDescent="0.3">
      <c r="A760" s="129"/>
      <c r="B760" s="60"/>
      <c r="C760" s="55"/>
      <c r="D760" s="60"/>
      <c r="E760" s="103">
        <f>_xlfn.XLOOKUP(enrollment_table[[#This Row],[*Subject]], classes_table[*Subject], classes_table[Fee])</f>
        <v>0</v>
      </c>
      <c r="F760" s="58"/>
      <c r="G760" s="60"/>
      <c r="H760" s="55"/>
      <c r="I760" s="176">
        <f>_xlfn.XLOOKUP(enrollment_table[[#This Row],[*Teacher Name]], teachers_table[*Teacher Name], teachers_table[*Teacher ID])</f>
        <v>0</v>
      </c>
      <c r="J760" s="60"/>
      <c r="K760" s="60"/>
      <c r="L760" s="55"/>
      <c r="M760" s="60"/>
      <c r="N760" s="60"/>
      <c r="O760" s="55"/>
      <c r="P760" s="161"/>
      <c r="Q760" s="160" t="str">
        <f>IF(enrollment_table[[#This Row],[Enrollment Date]]="","",TEXT(enrollment_table[[#This Row],[Enrollment Date]],"mmmm"))</f>
        <v/>
      </c>
      <c r="R760" s="60"/>
    </row>
    <row r="761" spans="1:18" ht="15" x14ac:dyDescent="0.3">
      <c r="A761" s="129"/>
      <c r="B761" s="60"/>
      <c r="C761" s="55"/>
      <c r="D761" s="60"/>
      <c r="E761" s="103">
        <f>_xlfn.XLOOKUP(enrollment_table[[#This Row],[*Subject]], classes_table[*Subject], classes_table[Fee])</f>
        <v>0</v>
      </c>
      <c r="F761" s="58"/>
      <c r="G761" s="60"/>
      <c r="H761" s="55"/>
      <c r="I761" s="176">
        <f>_xlfn.XLOOKUP(enrollment_table[[#This Row],[*Teacher Name]], teachers_table[*Teacher Name], teachers_table[*Teacher ID])</f>
        <v>0</v>
      </c>
      <c r="J761" s="60"/>
      <c r="K761" s="60"/>
      <c r="L761" s="55"/>
      <c r="M761" s="60"/>
      <c r="N761" s="60"/>
      <c r="O761" s="55"/>
      <c r="P761" s="161"/>
      <c r="Q761" s="160" t="str">
        <f>IF(enrollment_table[[#This Row],[Enrollment Date]]="","",TEXT(enrollment_table[[#This Row],[Enrollment Date]],"mmmm"))</f>
        <v/>
      </c>
      <c r="R761" s="60"/>
    </row>
    <row r="762" spans="1:18" ht="15" x14ac:dyDescent="0.3">
      <c r="A762" s="129"/>
      <c r="B762" s="60"/>
      <c r="C762" s="55"/>
      <c r="D762" s="60"/>
      <c r="E762" s="103">
        <f>_xlfn.XLOOKUP(enrollment_table[[#This Row],[*Subject]], classes_table[*Subject], classes_table[Fee])</f>
        <v>0</v>
      </c>
      <c r="F762" s="58"/>
      <c r="G762" s="60"/>
      <c r="H762" s="55"/>
      <c r="I762" s="176">
        <f>_xlfn.XLOOKUP(enrollment_table[[#This Row],[*Teacher Name]], teachers_table[*Teacher Name], teachers_table[*Teacher ID])</f>
        <v>0</v>
      </c>
      <c r="J762" s="60"/>
      <c r="K762" s="60"/>
      <c r="L762" s="55"/>
      <c r="M762" s="60"/>
      <c r="N762" s="60"/>
      <c r="O762" s="55"/>
      <c r="P762" s="161"/>
      <c r="Q762" s="160" t="str">
        <f>IF(enrollment_table[[#This Row],[Enrollment Date]]="","",TEXT(enrollment_table[[#This Row],[Enrollment Date]],"mmmm"))</f>
        <v/>
      </c>
      <c r="R762" s="60"/>
    </row>
    <row r="763" spans="1:18" ht="15" x14ac:dyDescent="0.3">
      <c r="A763" s="129"/>
      <c r="B763" s="60"/>
      <c r="C763" s="55"/>
      <c r="D763" s="60"/>
      <c r="E763" s="103">
        <f>_xlfn.XLOOKUP(enrollment_table[[#This Row],[*Subject]], classes_table[*Subject], classes_table[Fee])</f>
        <v>0</v>
      </c>
      <c r="F763" s="58"/>
      <c r="G763" s="60"/>
      <c r="H763" s="55"/>
      <c r="I763" s="176">
        <f>_xlfn.XLOOKUP(enrollment_table[[#This Row],[*Teacher Name]], teachers_table[*Teacher Name], teachers_table[*Teacher ID])</f>
        <v>0</v>
      </c>
      <c r="J763" s="60"/>
      <c r="K763" s="60"/>
      <c r="L763" s="55"/>
      <c r="M763" s="60"/>
      <c r="N763" s="60"/>
      <c r="O763" s="55"/>
      <c r="P763" s="161"/>
      <c r="Q763" s="160" t="str">
        <f>IF(enrollment_table[[#This Row],[Enrollment Date]]="","",TEXT(enrollment_table[[#This Row],[Enrollment Date]],"mmmm"))</f>
        <v/>
      </c>
      <c r="R763" s="60"/>
    </row>
    <row r="764" spans="1:18" ht="15" x14ac:dyDescent="0.3">
      <c r="A764" s="129"/>
      <c r="B764" s="60"/>
      <c r="C764" s="55"/>
      <c r="D764" s="60"/>
      <c r="E764" s="103">
        <f>_xlfn.XLOOKUP(enrollment_table[[#This Row],[*Subject]], classes_table[*Subject], classes_table[Fee])</f>
        <v>0</v>
      </c>
      <c r="F764" s="58"/>
      <c r="G764" s="60"/>
      <c r="H764" s="55"/>
      <c r="I764" s="176">
        <f>_xlfn.XLOOKUP(enrollment_table[[#This Row],[*Teacher Name]], teachers_table[*Teacher Name], teachers_table[*Teacher ID])</f>
        <v>0</v>
      </c>
      <c r="J764" s="60"/>
      <c r="K764" s="60"/>
      <c r="L764" s="55"/>
      <c r="M764" s="60"/>
      <c r="N764" s="60"/>
      <c r="O764" s="55"/>
      <c r="P764" s="161"/>
      <c r="Q764" s="160" t="str">
        <f>IF(enrollment_table[[#This Row],[Enrollment Date]]="","",TEXT(enrollment_table[[#This Row],[Enrollment Date]],"mmmm"))</f>
        <v/>
      </c>
      <c r="R764" s="60"/>
    </row>
    <row r="765" spans="1:18" ht="15" x14ac:dyDescent="0.3">
      <c r="A765" s="129"/>
      <c r="B765" s="60"/>
      <c r="C765" s="55"/>
      <c r="D765" s="60"/>
      <c r="E765" s="103">
        <f>_xlfn.XLOOKUP(enrollment_table[[#This Row],[*Subject]], classes_table[*Subject], classes_table[Fee])</f>
        <v>0</v>
      </c>
      <c r="F765" s="58"/>
      <c r="G765" s="60"/>
      <c r="H765" s="55"/>
      <c r="I765" s="176">
        <f>_xlfn.XLOOKUP(enrollment_table[[#This Row],[*Teacher Name]], teachers_table[*Teacher Name], teachers_table[*Teacher ID])</f>
        <v>0</v>
      </c>
      <c r="J765" s="60"/>
      <c r="K765" s="60"/>
      <c r="L765" s="55"/>
      <c r="M765" s="60"/>
      <c r="N765" s="60"/>
      <c r="O765" s="55"/>
      <c r="P765" s="161"/>
      <c r="Q765" s="160" t="str">
        <f>IF(enrollment_table[[#This Row],[Enrollment Date]]="","",TEXT(enrollment_table[[#This Row],[Enrollment Date]],"mmmm"))</f>
        <v/>
      </c>
      <c r="R765" s="60"/>
    </row>
    <row r="766" spans="1:18" ht="15" x14ac:dyDescent="0.3">
      <c r="A766" s="129"/>
      <c r="B766" s="60"/>
      <c r="C766" s="55"/>
      <c r="D766" s="60"/>
      <c r="E766" s="103">
        <f>_xlfn.XLOOKUP(enrollment_table[[#This Row],[*Subject]], classes_table[*Subject], classes_table[Fee])</f>
        <v>0</v>
      </c>
      <c r="F766" s="58"/>
      <c r="G766" s="60"/>
      <c r="H766" s="55"/>
      <c r="I766" s="176">
        <f>_xlfn.XLOOKUP(enrollment_table[[#This Row],[*Teacher Name]], teachers_table[*Teacher Name], teachers_table[*Teacher ID])</f>
        <v>0</v>
      </c>
      <c r="J766" s="60"/>
      <c r="K766" s="60"/>
      <c r="L766" s="55"/>
      <c r="M766" s="60"/>
      <c r="N766" s="60"/>
      <c r="O766" s="55"/>
      <c r="P766" s="161"/>
      <c r="Q766" s="160" t="str">
        <f>IF(enrollment_table[[#This Row],[Enrollment Date]]="","",TEXT(enrollment_table[[#This Row],[Enrollment Date]],"mmmm"))</f>
        <v/>
      </c>
      <c r="R766" s="60"/>
    </row>
    <row r="767" spans="1:18" ht="15" x14ac:dyDescent="0.3">
      <c r="A767" s="129"/>
      <c r="B767" s="60"/>
      <c r="C767" s="55"/>
      <c r="D767" s="60"/>
      <c r="E767" s="103">
        <f>_xlfn.XLOOKUP(enrollment_table[[#This Row],[*Subject]], classes_table[*Subject], classes_table[Fee])</f>
        <v>0</v>
      </c>
      <c r="F767" s="58"/>
      <c r="G767" s="60"/>
      <c r="H767" s="55"/>
      <c r="I767" s="176">
        <f>_xlfn.XLOOKUP(enrollment_table[[#This Row],[*Teacher Name]], teachers_table[*Teacher Name], teachers_table[*Teacher ID])</f>
        <v>0</v>
      </c>
      <c r="J767" s="60"/>
      <c r="K767" s="60"/>
      <c r="L767" s="55"/>
      <c r="M767" s="60"/>
      <c r="N767" s="60"/>
      <c r="O767" s="55"/>
      <c r="P767" s="161"/>
      <c r="Q767" s="160" t="str">
        <f>IF(enrollment_table[[#This Row],[Enrollment Date]]="","",TEXT(enrollment_table[[#This Row],[Enrollment Date]],"mmmm"))</f>
        <v/>
      </c>
      <c r="R767" s="60"/>
    </row>
    <row r="768" spans="1:18" ht="15" x14ac:dyDescent="0.3">
      <c r="A768" s="129"/>
      <c r="B768" s="60"/>
      <c r="C768" s="55"/>
      <c r="D768" s="60"/>
      <c r="E768" s="103">
        <f>_xlfn.XLOOKUP(enrollment_table[[#This Row],[*Subject]], classes_table[*Subject], classes_table[Fee])</f>
        <v>0</v>
      </c>
      <c r="F768" s="58"/>
      <c r="G768" s="60"/>
      <c r="H768" s="55"/>
      <c r="I768" s="176">
        <f>_xlfn.XLOOKUP(enrollment_table[[#This Row],[*Teacher Name]], teachers_table[*Teacher Name], teachers_table[*Teacher ID])</f>
        <v>0</v>
      </c>
      <c r="J768" s="60"/>
      <c r="K768" s="60"/>
      <c r="L768" s="55"/>
      <c r="M768" s="60"/>
      <c r="N768" s="60"/>
      <c r="O768" s="55"/>
      <c r="P768" s="161"/>
      <c r="Q768" s="160" t="str">
        <f>IF(enrollment_table[[#This Row],[Enrollment Date]]="","",TEXT(enrollment_table[[#This Row],[Enrollment Date]],"mmmm"))</f>
        <v/>
      </c>
      <c r="R768" s="60"/>
    </row>
    <row r="769" spans="1:18" ht="15" x14ac:dyDescent="0.3">
      <c r="A769" s="129"/>
      <c r="B769" s="60"/>
      <c r="C769" s="55"/>
      <c r="D769" s="60"/>
      <c r="E769" s="103">
        <f>_xlfn.XLOOKUP(enrollment_table[[#This Row],[*Subject]], classes_table[*Subject], classes_table[Fee])</f>
        <v>0</v>
      </c>
      <c r="F769" s="58"/>
      <c r="G769" s="60"/>
      <c r="H769" s="55"/>
      <c r="I769" s="176">
        <f>_xlfn.XLOOKUP(enrollment_table[[#This Row],[*Teacher Name]], teachers_table[*Teacher Name], teachers_table[*Teacher ID])</f>
        <v>0</v>
      </c>
      <c r="J769" s="60"/>
      <c r="K769" s="60"/>
      <c r="L769" s="55"/>
      <c r="M769" s="60"/>
      <c r="N769" s="60"/>
      <c r="O769" s="55"/>
      <c r="P769" s="161"/>
      <c r="Q769" s="160" t="str">
        <f>IF(enrollment_table[[#This Row],[Enrollment Date]]="","",TEXT(enrollment_table[[#This Row],[Enrollment Date]],"mmmm"))</f>
        <v/>
      </c>
      <c r="R769" s="60"/>
    </row>
    <row r="770" spans="1:18" ht="15" x14ac:dyDescent="0.3">
      <c r="A770" s="129"/>
      <c r="B770" s="60"/>
      <c r="C770" s="55"/>
      <c r="D770" s="60"/>
      <c r="E770" s="103">
        <f>_xlfn.XLOOKUP(enrollment_table[[#This Row],[*Subject]], classes_table[*Subject], classes_table[Fee])</f>
        <v>0</v>
      </c>
      <c r="F770" s="58"/>
      <c r="G770" s="60"/>
      <c r="H770" s="55"/>
      <c r="I770" s="176">
        <f>_xlfn.XLOOKUP(enrollment_table[[#This Row],[*Teacher Name]], teachers_table[*Teacher Name], teachers_table[*Teacher ID])</f>
        <v>0</v>
      </c>
      <c r="J770" s="60"/>
      <c r="K770" s="60"/>
      <c r="L770" s="55"/>
      <c r="M770" s="60"/>
      <c r="N770" s="60"/>
      <c r="O770" s="55"/>
      <c r="P770" s="161"/>
      <c r="Q770" s="160" t="str">
        <f>IF(enrollment_table[[#This Row],[Enrollment Date]]="","",TEXT(enrollment_table[[#This Row],[Enrollment Date]],"mmmm"))</f>
        <v/>
      </c>
      <c r="R770" s="60"/>
    </row>
    <row r="771" spans="1:18" ht="15" x14ac:dyDescent="0.3">
      <c r="A771" s="129"/>
      <c r="B771" s="60"/>
      <c r="C771" s="55"/>
      <c r="D771" s="60"/>
      <c r="E771" s="103">
        <f>_xlfn.XLOOKUP(enrollment_table[[#This Row],[*Subject]], classes_table[*Subject], classes_table[Fee])</f>
        <v>0</v>
      </c>
      <c r="F771" s="58"/>
      <c r="G771" s="60"/>
      <c r="H771" s="55"/>
      <c r="I771" s="176">
        <f>_xlfn.XLOOKUP(enrollment_table[[#This Row],[*Teacher Name]], teachers_table[*Teacher Name], teachers_table[*Teacher ID])</f>
        <v>0</v>
      </c>
      <c r="J771" s="60"/>
      <c r="K771" s="60"/>
      <c r="L771" s="55"/>
      <c r="M771" s="60"/>
      <c r="N771" s="60"/>
      <c r="O771" s="55"/>
      <c r="P771" s="161"/>
      <c r="Q771" s="160" t="str">
        <f>IF(enrollment_table[[#This Row],[Enrollment Date]]="","",TEXT(enrollment_table[[#This Row],[Enrollment Date]],"mmmm"))</f>
        <v/>
      </c>
      <c r="R771" s="60"/>
    </row>
    <row r="772" spans="1:18" ht="15" x14ac:dyDescent="0.3">
      <c r="A772" s="129"/>
      <c r="B772" s="60"/>
      <c r="C772" s="55"/>
      <c r="D772" s="60"/>
      <c r="E772" s="103">
        <f>_xlfn.XLOOKUP(enrollment_table[[#This Row],[*Subject]], classes_table[*Subject], classes_table[Fee])</f>
        <v>0</v>
      </c>
      <c r="F772" s="58"/>
      <c r="G772" s="60"/>
      <c r="H772" s="55"/>
      <c r="I772" s="176">
        <f>_xlfn.XLOOKUP(enrollment_table[[#This Row],[*Teacher Name]], teachers_table[*Teacher Name], teachers_table[*Teacher ID])</f>
        <v>0</v>
      </c>
      <c r="J772" s="60"/>
      <c r="K772" s="60"/>
      <c r="L772" s="55"/>
      <c r="M772" s="60"/>
      <c r="N772" s="60"/>
      <c r="O772" s="55"/>
      <c r="P772" s="161"/>
      <c r="Q772" s="160" t="str">
        <f>IF(enrollment_table[[#This Row],[Enrollment Date]]="","",TEXT(enrollment_table[[#This Row],[Enrollment Date]],"mmmm"))</f>
        <v/>
      </c>
      <c r="R772" s="60"/>
    </row>
    <row r="773" spans="1:18" ht="15" x14ac:dyDescent="0.3">
      <c r="A773" s="129"/>
      <c r="B773" s="60"/>
      <c r="C773" s="55"/>
      <c r="D773" s="60"/>
      <c r="E773" s="103">
        <f>_xlfn.XLOOKUP(enrollment_table[[#This Row],[*Subject]], classes_table[*Subject], classes_table[Fee])</f>
        <v>0</v>
      </c>
      <c r="F773" s="58"/>
      <c r="G773" s="60"/>
      <c r="H773" s="55"/>
      <c r="I773" s="176">
        <f>_xlfn.XLOOKUP(enrollment_table[[#This Row],[*Teacher Name]], teachers_table[*Teacher Name], teachers_table[*Teacher ID])</f>
        <v>0</v>
      </c>
      <c r="J773" s="60"/>
      <c r="K773" s="60"/>
      <c r="L773" s="55"/>
      <c r="M773" s="60"/>
      <c r="N773" s="60"/>
      <c r="O773" s="55"/>
      <c r="P773" s="161"/>
      <c r="Q773" s="160" t="str">
        <f>IF(enrollment_table[[#This Row],[Enrollment Date]]="","",TEXT(enrollment_table[[#This Row],[Enrollment Date]],"mmmm"))</f>
        <v/>
      </c>
      <c r="R773" s="60"/>
    </row>
    <row r="774" spans="1:18" ht="15" x14ac:dyDescent="0.3">
      <c r="A774" s="129"/>
      <c r="B774" s="60"/>
      <c r="C774" s="55"/>
      <c r="D774" s="60"/>
      <c r="E774" s="103">
        <f>_xlfn.XLOOKUP(enrollment_table[[#This Row],[*Subject]], classes_table[*Subject], classes_table[Fee])</f>
        <v>0</v>
      </c>
      <c r="F774" s="58"/>
      <c r="G774" s="60"/>
      <c r="H774" s="55"/>
      <c r="I774" s="176">
        <f>_xlfn.XLOOKUP(enrollment_table[[#This Row],[*Teacher Name]], teachers_table[*Teacher Name], teachers_table[*Teacher ID])</f>
        <v>0</v>
      </c>
      <c r="J774" s="60"/>
      <c r="K774" s="60"/>
      <c r="L774" s="55"/>
      <c r="M774" s="60"/>
      <c r="N774" s="60"/>
      <c r="O774" s="55"/>
      <c r="P774" s="161"/>
      <c r="Q774" s="160" t="str">
        <f>IF(enrollment_table[[#This Row],[Enrollment Date]]="","",TEXT(enrollment_table[[#This Row],[Enrollment Date]],"mmmm"))</f>
        <v/>
      </c>
      <c r="R774" s="60"/>
    </row>
    <row r="775" spans="1:18" ht="15" x14ac:dyDescent="0.3">
      <c r="A775" s="129"/>
      <c r="B775" s="60"/>
      <c r="C775" s="55"/>
      <c r="D775" s="60"/>
      <c r="E775" s="103">
        <f>_xlfn.XLOOKUP(enrollment_table[[#This Row],[*Subject]], classes_table[*Subject], classes_table[Fee])</f>
        <v>0</v>
      </c>
      <c r="F775" s="58"/>
      <c r="G775" s="60"/>
      <c r="H775" s="55"/>
      <c r="I775" s="176">
        <f>_xlfn.XLOOKUP(enrollment_table[[#This Row],[*Teacher Name]], teachers_table[*Teacher Name], teachers_table[*Teacher ID])</f>
        <v>0</v>
      </c>
      <c r="J775" s="60"/>
      <c r="K775" s="60"/>
      <c r="L775" s="55"/>
      <c r="M775" s="60"/>
      <c r="N775" s="60"/>
      <c r="O775" s="55"/>
      <c r="P775" s="161"/>
      <c r="Q775" s="160" t="str">
        <f>IF(enrollment_table[[#This Row],[Enrollment Date]]="","",TEXT(enrollment_table[[#This Row],[Enrollment Date]],"mmmm"))</f>
        <v/>
      </c>
      <c r="R775" s="60"/>
    </row>
    <row r="776" spans="1:18" ht="15" x14ac:dyDescent="0.3">
      <c r="A776" s="129"/>
      <c r="B776" s="60"/>
      <c r="C776" s="55"/>
      <c r="D776" s="60"/>
      <c r="E776" s="103">
        <f>_xlfn.XLOOKUP(enrollment_table[[#This Row],[*Subject]], classes_table[*Subject], classes_table[Fee])</f>
        <v>0</v>
      </c>
      <c r="F776" s="58"/>
      <c r="G776" s="60"/>
      <c r="H776" s="55"/>
      <c r="I776" s="176">
        <f>_xlfn.XLOOKUP(enrollment_table[[#This Row],[*Teacher Name]], teachers_table[*Teacher Name], teachers_table[*Teacher ID])</f>
        <v>0</v>
      </c>
      <c r="J776" s="60"/>
      <c r="K776" s="60"/>
      <c r="L776" s="55"/>
      <c r="M776" s="60"/>
      <c r="N776" s="60"/>
      <c r="O776" s="55"/>
      <c r="P776" s="161"/>
      <c r="Q776" s="160" t="str">
        <f>IF(enrollment_table[[#This Row],[Enrollment Date]]="","",TEXT(enrollment_table[[#This Row],[Enrollment Date]],"mmmm"))</f>
        <v/>
      </c>
      <c r="R776" s="60"/>
    </row>
    <row r="777" spans="1:18" ht="15" x14ac:dyDescent="0.3">
      <c r="A777" s="129"/>
      <c r="B777" s="60"/>
      <c r="C777" s="55"/>
      <c r="D777" s="60"/>
      <c r="E777" s="103">
        <f>_xlfn.XLOOKUP(enrollment_table[[#This Row],[*Subject]], classes_table[*Subject], classes_table[Fee])</f>
        <v>0</v>
      </c>
      <c r="F777" s="58"/>
      <c r="G777" s="60"/>
      <c r="H777" s="55"/>
      <c r="I777" s="176">
        <f>_xlfn.XLOOKUP(enrollment_table[[#This Row],[*Teacher Name]], teachers_table[*Teacher Name], teachers_table[*Teacher ID])</f>
        <v>0</v>
      </c>
      <c r="J777" s="60"/>
      <c r="K777" s="60"/>
      <c r="L777" s="55"/>
      <c r="M777" s="60"/>
      <c r="N777" s="60"/>
      <c r="O777" s="55"/>
      <c r="P777" s="161"/>
      <c r="Q777" s="160" t="str">
        <f>IF(enrollment_table[[#This Row],[Enrollment Date]]="","",TEXT(enrollment_table[[#This Row],[Enrollment Date]],"mmmm"))</f>
        <v/>
      </c>
      <c r="R777" s="60"/>
    </row>
    <row r="778" spans="1:18" ht="15" x14ac:dyDescent="0.3">
      <c r="A778" s="129"/>
      <c r="B778" s="60"/>
      <c r="C778" s="55"/>
      <c r="D778" s="60"/>
      <c r="E778" s="103">
        <f>_xlfn.XLOOKUP(enrollment_table[[#This Row],[*Subject]], classes_table[*Subject], classes_table[Fee])</f>
        <v>0</v>
      </c>
      <c r="F778" s="58"/>
      <c r="G778" s="60"/>
      <c r="H778" s="55"/>
      <c r="I778" s="176">
        <f>_xlfn.XLOOKUP(enrollment_table[[#This Row],[*Teacher Name]], teachers_table[*Teacher Name], teachers_table[*Teacher ID])</f>
        <v>0</v>
      </c>
      <c r="J778" s="60"/>
      <c r="K778" s="60"/>
      <c r="L778" s="55"/>
      <c r="M778" s="60"/>
      <c r="N778" s="60"/>
      <c r="O778" s="55"/>
      <c r="P778" s="161"/>
      <c r="Q778" s="160" t="str">
        <f>IF(enrollment_table[[#This Row],[Enrollment Date]]="","",TEXT(enrollment_table[[#This Row],[Enrollment Date]],"mmmm"))</f>
        <v/>
      </c>
      <c r="R778" s="60"/>
    </row>
    <row r="779" spans="1:18" ht="15" x14ac:dyDescent="0.3">
      <c r="A779" s="129"/>
      <c r="B779" s="60"/>
      <c r="C779" s="55"/>
      <c r="D779" s="60"/>
      <c r="E779" s="103">
        <f>_xlfn.XLOOKUP(enrollment_table[[#This Row],[*Subject]], classes_table[*Subject], classes_table[Fee])</f>
        <v>0</v>
      </c>
      <c r="F779" s="58"/>
      <c r="G779" s="60"/>
      <c r="H779" s="55"/>
      <c r="I779" s="176">
        <f>_xlfn.XLOOKUP(enrollment_table[[#This Row],[*Teacher Name]], teachers_table[*Teacher Name], teachers_table[*Teacher ID])</f>
        <v>0</v>
      </c>
      <c r="J779" s="60"/>
      <c r="K779" s="60"/>
      <c r="L779" s="55"/>
      <c r="M779" s="60"/>
      <c r="N779" s="60"/>
      <c r="O779" s="55"/>
      <c r="P779" s="161"/>
      <c r="Q779" s="160" t="str">
        <f>IF(enrollment_table[[#This Row],[Enrollment Date]]="","",TEXT(enrollment_table[[#This Row],[Enrollment Date]],"mmmm"))</f>
        <v/>
      </c>
      <c r="R779" s="60"/>
    </row>
    <row r="780" spans="1:18" ht="15" x14ac:dyDescent="0.3">
      <c r="A780" s="129"/>
      <c r="B780" s="60"/>
      <c r="C780" s="55"/>
      <c r="D780" s="60"/>
      <c r="E780" s="103">
        <f>_xlfn.XLOOKUP(enrollment_table[[#This Row],[*Subject]], classes_table[*Subject], classes_table[Fee])</f>
        <v>0</v>
      </c>
      <c r="F780" s="58"/>
      <c r="G780" s="60"/>
      <c r="H780" s="55"/>
      <c r="I780" s="176">
        <f>_xlfn.XLOOKUP(enrollment_table[[#This Row],[*Teacher Name]], teachers_table[*Teacher Name], teachers_table[*Teacher ID])</f>
        <v>0</v>
      </c>
      <c r="J780" s="60"/>
      <c r="K780" s="60"/>
      <c r="L780" s="55"/>
      <c r="M780" s="60"/>
      <c r="N780" s="60"/>
      <c r="O780" s="55"/>
      <c r="P780" s="161"/>
      <c r="Q780" s="160" t="str">
        <f>IF(enrollment_table[[#This Row],[Enrollment Date]]="","",TEXT(enrollment_table[[#This Row],[Enrollment Date]],"mmmm"))</f>
        <v/>
      </c>
      <c r="R780" s="60"/>
    </row>
    <row r="781" spans="1:18" ht="15" x14ac:dyDescent="0.3">
      <c r="A781" s="129"/>
      <c r="B781" s="60"/>
      <c r="C781" s="55"/>
      <c r="D781" s="60"/>
      <c r="E781" s="103">
        <f>_xlfn.XLOOKUP(enrollment_table[[#This Row],[*Subject]], classes_table[*Subject], classes_table[Fee])</f>
        <v>0</v>
      </c>
      <c r="F781" s="58"/>
      <c r="G781" s="60"/>
      <c r="H781" s="55"/>
      <c r="I781" s="176">
        <f>_xlfn.XLOOKUP(enrollment_table[[#This Row],[*Teacher Name]], teachers_table[*Teacher Name], teachers_table[*Teacher ID])</f>
        <v>0</v>
      </c>
      <c r="J781" s="60"/>
      <c r="K781" s="60"/>
      <c r="L781" s="55"/>
      <c r="M781" s="60"/>
      <c r="N781" s="60"/>
      <c r="O781" s="55"/>
      <c r="P781" s="161"/>
      <c r="Q781" s="160" t="str">
        <f>IF(enrollment_table[[#This Row],[Enrollment Date]]="","",TEXT(enrollment_table[[#This Row],[Enrollment Date]],"mmmm"))</f>
        <v/>
      </c>
      <c r="R781" s="60"/>
    </row>
    <row r="782" spans="1:18" ht="15" x14ac:dyDescent="0.3">
      <c r="A782" s="129"/>
      <c r="B782" s="60"/>
      <c r="C782" s="55"/>
      <c r="D782" s="60"/>
      <c r="E782" s="103">
        <f>_xlfn.XLOOKUP(enrollment_table[[#This Row],[*Subject]], classes_table[*Subject], classes_table[Fee])</f>
        <v>0</v>
      </c>
      <c r="F782" s="58"/>
      <c r="G782" s="60"/>
      <c r="H782" s="55"/>
      <c r="I782" s="176">
        <f>_xlfn.XLOOKUP(enrollment_table[[#This Row],[*Teacher Name]], teachers_table[*Teacher Name], teachers_table[*Teacher ID])</f>
        <v>0</v>
      </c>
      <c r="J782" s="60"/>
      <c r="K782" s="60"/>
      <c r="L782" s="55"/>
      <c r="M782" s="60"/>
      <c r="N782" s="60"/>
      <c r="O782" s="55"/>
      <c r="P782" s="161"/>
      <c r="Q782" s="160" t="str">
        <f>IF(enrollment_table[[#This Row],[Enrollment Date]]="","",TEXT(enrollment_table[[#This Row],[Enrollment Date]],"mmmm"))</f>
        <v/>
      </c>
      <c r="R782" s="60"/>
    </row>
    <row r="783" spans="1:18" ht="15" x14ac:dyDescent="0.3">
      <c r="A783" s="129"/>
      <c r="B783" s="60"/>
      <c r="C783" s="55"/>
      <c r="D783" s="60"/>
      <c r="E783" s="103">
        <f>_xlfn.XLOOKUP(enrollment_table[[#This Row],[*Subject]], classes_table[*Subject], classes_table[Fee])</f>
        <v>0</v>
      </c>
      <c r="F783" s="58"/>
      <c r="G783" s="60"/>
      <c r="H783" s="55"/>
      <c r="I783" s="176">
        <f>_xlfn.XLOOKUP(enrollment_table[[#This Row],[*Teacher Name]], teachers_table[*Teacher Name], teachers_table[*Teacher ID])</f>
        <v>0</v>
      </c>
      <c r="J783" s="60"/>
      <c r="K783" s="60"/>
      <c r="L783" s="55"/>
      <c r="M783" s="60"/>
      <c r="N783" s="60"/>
      <c r="O783" s="55"/>
      <c r="P783" s="161"/>
      <c r="Q783" s="160" t="str">
        <f>IF(enrollment_table[[#This Row],[Enrollment Date]]="","",TEXT(enrollment_table[[#This Row],[Enrollment Date]],"mmmm"))</f>
        <v/>
      </c>
      <c r="R783" s="60"/>
    </row>
    <row r="784" spans="1:18" ht="15" x14ac:dyDescent="0.3">
      <c r="A784" s="129"/>
      <c r="B784" s="60"/>
      <c r="C784" s="55"/>
      <c r="D784" s="60"/>
      <c r="E784" s="103">
        <f>_xlfn.XLOOKUP(enrollment_table[[#This Row],[*Subject]], classes_table[*Subject], classes_table[Fee])</f>
        <v>0</v>
      </c>
      <c r="F784" s="58"/>
      <c r="G784" s="60"/>
      <c r="H784" s="55"/>
      <c r="I784" s="176">
        <f>_xlfn.XLOOKUP(enrollment_table[[#This Row],[*Teacher Name]], teachers_table[*Teacher Name], teachers_table[*Teacher ID])</f>
        <v>0</v>
      </c>
      <c r="J784" s="60"/>
      <c r="K784" s="60"/>
      <c r="L784" s="55"/>
      <c r="M784" s="60"/>
      <c r="N784" s="60"/>
      <c r="O784" s="55"/>
      <c r="P784" s="161"/>
      <c r="Q784" s="160" t="str">
        <f>IF(enrollment_table[[#This Row],[Enrollment Date]]="","",TEXT(enrollment_table[[#This Row],[Enrollment Date]],"mmmm"))</f>
        <v/>
      </c>
      <c r="R784" s="60"/>
    </row>
    <row r="785" spans="1:18" ht="15" x14ac:dyDescent="0.3">
      <c r="A785" s="129"/>
      <c r="B785" s="60"/>
      <c r="C785" s="55"/>
      <c r="D785" s="60"/>
      <c r="E785" s="103">
        <f>_xlfn.XLOOKUP(enrollment_table[[#This Row],[*Subject]], classes_table[*Subject], classes_table[Fee])</f>
        <v>0</v>
      </c>
      <c r="F785" s="58"/>
      <c r="G785" s="60"/>
      <c r="H785" s="55"/>
      <c r="I785" s="176">
        <f>_xlfn.XLOOKUP(enrollment_table[[#This Row],[*Teacher Name]], teachers_table[*Teacher Name], teachers_table[*Teacher ID])</f>
        <v>0</v>
      </c>
      <c r="J785" s="60"/>
      <c r="K785" s="60"/>
      <c r="L785" s="55"/>
      <c r="M785" s="60"/>
      <c r="N785" s="60"/>
      <c r="O785" s="55"/>
      <c r="P785" s="161"/>
      <c r="Q785" s="160" t="str">
        <f>IF(enrollment_table[[#This Row],[Enrollment Date]]="","",TEXT(enrollment_table[[#This Row],[Enrollment Date]],"mmmm"))</f>
        <v/>
      </c>
      <c r="R785" s="60"/>
    </row>
    <row r="786" spans="1:18" ht="15" x14ac:dyDescent="0.3">
      <c r="A786" s="129"/>
      <c r="B786" s="60"/>
      <c r="C786" s="55"/>
      <c r="D786" s="60"/>
      <c r="E786" s="103">
        <f>_xlfn.XLOOKUP(enrollment_table[[#This Row],[*Subject]], classes_table[*Subject], classes_table[Fee])</f>
        <v>0</v>
      </c>
      <c r="F786" s="58"/>
      <c r="G786" s="60"/>
      <c r="H786" s="55"/>
      <c r="I786" s="176">
        <f>_xlfn.XLOOKUP(enrollment_table[[#This Row],[*Teacher Name]], teachers_table[*Teacher Name], teachers_table[*Teacher ID])</f>
        <v>0</v>
      </c>
      <c r="J786" s="60"/>
      <c r="K786" s="60"/>
      <c r="L786" s="55"/>
      <c r="M786" s="60"/>
      <c r="N786" s="60"/>
      <c r="O786" s="55"/>
      <c r="P786" s="161"/>
      <c r="Q786" s="160" t="str">
        <f>IF(enrollment_table[[#This Row],[Enrollment Date]]="","",TEXT(enrollment_table[[#This Row],[Enrollment Date]],"mmmm"))</f>
        <v/>
      </c>
      <c r="R786" s="60"/>
    </row>
    <row r="787" spans="1:18" ht="15" x14ac:dyDescent="0.3">
      <c r="A787" s="129"/>
      <c r="B787" s="60"/>
      <c r="C787" s="55"/>
      <c r="D787" s="60"/>
      <c r="E787" s="103">
        <f>_xlfn.XLOOKUP(enrollment_table[[#This Row],[*Subject]], classes_table[*Subject], classes_table[Fee])</f>
        <v>0</v>
      </c>
      <c r="F787" s="58"/>
      <c r="G787" s="60"/>
      <c r="H787" s="55"/>
      <c r="I787" s="176">
        <f>_xlfn.XLOOKUP(enrollment_table[[#This Row],[*Teacher Name]], teachers_table[*Teacher Name], teachers_table[*Teacher ID])</f>
        <v>0</v>
      </c>
      <c r="J787" s="60"/>
      <c r="K787" s="60"/>
      <c r="L787" s="55"/>
      <c r="M787" s="60"/>
      <c r="N787" s="60"/>
      <c r="O787" s="55"/>
      <c r="P787" s="161"/>
      <c r="Q787" s="160" t="str">
        <f>IF(enrollment_table[[#This Row],[Enrollment Date]]="","",TEXT(enrollment_table[[#This Row],[Enrollment Date]],"mmmm"))</f>
        <v/>
      </c>
      <c r="R787" s="60"/>
    </row>
    <row r="788" spans="1:18" ht="15" x14ac:dyDescent="0.3">
      <c r="A788" s="129"/>
      <c r="B788" s="60"/>
      <c r="C788" s="55"/>
      <c r="D788" s="60"/>
      <c r="E788" s="103">
        <f>_xlfn.XLOOKUP(enrollment_table[[#This Row],[*Subject]], classes_table[*Subject], classes_table[Fee])</f>
        <v>0</v>
      </c>
      <c r="F788" s="58"/>
      <c r="G788" s="60"/>
      <c r="H788" s="55"/>
      <c r="I788" s="176">
        <f>_xlfn.XLOOKUP(enrollment_table[[#This Row],[*Teacher Name]], teachers_table[*Teacher Name], teachers_table[*Teacher ID])</f>
        <v>0</v>
      </c>
      <c r="J788" s="60"/>
      <c r="K788" s="60"/>
      <c r="L788" s="55"/>
      <c r="M788" s="60"/>
      <c r="N788" s="60"/>
      <c r="O788" s="55"/>
      <c r="P788" s="161"/>
      <c r="Q788" s="160" t="str">
        <f>IF(enrollment_table[[#This Row],[Enrollment Date]]="","",TEXT(enrollment_table[[#This Row],[Enrollment Date]],"mmmm"))</f>
        <v/>
      </c>
      <c r="R788" s="60"/>
    </row>
    <row r="789" spans="1:18" ht="15" x14ac:dyDescent="0.3">
      <c r="A789" s="129"/>
      <c r="B789" s="60"/>
      <c r="C789" s="55"/>
      <c r="D789" s="60"/>
      <c r="E789" s="103">
        <f>_xlfn.XLOOKUP(enrollment_table[[#This Row],[*Subject]], classes_table[*Subject], classes_table[Fee])</f>
        <v>0</v>
      </c>
      <c r="F789" s="58"/>
      <c r="G789" s="60"/>
      <c r="H789" s="55"/>
      <c r="I789" s="176">
        <f>_xlfn.XLOOKUP(enrollment_table[[#This Row],[*Teacher Name]], teachers_table[*Teacher Name], teachers_table[*Teacher ID])</f>
        <v>0</v>
      </c>
      <c r="J789" s="60"/>
      <c r="K789" s="60"/>
      <c r="L789" s="55"/>
      <c r="M789" s="60"/>
      <c r="N789" s="60"/>
      <c r="O789" s="55"/>
      <c r="P789" s="161"/>
      <c r="Q789" s="160" t="str">
        <f>IF(enrollment_table[[#This Row],[Enrollment Date]]="","",TEXT(enrollment_table[[#This Row],[Enrollment Date]],"mmmm"))</f>
        <v/>
      </c>
      <c r="R789" s="60"/>
    </row>
    <row r="790" spans="1:18" ht="15" x14ac:dyDescent="0.3">
      <c r="A790" s="129"/>
      <c r="B790" s="60"/>
      <c r="C790" s="55"/>
      <c r="D790" s="60"/>
      <c r="E790" s="103">
        <f>_xlfn.XLOOKUP(enrollment_table[[#This Row],[*Subject]], classes_table[*Subject], classes_table[Fee])</f>
        <v>0</v>
      </c>
      <c r="F790" s="58"/>
      <c r="G790" s="60"/>
      <c r="H790" s="55"/>
      <c r="I790" s="176">
        <f>_xlfn.XLOOKUP(enrollment_table[[#This Row],[*Teacher Name]], teachers_table[*Teacher Name], teachers_table[*Teacher ID])</f>
        <v>0</v>
      </c>
      <c r="J790" s="60"/>
      <c r="K790" s="60"/>
      <c r="L790" s="55"/>
      <c r="M790" s="60"/>
      <c r="N790" s="60"/>
      <c r="O790" s="55"/>
      <c r="P790" s="161"/>
      <c r="Q790" s="160" t="str">
        <f>IF(enrollment_table[[#This Row],[Enrollment Date]]="","",TEXT(enrollment_table[[#This Row],[Enrollment Date]],"mmmm"))</f>
        <v/>
      </c>
      <c r="R790" s="60"/>
    </row>
    <row r="791" spans="1:18" ht="15" x14ac:dyDescent="0.3">
      <c r="A791" s="129"/>
      <c r="B791" s="60"/>
      <c r="C791" s="55"/>
      <c r="D791" s="60"/>
      <c r="E791" s="103">
        <f>_xlfn.XLOOKUP(enrollment_table[[#This Row],[*Subject]], classes_table[*Subject], classes_table[Fee])</f>
        <v>0</v>
      </c>
      <c r="F791" s="58"/>
      <c r="G791" s="60"/>
      <c r="H791" s="55"/>
      <c r="I791" s="176">
        <f>_xlfn.XLOOKUP(enrollment_table[[#This Row],[*Teacher Name]], teachers_table[*Teacher Name], teachers_table[*Teacher ID])</f>
        <v>0</v>
      </c>
      <c r="J791" s="60"/>
      <c r="K791" s="60"/>
      <c r="L791" s="55"/>
      <c r="M791" s="60"/>
      <c r="N791" s="60"/>
      <c r="O791" s="55"/>
      <c r="P791" s="161"/>
      <c r="Q791" s="160" t="str">
        <f>IF(enrollment_table[[#This Row],[Enrollment Date]]="","",TEXT(enrollment_table[[#This Row],[Enrollment Date]],"mmmm"))</f>
        <v/>
      </c>
      <c r="R791" s="60"/>
    </row>
    <row r="792" spans="1:18" ht="15" x14ac:dyDescent="0.3">
      <c r="A792" s="129"/>
      <c r="B792" s="60"/>
      <c r="C792" s="55"/>
      <c r="D792" s="60"/>
      <c r="E792" s="103">
        <f>_xlfn.XLOOKUP(enrollment_table[[#This Row],[*Subject]], classes_table[*Subject], classes_table[Fee])</f>
        <v>0</v>
      </c>
      <c r="F792" s="58"/>
      <c r="G792" s="60"/>
      <c r="H792" s="55"/>
      <c r="I792" s="176">
        <f>_xlfn.XLOOKUP(enrollment_table[[#This Row],[*Teacher Name]], teachers_table[*Teacher Name], teachers_table[*Teacher ID])</f>
        <v>0</v>
      </c>
      <c r="J792" s="60"/>
      <c r="K792" s="60"/>
      <c r="L792" s="55"/>
      <c r="M792" s="60"/>
      <c r="N792" s="60"/>
      <c r="O792" s="55"/>
      <c r="P792" s="161"/>
      <c r="Q792" s="160" t="str">
        <f>IF(enrollment_table[[#This Row],[Enrollment Date]]="","",TEXT(enrollment_table[[#This Row],[Enrollment Date]],"mmmm"))</f>
        <v/>
      </c>
      <c r="R792" s="60"/>
    </row>
    <row r="793" spans="1:18" ht="15" x14ac:dyDescent="0.3">
      <c r="A793" s="129"/>
      <c r="B793" s="60"/>
      <c r="C793" s="55"/>
      <c r="D793" s="60"/>
      <c r="E793" s="103">
        <f>_xlfn.XLOOKUP(enrollment_table[[#This Row],[*Subject]], classes_table[*Subject], classes_table[Fee])</f>
        <v>0</v>
      </c>
      <c r="F793" s="58"/>
      <c r="G793" s="60"/>
      <c r="H793" s="55"/>
      <c r="I793" s="176">
        <f>_xlfn.XLOOKUP(enrollment_table[[#This Row],[*Teacher Name]], teachers_table[*Teacher Name], teachers_table[*Teacher ID])</f>
        <v>0</v>
      </c>
      <c r="J793" s="60"/>
      <c r="K793" s="60"/>
      <c r="L793" s="55"/>
      <c r="M793" s="60"/>
      <c r="N793" s="60"/>
      <c r="O793" s="55"/>
      <c r="P793" s="161"/>
      <c r="Q793" s="160" t="str">
        <f>IF(enrollment_table[[#This Row],[Enrollment Date]]="","",TEXT(enrollment_table[[#This Row],[Enrollment Date]],"mmmm"))</f>
        <v/>
      </c>
      <c r="R793" s="60"/>
    </row>
    <row r="794" spans="1:18" ht="15" x14ac:dyDescent="0.3">
      <c r="A794" s="129"/>
      <c r="B794" s="60"/>
      <c r="C794" s="55"/>
      <c r="D794" s="60"/>
      <c r="E794" s="103">
        <f>_xlfn.XLOOKUP(enrollment_table[[#This Row],[*Subject]], classes_table[*Subject], classes_table[Fee])</f>
        <v>0</v>
      </c>
      <c r="F794" s="58"/>
      <c r="G794" s="60"/>
      <c r="H794" s="55"/>
      <c r="I794" s="176">
        <f>_xlfn.XLOOKUP(enrollment_table[[#This Row],[*Teacher Name]], teachers_table[*Teacher Name], teachers_table[*Teacher ID])</f>
        <v>0</v>
      </c>
      <c r="J794" s="60"/>
      <c r="K794" s="60"/>
      <c r="L794" s="55"/>
      <c r="M794" s="60"/>
      <c r="N794" s="60"/>
      <c r="O794" s="55"/>
      <c r="P794" s="161"/>
      <c r="Q794" s="160" t="str">
        <f>IF(enrollment_table[[#This Row],[Enrollment Date]]="","",TEXT(enrollment_table[[#This Row],[Enrollment Date]],"mmmm"))</f>
        <v/>
      </c>
      <c r="R794" s="60"/>
    </row>
    <row r="795" spans="1:18" ht="15" x14ac:dyDescent="0.3">
      <c r="A795" s="129"/>
      <c r="B795" s="60"/>
      <c r="C795" s="55"/>
      <c r="D795" s="60"/>
      <c r="E795" s="103">
        <f>_xlfn.XLOOKUP(enrollment_table[[#This Row],[*Subject]], classes_table[*Subject], classes_table[Fee])</f>
        <v>0</v>
      </c>
      <c r="F795" s="58"/>
      <c r="G795" s="60"/>
      <c r="H795" s="55"/>
      <c r="I795" s="176">
        <f>_xlfn.XLOOKUP(enrollment_table[[#This Row],[*Teacher Name]], teachers_table[*Teacher Name], teachers_table[*Teacher ID])</f>
        <v>0</v>
      </c>
      <c r="J795" s="60"/>
      <c r="K795" s="60"/>
      <c r="L795" s="55"/>
      <c r="M795" s="60"/>
      <c r="N795" s="60"/>
      <c r="O795" s="55"/>
      <c r="P795" s="161"/>
      <c r="Q795" s="160" t="str">
        <f>IF(enrollment_table[[#This Row],[Enrollment Date]]="","",TEXT(enrollment_table[[#This Row],[Enrollment Date]],"mmmm"))</f>
        <v/>
      </c>
      <c r="R795" s="60"/>
    </row>
    <row r="796" spans="1:18" ht="15" x14ac:dyDescent="0.3">
      <c r="A796" s="129"/>
      <c r="B796" s="60"/>
      <c r="C796" s="55"/>
      <c r="D796" s="60"/>
      <c r="E796" s="103">
        <f>_xlfn.XLOOKUP(enrollment_table[[#This Row],[*Subject]], classes_table[*Subject], classes_table[Fee])</f>
        <v>0</v>
      </c>
      <c r="F796" s="58"/>
      <c r="G796" s="60"/>
      <c r="H796" s="55"/>
      <c r="I796" s="176">
        <f>_xlfn.XLOOKUP(enrollment_table[[#This Row],[*Teacher Name]], teachers_table[*Teacher Name], teachers_table[*Teacher ID])</f>
        <v>0</v>
      </c>
      <c r="J796" s="60"/>
      <c r="K796" s="60"/>
      <c r="L796" s="55"/>
      <c r="M796" s="60"/>
      <c r="N796" s="60"/>
      <c r="O796" s="55"/>
      <c r="P796" s="161"/>
      <c r="Q796" s="160" t="str">
        <f>IF(enrollment_table[[#This Row],[Enrollment Date]]="","",TEXT(enrollment_table[[#This Row],[Enrollment Date]],"mmmm"))</f>
        <v/>
      </c>
      <c r="R796" s="60"/>
    </row>
    <row r="797" spans="1:18" ht="15" x14ac:dyDescent="0.3">
      <c r="A797" s="129"/>
      <c r="B797" s="60"/>
      <c r="C797" s="55"/>
      <c r="D797" s="60"/>
      <c r="E797" s="103">
        <f>_xlfn.XLOOKUP(enrollment_table[[#This Row],[*Subject]], classes_table[*Subject], classes_table[Fee])</f>
        <v>0</v>
      </c>
      <c r="F797" s="58"/>
      <c r="G797" s="60"/>
      <c r="H797" s="55"/>
      <c r="I797" s="176">
        <f>_xlfn.XLOOKUP(enrollment_table[[#This Row],[*Teacher Name]], teachers_table[*Teacher Name], teachers_table[*Teacher ID])</f>
        <v>0</v>
      </c>
      <c r="J797" s="60"/>
      <c r="K797" s="60"/>
      <c r="L797" s="55"/>
      <c r="M797" s="60"/>
      <c r="N797" s="60"/>
      <c r="O797" s="55"/>
      <c r="P797" s="161"/>
      <c r="Q797" s="160" t="str">
        <f>IF(enrollment_table[[#This Row],[Enrollment Date]]="","",TEXT(enrollment_table[[#This Row],[Enrollment Date]],"mmmm"))</f>
        <v/>
      </c>
      <c r="R797" s="60"/>
    </row>
    <row r="798" spans="1:18" ht="15" x14ac:dyDescent="0.3">
      <c r="A798" s="129"/>
      <c r="B798" s="60"/>
      <c r="C798" s="55"/>
      <c r="D798" s="60"/>
      <c r="E798" s="103">
        <f>_xlfn.XLOOKUP(enrollment_table[[#This Row],[*Subject]], classes_table[*Subject], classes_table[Fee])</f>
        <v>0</v>
      </c>
      <c r="F798" s="58"/>
      <c r="G798" s="60"/>
      <c r="H798" s="55"/>
      <c r="I798" s="176">
        <f>_xlfn.XLOOKUP(enrollment_table[[#This Row],[*Teacher Name]], teachers_table[*Teacher Name], teachers_table[*Teacher ID])</f>
        <v>0</v>
      </c>
      <c r="J798" s="60"/>
      <c r="K798" s="60"/>
      <c r="L798" s="55"/>
      <c r="M798" s="60"/>
      <c r="N798" s="60"/>
      <c r="O798" s="55"/>
      <c r="P798" s="161"/>
      <c r="Q798" s="160" t="str">
        <f>IF(enrollment_table[[#This Row],[Enrollment Date]]="","",TEXT(enrollment_table[[#This Row],[Enrollment Date]],"mmmm"))</f>
        <v/>
      </c>
      <c r="R798" s="60"/>
    </row>
    <row r="799" spans="1:18" ht="15" x14ac:dyDescent="0.3">
      <c r="A799" s="129"/>
      <c r="B799" s="60"/>
      <c r="C799" s="55"/>
      <c r="D799" s="60"/>
      <c r="E799" s="103">
        <f>_xlfn.XLOOKUP(enrollment_table[[#This Row],[*Subject]], classes_table[*Subject], classes_table[Fee])</f>
        <v>0</v>
      </c>
      <c r="F799" s="58"/>
      <c r="G799" s="60"/>
      <c r="H799" s="55"/>
      <c r="I799" s="176">
        <f>_xlfn.XLOOKUP(enrollment_table[[#This Row],[*Teacher Name]], teachers_table[*Teacher Name], teachers_table[*Teacher ID])</f>
        <v>0</v>
      </c>
      <c r="J799" s="60"/>
      <c r="K799" s="60"/>
      <c r="L799" s="55"/>
      <c r="M799" s="60"/>
      <c r="N799" s="60"/>
      <c r="O799" s="55"/>
      <c r="P799" s="161"/>
      <c r="Q799" s="160" t="str">
        <f>IF(enrollment_table[[#This Row],[Enrollment Date]]="","",TEXT(enrollment_table[[#This Row],[Enrollment Date]],"mmmm"))</f>
        <v/>
      </c>
      <c r="R799" s="60"/>
    </row>
    <row r="800" spans="1:18" ht="15" x14ac:dyDescent="0.3">
      <c r="A800" s="129"/>
      <c r="B800" s="60"/>
      <c r="C800" s="55"/>
      <c r="D800" s="60"/>
      <c r="E800" s="103">
        <f>_xlfn.XLOOKUP(enrollment_table[[#This Row],[*Subject]], classes_table[*Subject], classes_table[Fee])</f>
        <v>0</v>
      </c>
      <c r="F800" s="58"/>
      <c r="G800" s="60"/>
      <c r="H800" s="55"/>
      <c r="I800" s="176">
        <f>_xlfn.XLOOKUP(enrollment_table[[#This Row],[*Teacher Name]], teachers_table[*Teacher Name], teachers_table[*Teacher ID])</f>
        <v>0</v>
      </c>
      <c r="J800" s="60"/>
      <c r="K800" s="60"/>
      <c r="L800" s="55"/>
      <c r="M800" s="60"/>
      <c r="N800" s="60"/>
      <c r="O800" s="55"/>
      <c r="P800" s="161"/>
      <c r="Q800" s="160" t="str">
        <f>IF(enrollment_table[[#This Row],[Enrollment Date]]="","",TEXT(enrollment_table[[#This Row],[Enrollment Date]],"mmmm"))</f>
        <v/>
      </c>
      <c r="R800" s="60"/>
    </row>
    <row r="801" spans="1:18" ht="15" x14ac:dyDescent="0.3">
      <c r="A801" s="129"/>
      <c r="B801" s="60"/>
      <c r="C801" s="55"/>
      <c r="D801" s="60"/>
      <c r="E801" s="103">
        <f>_xlfn.XLOOKUP(enrollment_table[[#This Row],[*Subject]], classes_table[*Subject], classes_table[Fee])</f>
        <v>0</v>
      </c>
      <c r="F801" s="58"/>
      <c r="G801" s="60"/>
      <c r="H801" s="55"/>
      <c r="I801" s="176">
        <f>_xlfn.XLOOKUP(enrollment_table[[#This Row],[*Teacher Name]], teachers_table[*Teacher Name], teachers_table[*Teacher ID])</f>
        <v>0</v>
      </c>
      <c r="J801" s="60"/>
      <c r="K801" s="60"/>
      <c r="L801" s="55"/>
      <c r="M801" s="60"/>
      <c r="N801" s="60"/>
      <c r="O801" s="55"/>
      <c r="P801" s="161"/>
      <c r="Q801" s="160" t="str">
        <f>IF(enrollment_table[[#This Row],[Enrollment Date]]="","",TEXT(enrollment_table[[#This Row],[Enrollment Date]],"mmmm"))</f>
        <v/>
      </c>
      <c r="R801" s="60"/>
    </row>
    <row r="802" spans="1:18" ht="15" x14ac:dyDescent="0.3">
      <c r="A802" s="129"/>
      <c r="B802" s="60"/>
      <c r="C802" s="55"/>
      <c r="D802" s="60"/>
      <c r="E802" s="103">
        <f>_xlfn.XLOOKUP(enrollment_table[[#This Row],[*Subject]], classes_table[*Subject], classes_table[Fee])</f>
        <v>0</v>
      </c>
      <c r="F802" s="58"/>
      <c r="G802" s="60"/>
      <c r="H802" s="55"/>
      <c r="I802" s="176">
        <f>_xlfn.XLOOKUP(enrollment_table[[#This Row],[*Teacher Name]], teachers_table[*Teacher Name], teachers_table[*Teacher ID])</f>
        <v>0</v>
      </c>
      <c r="J802" s="60"/>
      <c r="K802" s="60"/>
      <c r="L802" s="55"/>
      <c r="M802" s="60"/>
      <c r="N802" s="60"/>
      <c r="O802" s="55"/>
      <c r="P802" s="161"/>
      <c r="Q802" s="160" t="str">
        <f>IF(enrollment_table[[#This Row],[Enrollment Date]]="","",TEXT(enrollment_table[[#This Row],[Enrollment Date]],"mmmm"))</f>
        <v/>
      </c>
      <c r="R802" s="60"/>
    </row>
    <row r="803" spans="1:18" ht="15" x14ac:dyDescent="0.3">
      <c r="A803" s="129"/>
      <c r="B803" s="60"/>
      <c r="C803" s="55"/>
      <c r="D803" s="60"/>
      <c r="E803" s="103">
        <f>_xlfn.XLOOKUP(enrollment_table[[#This Row],[*Subject]], classes_table[*Subject], classes_table[Fee])</f>
        <v>0</v>
      </c>
      <c r="F803" s="58"/>
      <c r="G803" s="60"/>
      <c r="H803" s="55"/>
      <c r="I803" s="176">
        <f>_xlfn.XLOOKUP(enrollment_table[[#This Row],[*Teacher Name]], teachers_table[*Teacher Name], teachers_table[*Teacher ID])</f>
        <v>0</v>
      </c>
      <c r="J803" s="60"/>
      <c r="K803" s="60"/>
      <c r="L803" s="55"/>
      <c r="M803" s="60"/>
      <c r="N803" s="60"/>
      <c r="O803" s="55"/>
      <c r="P803" s="161"/>
      <c r="Q803" s="160" t="str">
        <f>IF(enrollment_table[[#This Row],[Enrollment Date]]="","",TEXT(enrollment_table[[#This Row],[Enrollment Date]],"mmmm"))</f>
        <v/>
      </c>
      <c r="R803" s="60"/>
    </row>
    <row r="804" spans="1:18" ht="15" x14ac:dyDescent="0.3">
      <c r="A804" s="129"/>
      <c r="B804" s="60"/>
      <c r="C804" s="55"/>
      <c r="D804" s="60"/>
      <c r="E804" s="103">
        <f>_xlfn.XLOOKUP(enrollment_table[[#This Row],[*Subject]], classes_table[*Subject], classes_table[Fee])</f>
        <v>0</v>
      </c>
      <c r="F804" s="58"/>
      <c r="G804" s="60"/>
      <c r="H804" s="55"/>
      <c r="I804" s="176">
        <f>_xlfn.XLOOKUP(enrollment_table[[#This Row],[*Teacher Name]], teachers_table[*Teacher Name], teachers_table[*Teacher ID])</f>
        <v>0</v>
      </c>
      <c r="J804" s="60"/>
      <c r="K804" s="60"/>
      <c r="L804" s="55"/>
      <c r="M804" s="60"/>
      <c r="N804" s="60"/>
      <c r="O804" s="55"/>
      <c r="P804" s="161"/>
      <c r="Q804" s="160" t="str">
        <f>IF(enrollment_table[[#This Row],[Enrollment Date]]="","",TEXT(enrollment_table[[#This Row],[Enrollment Date]],"mmmm"))</f>
        <v/>
      </c>
      <c r="R804" s="60"/>
    </row>
    <row r="805" spans="1:18" ht="15" x14ac:dyDescent="0.3">
      <c r="A805" s="129"/>
      <c r="B805" s="60"/>
      <c r="C805" s="55"/>
      <c r="D805" s="60"/>
      <c r="E805" s="103">
        <f>_xlfn.XLOOKUP(enrollment_table[[#This Row],[*Subject]], classes_table[*Subject], classes_table[Fee])</f>
        <v>0</v>
      </c>
      <c r="F805" s="58"/>
      <c r="G805" s="60"/>
      <c r="H805" s="55"/>
      <c r="I805" s="176">
        <f>_xlfn.XLOOKUP(enrollment_table[[#This Row],[*Teacher Name]], teachers_table[*Teacher Name], teachers_table[*Teacher ID])</f>
        <v>0</v>
      </c>
      <c r="J805" s="60"/>
      <c r="K805" s="60"/>
      <c r="L805" s="55"/>
      <c r="M805" s="60"/>
      <c r="N805" s="60"/>
      <c r="O805" s="55"/>
      <c r="P805" s="161"/>
      <c r="Q805" s="160" t="str">
        <f>IF(enrollment_table[[#This Row],[Enrollment Date]]="","",TEXT(enrollment_table[[#This Row],[Enrollment Date]],"mmmm"))</f>
        <v/>
      </c>
      <c r="R805" s="60"/>
    </row>
    <row r="806" spans="1:18" ht="15" x14ac:dyDescent="0.3">
      <c r="A806" s="129"/>
      <c r="B806" s="60"/>
      <c r="C806" s="55"/>
      <c r="D806" s="60"/>
      <c r="E806" s="103">
        <f>_xlfn.XLOOKUP(enrollment_table[[#This Row],[*Subject]], classes_table[*Subject], classes_table[Fee])</f>
        <v>0</v>
      </c>
      <c r="F806" s="58"/>
      <c r="G806" s="60"/>
      <c r="H806" s="55"/>
      <c r="I806" s="176">
        <f>_xlfn.XLOOKUP(enrollment_table[[#This Row],[*Teacher Name]], teachers_table[*Teacher Name], teachers_table[*Teacher ID])</f>
        <v>0</v>
      </c>
      <c r="J806" s="60"/>
      <c r="K806" s="60"/>
      <c r="L806" s="55"/>
      <c r="M806" s="60"/>
      <c r="N806" s="60"/>
      <c r="O806" s="55"/>
      <c r="P806" s="161"/>
      <c r="Q806" s="160" t="str">
        <f>IF(enrollment_table[[#This Row],[Enrollment Date]]="","",TEXT(enrollment_table[[#This Row],[Enrollment Date]],"mmmm"))</f>
        <v/>
      </c>
      <c r="R806" s="60"/>
    </row>
    <row r="807" spans="1:18" ht="15" x14ac:dyDescent="0.3">
      <c r="A807" s="129"/>
      <c r="B807" s="60"/>
      <c r="C807" s="55"/>
      <c r="D807" s="60"/>
      <c r="E807" s="103">
        <f>_xlfn.XLOOKUP(enrollment_table[[#This Row],[*Subject]], classes_table[*Subject], classes_table[Fee])</f>
        <v>0</v>
      </c>
      <c r="F807" s="58"/>
      <c r="G807" s="60"/>
      <c r="H807" s="55"/>
      <c r="I807" s="176">
        <f>_xlfn.XLOOKUP(enrollment_table[[#This Row],[*Teacher Name]], teachers_table[*Teacher Name], teachers_table[*Teacher ID])</f>
        <v>0</v>
      </c>
      <c r="J807" s="60"/>
      <c r="K807" s="60"/>
      <c r="L807" s="55"/>
      <c r="M807" s="60"/>
      <c r="N807" s="60"/>
      <c r="O807" s="55"/>
      <c r="P807" s="161"/>
      <c r="Q807" s="160" t="str">
        <f>IF(enrollment_table[[#This Row],[Enrollment Date]]="","",TEXT(enrollment_table[[#This Row],[Enrollment Date]],"mmmm"))</f>
        <v/>
      </c>
      <c r="R807" s="60"/>
    </row>
    <row r="808" spans="1:18" ht="15" x14ac:dyDescent="0.3">
      <c r="A808" s="129"/>
      <c r="B808" s="60"/>
      <c r="C808" s="55"/>
      <c r="D808" s="60"/>
      <c r="E808" s="103">
        <f>_xlfn.XLOOKUP(enrollment_table[[#This Row],[*Subject]], classes_table[*Subject], classes_table[Fee])</f>
        <v>0</v>
      </c>
      <c r="F808" s="58"/>
      <c r="G808" s="60"/>
      <c r="H808" s="55"/>
      <c r="I808" s="176">
        <f>_xlfn.XLOOKUP(enrollment_table[[#This Row],[*Teacher Name]], teachers_table[*Teacher Name], teachers_table[*Teacher ID])</f>
        <v>0</v>
      </c>
      <c r="J808" s="60"/>
      <c r="K808" s="60"/>
      <c r="L808" s="55"/>
      <c r="M808" s="60"/>
      <c r="N808" s="60"/>
      <c r="O808" s="55"/>
      <c r="P808" s="161"/>
      <c r="Q808" s="160" t="str">
        <f>IF(enrollment_table[[#This Row],[Enrollment Date]]="","",TEXT(enrollment_table[[#This Row],[Enrollment Date]],"mmmm"))</f>
        <v/>
      </c>
      <c r="R808" s="60"/>
    </row>
    <row r="809" spans="1:18" ht="15" x14ac:dyDescent="0.3">
      <c r="A809" s="129"/>
      <c r="B809" s="60"/>
      <c r="C809" s="55"/>
      <c r="D809" s="60"/>
      <c r="E809" s="103">
        <f>_xlfn.XLOOKUP(enrollment_table[[#This Row],[*Subject]], classes_table[*Subject], classes_table[Fee])</f>
        <v>0</v>
      </c>
      <c r="F809" s="58"/>
      <c r="G809" s="60"/>
      <c r="H809" s="55"/>
      <c r="I809" s="176">
        <f>_xlfn.XLOOKUP(enrollment_table[[#This Row],[*Teacher Name]], teachers_table[*Teacher Name], teachers_table[*Teacher ID])</f>
        <v>0</v>
      </c>
      <c r="J809" s="60"/>
      <c r="K809" s="60"/>
      <c r="L809" s="55"/>
      <c r="M809" s="60"/>
      <c r="N809" s="60"/>
      <c r="O809" s="55"/>
      <c r="P809" s="161"/>
      <c r="Q809" s="160" t="str">
        <f>IF(enrollment_table[[#This Row],[Enrollment Date]]="","",TEXT(enrollment_table[[#This Row],[Enrollment Date]],"mmmm"))</f>
        <v/>
      </c>
      <c r="R809" s="60"/>
    </row>
    <row r="810" spans="1:18" ht="15" x14ac:dyDescent="0.3">
      <c r="A810" s="129"/>
      <c r="B810" s="60"/>
      <c r="C810" s="55"/>
      <c r="D810" s="60"/>
      <c r="E810" s="103">
        <f>_xlfn.XLOOKUP(enrollment_table[[#This Row],[*Subject]], classes_table[*Subject], classes_table[Fee])</f>
        <v>0</v>
      </c>
      <c r="F810" s="58"/>
      <c r="G810" s="60"/>
      <c r="H810" s="55"/>
      <c r="I810" s="176">
        <f>_xlfn.XLOOKUP(enrollment_table[[#This Row],[*Teacher Name]], teachers_table[*Teacher Name], teachers_table[*Teacher ID])</f>
        <v>0</v>
      </c>
      <c r="J810" s="60"/>
      <c r="K810" s="60"/>
      <c r="L810" s="55"/>
      <c r="M810" s="60"/>
      <c r="N810" s="60"/>
      <c r="O810" s="55"/>
      <c r="P810" s="161"/>
      <c r="Q810" s="160" t="str">
        <f>IF(enrollment_table[[#This Row],[Enrollment Date]]="","",TEXT(enrollment_table[[#This Row],[Enrollment Date]],"mmmm"))</f>
        <v/>
      </c>
      <c r="R810" s="60"/>
    </row>
    <row r="811" spans="1:18" ht="15" x14ac:dyDescent="0.3">
      <c r="A811" s="129"/>
      <c r="B811" s="60"/>
      <c r="C811" s="55"/>
      <c r="D811" s="60"/>
      <c r="E811" s="103">
        <f>_xlfn.XLOOKUP(enrollment_table[[#This Row],[*Subject]], classes_table[*Subject], classes_table[Fee])</f>
        <v>0</v>
      </c>
      <c r="F811" s="58"/>
      <c r="G811" s="60"/>
      <c r="H811" s="55"/>
      <c r="I811" s="176">
        <f>_xlfn.XLOOKUP(enrollment_table[[#This Row],[*Teacher Name]], teachers_table[*Teacher Name], teachers_table[*Teacher ID])</f>
        <v>0</v>
      </c>
      <c r="J811" s="60"/>
      <c r="K811" s="60"/>
      <c r="L811" s="55"/>
      <c r="M811" s="60"/>
      <c r="N811" s="60"/>
      <c r="O811" s="55"/>
      <c r="P811" s="161"/>
      <c r="Q811" s="160" t="str">
        <f>IF(enrollment_table[[#This Row],[Enrollment Date]]="","",TEXT(enrollment_table[[#This Row],[Enrollment Date]],"mmmm"))</f>
        <v/>
      </c>
      <c r="R811" s="60"/>
    </row>
    <row r="812" spans="1:18" ht="15" x14ac:dyDescent="0.3">
      <c r="A812" s="129"/>
      <c r="B812" s="60"/>
      <c r="C812" s="55"/>
      <c r="D812" s="60"/>
      <c r="E812" s="103">
        <f>_xlfn.XLOOKUP(enrollment_table[[#This Row],[*Subject]], classes_table[*Subject], classes_table[Fee])</f>
        <v>0</v>
      </c>
      <c r="F812" s="58"/>
      <c r="G812" s="60"/>
      <c r="H812" s="55"/>
      <c r="I812" s="176">
        <f>_xlfn.XLOOKUP(enrollment_table[[#This Row],[*Teacher Name]], teachers_table[*Teacher Name], teachers_table[*Teacher ID])</f>
        <v>0</v>
      </c>
      <c r="J812" s="60"/>
      <c r="K812" s="60"/>
      <c r="L812" s="55"/>
      <c r="M812" s="60"/>
      <c r="N812" s="60"/>
      <c r="O812" s="55"/>
      <c r="P812" s="161"/>
      <c r="Q812" s="160" t="str">
        <f>IF(enrollment_table[[#This Row],[Enrollment Date]]="","",TEXT(enrollment_table[[#This Row],[Enrollment Date]],"mmmm"))</f>
        <v/>
      </c>
      <c r="R812" s="60"/>
    </row>
    <row r="813" spans="1:18" ht="15" x14ac:dyDescent="0.3">
      <c r="A813" s="129"/>
      <c r="B813" s="60"/>
      <c r="C813" s="55"/>
      <c r="D813" s="60"/>
      <c r="E813" s="103">
        <f>_xlfn.XLOOKUP(enrollment_table[[#This Row],[*Subject]], classes_table[*Subject], classes_table[Fee])</f>
        <v>0</v>
      </c>
      <c r="F813" s="58"/>
      <c r="G813" s="60"/>
      <c r="H813" s="55"/>
      <c r="I813" s="176">
        <f>_xlfn.XLOOKUP(enrollment_table[[#This Row],[*Teacher Name]], teachers_table[*Teacher Name], teachers_table[*Teacher ID])</f>
        <v>0</v>
      </c>
      <c r="J813" s="60"/>
      <c r="K813" s="60"/>
      <c r="L813" s="55"/>
      <c r="M813" s="60"/>
      <c r="N813" s="60"/>
      <c r="O813" s="55"/>
      <c r="P813" s="161"/>
      <c r="Q813" s="160" t="str">
        <f>IF(enrollment_table[[#This Row],[Enrollment Date]]="","",TEXT(enrollment_table[[#This Row],[Enrollment Date]],"mmmm"))</f>
        <v/>
      </c>
      <c r="R813" s="60"/>
    </row>
    <row r="814" spans="1:18" ht="15" x14ac:dyDescent="0.3">
      <c r="A814" s="129"/>
      <c r="B814" s="60"/>
      <c r="C814" s="55"/>
      <c r="D814" s="60"/>
      <c r="E814" s="103">
        <f>_xlfn.XLOOKUP(enrollment_table[[#This Row],[*Subject]], classes_table[*Subject], classes_table[Fee])</f>
        <v>0</v>
      </c>
      <c r="F814" s="58"/>
      <c r="G814" s="60"/>
      <c r="H814" s="55"/>
      <c r="I814" s="176">
        <f>_xlfn.XLOOKUP(enrollment_table[[#This Row],[*Teacher Name]], teachers_table[*Teacher Name], teachers_table[*Teacher ID])</f>
        <v>0</v>
      </c>
      <c r="J814" s="60"/>
      <c r="K814" s="60"/>
      <c r="L814" s="55"/>
      <c r="M814" s="60"/>
      <c r="N814" s="60"/>
      <c r="O814" s="55"/>
      <c r="P814" s="161"/>
      <c r="Q814" s="160" t="str">
        <f>IF(enrollment_table[[#This Row],[Enrollment Date]]="","",TEXT(enrollment_table[[#This Row],[Enrollment Date]],"mmmm"))</f>
        <v/>
      </c>
      <c r="R814" s="60"/>
    </row>
    <row r="815" spans="1:18" ht="15" x14ac:dyDescent="0.3">
      <c r="A815" s="129"/>
      <c r="B815" s="60"/>
      <c r="C815" s="55"/>
      <c r="D815" s="60"/>
      <c r="E815" s="103">
        <f>_xlfn.XLOOKUP(enrollment_table[[#This Row],[*Subject]], classes_table[*Subject], classes_table[Fee])</f>
        <v>0</v>
      </c>
      <c r="F815" s="58"/>
      <c r="G815" s="60"/>
      <c r="H815" s="55"/>
      <c r="I815" s="176">
        <f>_xlfn.XLOOKUP(enrollment_table[[#This Row],[*Teacher Name]], teachers_table[*Teacher Name], teachers_table[*Teacher ID])</f>
        <v>0</v>
      </c>
      <c r="J815" s="60"/>
      <c r="K815" s="60"/>
      <c r="L815" s="55"/>
      <c r="M815" s="60"/>
      <c r="N815" s="60"/>
      <c r="O815" s="55"/>
      <c r="P815" s="161"/>
      <c r="Q815" s="160" t="str">
        <f>IF(enrollment_table[[#This Row],[Enrollment Date]]="","",TEXT(enrollment_table[[#This Row],[Enrollment Date]],"mmmm"))</f>
        <v/>
      </c>
      <c r="R815" s="60"/>
    </row>
    <row r="816" spans="1:18" ht="15" x14ac:dyDescent="0.3">
      <c r="A816" s="129"/>
      <c r="B816" s="60"/>
      <c r="C816" s="55"/>
      <c r="D816" s="60"/>
      <c r="E816" s="103">
        <f>_xlfn.XLOOKUP(enrollment_table[[#This Row],[*Subject]], classes_table[*Subject], classes_table[Fee])</f>
        <v>0</v>
      </c>
      <c r="F816" s="58"/>
      <c r="G816" s="60"/>
      <c r="H816" s="55"/>
      <c r="I816" s="176">
        <f>_xlfn.XLOOKUP(enrollment_table[[#This Row],[*Teacher Name]], teachers_table[*Teacher Name], teachers_table[*Teacher ID])</f>
        <v>0</v>
      </c>
      <c r="J816" s="60"/>
      <c r="K816" s="60"/>
      <c r="L816" s="55"/>
      <c r="M816" s="60"/>
      <c r="N816" s="60"/>
      <c r="O816" s="55"/>
      <c r="P816" s="161"/>
      <c r="Q816" s="160" t="str">
        <f>IF(enrollment_table[[#This Row],[Enrollment Date]]="","",TEXT(enrollment_table[[#This Row],[Enrollment Date]],"mmmm"))</f>
        <v/>
      </c>
      <c r="R816" s="60"/>
    </row>
    <row r="817" spans="1:18" ht="15" x14ac:dyDescent="0.3">
      <c r="A817" s="129"/>
      <c r="B817" s="60"/>
      <c r="C817" s="55"/>
      <c r="D817" s="60"/>
      <c r="E817" s="103">
        <f>_xlfn.XLOOKUP(enrollment_table[[#This Row],[*Subject]], classes_table[*Subject], classes_table[Fee])</f>
        <v>0</v>
      </c>
      <c r="F817" s="58"/>
      <c r="G817" s="60"/>
      <c r="H817" s="55"/>
      <c r="I817" s="176">
        <f>_xlfn.XLOOKUP(enrollment_table[[#This Row],[*Teacher Name]], teachers_table[*Teacher Name], teachers_table[*Teacher ID])</f>
        <v>0</v>
      </c>
      <c r="J817" s="60"/>
      <c r="K817" s="60"/>
      <c r="L817" s="55"/>
      <c r="M817" s="60"/>
      <c r="N817" s="60"/>
      <c r="O817" s="55"/>
      <c r="P817" s="161"/>
      <c r="Q817" s="160" t="str">
        <f>IF(enrollment_table[[#This Row],[Enrollment Date]]="","",TEXT(enrollment_table[[#This Row],[Enrollment Date]],"mmmm"))</f>
        <v/>
      </c>
      <c r="R817" s="60"/>
    </row>
    <row r="818" spans="1:18" ht="15" x14ac:dyDescent="0.3">
      <c r="A818" s="129"/>
      <c r="B818" s="60"/>
      <c r="C818" s="55"/>
      <c r="D818" s="60"/>
      <c r="E818" s="103">
        <f>_xlfn.XLOOKUP(enrollment_table[[#This Row],[*Subject]], classes_table[*Subject], classes_table[Fee])</f>
        <v>0</v>
      </c>
      <c r="F818" s="58"/>
      <c r="G818" s="60"/>
      <c r="H818" s="55"/>
      <c r="I818" s="176">
        <f>_xlfn.XLOOKUP(enrollment_table[[#This Row],[*Teacher Name]], teachers_table[*Teacher Name], teachers_table[*Teacher ID])</f>
        <v>0</v>
      </c>
      <c r="J818" s="60"/>
      <c r="K818" s="60"/>
      <c r="L818" s="55"/>
      <c r="M818" s="60"/>
      <c r="N818" s="60"/>
      <c r="O818" s="55"/>
      <c r="P818" s="161"/>
      <c r="Q818" s="160" t="str">
        <f>IF(enrollment_table[[#This Row],[Enrollment Date]]="","",TEXT(enrollment_table[[#This Row],[Enrollment Date]],"mmmm"))</f>
        <v/>
      </c>
      <c r="R818" s="60"/>
    </row>
    <row r="819" spans="1:18" ht="15" x14ac:dyDescent="0.3">
      <c r="A819" s="129"/>
      <c r="B819" s="60"/>
      <c r="C819" s="55"/>
      <c r="D819" s="60"/>
      <c r="E819" s="103">
        <f>_xlfn.XLOOKUP(enrollment_table[[#This Row],[*Subject]], classes_table[*Subject], classes_table[Fee])</f>
        <v>0</v>
      </c>
      <c r="F819" s="58"/>
      <c r="G819" s="60"/>
      <c r="H819" s="55"/>
      <c r="I819" s="176">
        <f>_xlfn.XLOOKUP(enrollment_table[[#This Row],[*Teacher Name]], teachers_table[*Teacher Name], teachers_table[*Teacher ID])</f>
        <v>0</v>
      </c>
      <c r="J819" s="60"/>
      <c r="K819" s="60"/>
      <c r="L819" s="55"/>
      <c r="M819" s="60"/>
      <c r="N819" s="60"/>
      <c r="O819" s="55"/>
      <c r="P819" s="161"/>
      <c r="Q819" s="160" t="str">
        <f>IF(enrollment_table[[#This Row],[Enrollment Date]]="","",TEXT(enrollment_table[[#This Row],[Enrollment Date]],"mmmm"))</f>
        <v/>
      </c>
      <c r="R819" s="60"/>
    </row>
    <row r="820" spans="1:18" ht="15" x14ac:dyDescent="0.3">
      <c r="A820" s="129"/>
      <c r="B820" s="60"/>
      <c r="C820" s="55"/>
      <c r="D820" s="60"/>
      <c r="E820" s="103">
        <f>_xlfn.XLOOKUP(enrollment_table[[#This Row],[*Subject]], classes_table[*Subject], classes_table[Fee])</f>
        <v>0</v>
      </c>
      <c r="F820" s="58"/>
      <c r="G820" s="60"/>
      <c r="H820" s="55"/>
      <c r="I820" s="176">
        <f>_xlfn.XLOOKUP(enrollment_table[[#This Row],[*Teacher Name]], teachers_table[*Teacher Name], teachers_table[*Teacher ID])</f>
        <v>0</v>
      </c>
      <c r="J820" s="60"/>
      <c r="K820" s="60"/>
      <c r="L820" s="55"/>
      <c r="M820" s="60"/>
      <c r="N820" s="60"/>
      <c r="O820" s="55"/>
      <c r="P820" s="161"/>
      <c r="Q820" s="160" t="str">
        <f>IF(enrollment_table[[#This Row],[Enrollment Date]]="","",TEXT(enrollment_table[[#This Row],[Enrollment Date]],"mmmm"))</f>
        <v/>
      </c>
      <c r="R820" s="60"/>
    </row>
    <row r="821" spans="1:18" ht="15" x14ac:dyDescent="0.3">
      <c r="A821" s="129"/>
      <c r="B821" s="60"/>
      <c r="C821" s="55"/>
      <c r="D821" s="60"/>
      <c r="E821" s="103">
        <f>_xlfn.XLOOKUP(enrollment_table[[#This Row],[*Subject]], classes_table[*Subject], classes_table[Fee])</f>
        <v>0</v>
      </c>
      <c r="F821" s="58"/>
      <c r="G821" s="60"/>
      <c r="H821" s="55"/>
      <c r="I821" s="176">
        <f>_xlfn.XLOOKUP(enrollment_table[[#This Row],[*Teacher Name]], teachers_table[*Teacher Name], teachers_table[*Teacher ID])</f>
        <v>0</v>
      </c>
      <c r="J821" s="60"/>
      <c r="K821" s="60"/>
      <c r="L821" s="55"/>
      <c r="M821" s="60"/>
      <c r="N821" s="60"/>
      <c r="O821" s="55"/>
      <c r="P821" s="161"/>
      <c r="Q821" s="160" t="str">
        <f>IF(enrollment_table[[#This Row],[Enrollment Date]]="","",TEXT(enrollment_table[[#This Row],[Enrollment Date]],"mmmm"))</f>
        <v/>
      </c>
      <c r="R821" s="60"/>
    </row>
    <row r="822" spans="1:18" ht="15" x14ac:dyDescent="0.3">
      <c r="A822" s="129"/>
      <c r="B822" s="60"/>
      <c r="C822" s="55"/>
      <c r="D822" s="60"/>
      <c r="E822" s="103">
        <f>_xlfn.XLOOKUP(enrollment_table[[#This Row],[*Subject]], classes_table[*Subject], classes_table[Fee])</f>
        <v>0</v>
      </c>
      <c r="F822" s="58"/>
      <c r="G822" s="60"/>
      <c r="H822" s="55"/>
      <c r="I822" s="176">
        <f>_xlfn.XLOOKUP(enrollment_table[[#This Row],[*Teacher Name]], teachers_table[*Teacher Name], teachers_table[*Teacher ID])</f>
        <v>0</v>
      </c>
      <c r="J822" s="60"/>
      <c r="K822" s="60"/>
      <c r="L822" s="55"/>
      <c r="M822" s="60"/>
      <c r="N822" s="60"/>
      <c r="O822" s="55"/>
      <c r="P822" s="161"/>
      <c r="Q822" s="160" t="str">
        <f>IF(enrollment_table[[#This Row],[Enrollment Date]]="","",TEXT(enrollment_table[[#This Row],[Enrollment Date]],"mmmm"))</f>
        <v/>
      </c>
      <c r="R822" s="60"/>
    </row>
    <row r="823" spans="1:18" ht="15" x14ac:dyDescent="0.3">
      <c r="A823" s="129"/>
      <c r="B823" s="60"/>
      <c r="C823" s="55"/>
      <c r="D823" s="60"/>
      <c r="E823" s="103">
        <f>_xlfn.XLOOKUP(enrollment_table[[#This Row],[*Subject]], classes_table[*Subject], classes_table[Fee])</f>
        <v>0</v>
      </c>
      <c r="F823" s="58"/>
      <c r="G823" s="60"/>
      <c r="H823" s="55"/>
      <c r="I823" s="176">
        <f>_xlfn.XLOOKUP(enrollment_table[[#This Row],[*Teacher Name]], teachers_table[*Teacher Name], teachers_table[*Teacher ID])</f>
        <v>0</v>
      </c>
      <c r="J823" s="60"/>
      <c r="K823" s="60"/>
      <c r="L823" s="55"/>
      <c r="M823" s="60"/>
      <c r="N823" s="60"/>
      <c r="O823" s="55"/>
      <c r="P823" s="161"/>
      <c r="Q823" s="160" t="str">
        <f>IF(enrollment_table[[#This Row],[Enrollment Date]]="","",TEXT(enrollment_table[[#This Row],[Enrollment Date]],"mmmm"))</f>
        <v/>
      </c>
      <c r="R823" s="60"/>
    </row>
    <row r="824" spans="1:18" ht="15" x14ac:dyDescent="0.3">
      <c r="A824" s="129"/>
      <c r="B824" s="60"/>
      <c r="C824" s="55"/>
      <c r="D824" s="60"/>
      <c r="E824" s="103">
        <f>_xlfn.XLOOKUP(enrollment_table[[#This Row],[*Subject]], classes_table[*Subject], classes_table[Fee])</f>
        <v>0</v>
      </c>
      <c r="F824" s="58"/>
      <c r="G824" s="60"/>
      <c r="H824" s="55"/>
      <c r="I824" s="176">
        <f>_xlfn.XLOOKUP(enrollment_table[[#This Row],[*Teacher Name]], teachers_table[*Teacher Name], teachers_table[*Teacher ID])</f>
        <v>0</v>
      </c>
      <c r="J824" s="60"/>
      <c r="K824" s="60"/>
      <c r="L824" s="55"/>
      <c r="M824" s="60"/>
      <c r="N824" s="60"/>
      <c r="O824" s="55"/>
      <c r="P824" s="161"/>
      <c r="Q824" s="160" t="str">
        <f>IF(enrollment_table[[#This Row],[Enrollment Date]]="","",TEXT(enrollment_table[[#This Row],[Enrollment Date]],"mmmm"))</f>
        <v/>
      </c>
      <c r="R824" s="60"/>
    </row>
    <row r="825" spans="1:18" ht="15" x14ac:dyDescent="0.3">
      <c r="A825" s="129"/>
      <c r="B825" s="60"/>
      <c r="C825" s="55"/>
      <c r="D825" s="60"/>
      <c r="E825" s="103">
        <f>_xlfn.XLOOKUP(enrollment_table[[#This Row],[*Subject]], classes_table[*Subject], classes_table[Fee])</f>
        <v>0</v>
      </c>
      <c r="F825" s="58"/>
      <c r="G825" s="60"/>
      <c r="H825" s="55"/>
      <c r="I825" s="176">
        <f>_xlfn.XLOOKUP(enrollment_table[[#This Row],[*Teacher Name]], teachers_table[*Teacher Name], teachers_table[*Teacher ID])</f>
        <v>0</v>
      </c>
      <c r="J825" s="60"/>
      <c r="K825" s="60"/>
      <c r="L825" s="55"/>
      <c r="M825" s="60"/>
      <c r="N825" s="60"/>
      <c r="O825" s="55"/>
      <c r="P825" s="161"/>
      <c r="Q825" s="160" t="str">
        <f>IF(enrollment_table[[#This Row],[Enrollment Date]]="","",TEXT(enrollment_table[[#This Row],[Enrollment Date]],"mmmm"))</f>
        <v/>
      </c>
      <c r="R825" s="60"/>
    </row>
    <row r="826" spans="1:18" ht="15" x14ac:dyDescent="0.3">
      <c r="A826" s="129"/>
      <c r="B826" s="60"/>
      <c r="C826" s="55"/>
      <c r="D826" s="60"/>
      <c r="E826" s="103">
        <f>_xlfn.XLOOKUP(enrollment_table[[#This Row],[*Subject]], classes_table[*Subject], classes_table[Fee])</f>
        <v>0</v>
      </c>
      <c r="F826" s="58"/>
      <c r="G826" s="60"/>
      <c r="H826" s="55"/>
      <c r="I826" s="176">
        <f>_xlfn.XLOOKUP(enrollment_table[[#This Row],[*Teacher Name]], teachers_table[*Teacher Name], teachers_table[*Teacher ID])</f>
        <v>0</v>
      </c>
      <c r="J826" s="60"/>
      <c r="K826" s="60"/>
      <c r="L826" s="55"/>
      <c r="M826" s="60"/>
      <c r="N826" s="60"/>
      <c r="O826" s="55"/>
      <c r="P826" s="161"/>
      <c r="Q826" s="160" t="str">
        <f>IF(enrollment_table[[#This Row],[Enrollment Date]]="","",TEXT(enrollment_table[[#This Row],[Enrollment Date]],"mmmm"))</f>
        <v/>
      </c>
      <c r="R826" s="60"/>
    </row>
    <row r="827" spans="1:18" ht="15" x14ac:dyDescent="0.3">
      <c r="A827" s="129"/>
      <c r="B827" s="60"/>
      <c r="C827" s="55"/>
      <c r="D827" s="60"/>
      <c r="E827" s="103">
        <f>_xlfn.XLOOKUP(enrollment_table[[#This Row],[*Subject]], classes_table[*Subject], classes_table[Fee])</f>
        <v>0</v>
      </c>
      <c r="F827" s="58"/>
      <c r="G827" s="60"/>
      <c r="H827" s="55"/>
      <c r="I827" s="176">
        <f>_xlfn.XLOOKUP(enrollment_table[[#This Row],[*Teacher Name]], teachers_table[*Teacher Name], teachers_table[*Teacher ID])</f>
        <v>0</v>
      </c>
      <c r="J827" s="60"/>
      <c r="K827" s="60"/>
      <c r="L827" s="55"/>
      <c r="M827" s="60"/>
      <c r="N827" s="60"/>
      <c r="O827" s="55"/>
      <c r="P827" s="161"/>
      <c r="Q827" s="160" t="str">
        <f>IF(enrollment_table[[#This Row],[Enrollment Date]]="","",TEXT(enrollment_table[[#This Row],[Enrollment Date]],"mmmm"))</f>
        <v/>
      </c>
      <c r="R827" s="60"/>
    </row>
    <row r="828" spans="1:18" ht="15" x14ac:dyDescent="0.3">
      <c r="A828" s="129"/>
      <c r="B828" s="60"/>
      <c r="C828" s="55"/>
      <c r="D828" s="60"/>
      <c r="E828" s="103">
        <f>_xlfn.XLOOKUP(enrollment_table[[#This Row],[*Subject]], classes_table[*Subject], classes_table[Fee])</f>
        <v>0</v>
      </c>
      <c r="F828" s="58"/>
      <c r="G828" s="60"/>
      <c r="H828" s="55"/>
      <c r="I828" s="176">
        <f>_xlfn.XLOOKUP(enrollment_table[[#This Row],[*Teacher Name]], teachers_table[*Teacher Name], teachers_table[*Teacher ID])</f>
        <v>0</v>
      </c>
      <c r="J828" s="60"/>
      <c r="K828" s="60"/>
      <c r="L828" s="55"/>
      <c r="M828" s="60"/>
      <c r="N828" s="60"/>
      <c r="O828" s="55"/>
      <c r="P828" s="161"/>
      <c r="Q828" s="160" t="str">
        <f>IF(enrollment_table[[#This Row],[Enrollment Date]]="","",TEXT(enrollment_table[[#This Row],[Enrollment Date]],"mmmm"))</f>
        <v/>
      </c>
      <c r="R828" s="60"/>
    </row>
    <row r="829" spans="1:18" ht="15" x14ac:dyDescent="0.3">
      <c r="A829" s="129"/>
      <c r="B829" s="60"/>
      <c r="C829" s="55"/>
      <c r="D829" s="60"/>
      <c r="E829" s="103">
        <f>_xlfn.XLOOKUP(enrollment_table[[#This Row],[*Subject]], classes_table[*Subject], classes_table[Fee])</f>
        <v>0</v>
      </c>
      <c r="F829" s="58"/>
      <c r="G829" s="60"/>
      <c r="H829" s="55"/>
      <c r="I829" s="176">
        <f>_xlfn.XLOOKUP(enrollment_table[[#This Row],[*Teacher Name]], teachers_table[*Teacher Name], teachers_table[*Teacher ID])</f>
        <v>0</v>
      </c>
      <c r="J829" s="60"/>
      <c r="K829" s="60"/>
      <c r="L829" s="55"/>
      <c r="M829" s="60"/>
      <c r="N829" s="60"/>
      <c r="O829" s="55"/>
      <c r="P829" s="161"/>
      <c r="Q829" s="160" t="str">
        <f>IF(enrollment_table[[#This Row],[Enrollment Date]]="","",TEXT(enrollment_table[[#This Row],[Enrollment Date]],"mmmm"))</f>
        <v/>
      </c>
      <c r="R829" s="60"/>
    </row>
    <row r="830" spans="1:18" ht="15" x14ac:dyDescent="0.3">
      <c r="A830" s="129"/>
      <c r="B830" s="60"/>
      <c r="C830" s="55"/>
      <c r="D830" s="60"/>
      <c r="E830" s="103">
        <f>_xlfn.XLOOKUP(enrollment_table[[#This Row],[*Subject]], classes_table[*Subject], classes_table[Fee])</f>
        <v>0</v>
      </c>
      <c r="F830" s="58"/>
      <c r="G830" s="60"/>
      <c r="H830" s="55"/>
      <c r="I830" s="176">
        <f>_xlfn.XLOOKUP(enrollment_table[[#This Row],[*Teacher Name]], teachers_table[*Teacher Name], teachers_table[*Teacher ID])</f>
        <v>0</v>
      </c>
      <c r="J830" s="60"/>
      <c r="K830" s="60"/>
      <c r="L830" s="55"/>
      <c r="M830" s="60"/>
      <c r="N830" s="60"/>
      <c r="O830" s="55"/>
      <c r="P830" s="161"/>
      <c r="Q830" s="160" t="str">
        <f>IF(enrollment_table[[#This Row],[Enrollment Date]]="","",TEXT(enrollment_table[[#This Row],[Enrollment Date]],"mmmm"))</f>
        <v/>
      </c>
      <c r="R830" s="60"/>
    </row>
    <row r="831" spans="1:18" ht="15" x14ac:dyDescent="0.3">
      <c r="A831" s="129"/>
      <c r="B831" s="60"/>
      <c r="C831" s="55"/>
      <c r="D831" s="60"/>
      <c r="E831" s="103">
        <f>_xlfn.XLOOKUP(enrollment_table[[#This Row],[*Subject]], classes_table[*Subject], classes_table[Fee])</f>
        <v>0</v>
      </c>
      <c r="F831" s="58"/>
      <c r="G831" s="60"/>
      <c r="H831" s="55"/>
      <c r="I831" s="176">
        <f>_xlfn.XLOOKUP(enrollment_table[[#This Row],[*Teacher Name]], teachers_table[*Teacher Name], teachers_table[*Teacher ID])</f>
        <v>0</v>
      </c>
      <c r="J831" s="60"/>
      <c r="K831" s="60"/>
      <c r="L831" s="55"/>
      <c r="M831" s="60"/>
      <c r="N831" s="60"/>
      <c r="O831" s="55"/>
      <c r="P831" s="161"/>
      <c r="Q831" s="160" t="str">
        <f>IF(enrollment_table[[#This Row],[Enrollment Date]]="","",TEXT(enrollment_table[[#This Row],[Enrollment Date]],"mmmm"))</f>
        <v/>
      </c>
      <c r="R831" s="60"/>
    </row>
    <row r="832" spans="1:18" ht="15" x14ac:dyDescent="0.3">
      <c r="A832" s="129"/>
      <c r="B832" s="60"/>
      <c r="C832" s="55"/>
      <c r="D832" s="60"/>
      <c r="E832" s="103">
        <f>_xlfn.XLOOKUP(enrollment_table[[#This Row],[*Subject]], classes_table[*Subject], classes_table[Fee])</f>
        <v>0</v>
      </c>
      <c r="F832" s="58"/>
      <c r="G832" s="60"/>
      <c r="H832" s="55"/>
      <c r="I832" s="176">
        <f>_xlfn.XLOOKUP(enrollment_table[[#This Row],[*Teacher Name]], teachers_table[*Teacher Name], teachers_table[*Teacher ID])</f>
        <v>0</v>
      </c>
      <c r="J832" s="60"/>
      <c r="K832" s="60"/>
      <c r="L832" s="55"/>
      <c r="M832" s="60"/>
      <c r="N832" s="60"/>
      <c r="O832" s="55"/>
      <c r="P832" s="161"/>
      <c r="Q832" s="160" t="str">
        <f>IF(enrollment_table[[#This Row],[Enrollment Date]]="","",TEXT(enrollment_table[[#This Row],[Enrollment Date]],"mmmm"))</f>
        <v/>
      </c>
      <c r="R832" s="60"/>
    </row>
    <row r="833" spans="1:18" ht="15" x14ac:dyDescent="0.3">
      <c r="A833" s="129"/>
      <c r="B833" s="60"/>
      <c r="C833" s="55"/>
      <c r="D833" s="60"/>
      <c r="E833" s="103">
        <f>_xlfn.XLOOKUP(enrollment_table[[#This Row],[*Subject]], classes_table[*Subject], classes_table[Fee])</f>
        <v>0</v>
      </c>
      <c r="F833" s="58"/>
      <c r="G833" s="60"/>
      <c r="H833" s="55"/>
      <c r="I833" s="176">
        <f>_xlfn.XLOOKUP(enrollment_table[[#This Row],[*Teacher Name]], teachers_table[*Teacher Name], teachers_table[*Teacher ID])</f>
        <v>0</v>
      </c>
      <c r="J833" s="60"/>
      <c r="K833" s="60"/>
      <c r="L833" s="55"/>
      <c r="M833" s="60"/>
      <c r="N833" s="60"/>
      <c r="O833" s="55"/>
      <c r="P833" s="161"/>
      <c r="Q833" s="160" t="str">
        <f>IF(enrollment_table[[#This Row],[Enrollment Date]]="","",TEXT(enrollment_table[[#This Row],[Enrollment Date]],"mmmm"))</f>
        <v/>
      </c>
      <c r="R833" s="60"/>
    </row>
    <row r="834" spans="1:18" ht="15" x14ac:dyDescent="0.3">
      <c r="A834" s="129"/>
      <c r="B834" s="60"/>
      <c r="C834" s="55"/>
      <c r="D834" s="60"/>
      <c r="E834" s="103">
        <f>_xlfn.XLOOKUP(enrollment_table[[#This Row],[*Subject]], classes_table[*Subject], classes_table[Fee])</f>
        <v>0</v>
      </c>
      <c r="F834" s="58"/>
      <c r="G834" s="60"/>
      <c r="H834" s="55"/>
      <c r="I834" s="176">
        <f>_xlfn.XLOOKUP(enrollment_table[[#This Row],[*Teacher Name]], teachers_table[*Teacher Name], teachers_table[*Teacher ID])</f>
        <v>0</v>
      </c>
      <c r="J834" s="60"/>
      <c r="K834" s="60"/>
      <c r="L834" s="55"/>
      <c r="M834" s="60"/>
      <c r="N834" s="60"/>
      <c r="O834" s="55"/>
      <c r="P834" s="161"/>
      <c r="Q834" s="160" t="str">
        <f>IF(enrollment_table[[#This Row],[Enrollment Date]]="","",TEXT(enrollment_table[[#This Row],[Enrollment Date]],"mmmm"))</f>
        <v/>
      </c>
      <c r="R834" s="60"/>
    </row>
    <row r="835" spans="1:18" ht="15" x14ac:dyDescent="0.3">
      <c r="A835" s="129"/>
      <c r="B835" s="60"/>
      <c r="C835" s="55"/>
      <c r="D835" s="60"/>
      <c r="E835" s="103">
        <f>_xlfn.XLOOKUP(enrollment_table[[#This Row],[*Subject]], classes_table[*Subject], classes_table[Fee])</f>
        <v>0</v>
      </c>
      <c r="F835" s="58"/>
      <c r="G835" s="60"/>
      <c r="H835" s="55"/>
      <c r="I835" s="176">
        <f>_xlfn.XLOOKUP(enrollment_table[[#This Row],[*Teacher Name]], teachers_table[*Teacher Name], teachers_table[*Teacher ID])</f>
        <v>0</v>
      </c>
      <c r="J835" s="60"/>
      <c r="K835" s="60"/>
      <c r="L835" s="55"/>
      <c r="M835" s="60"/>
      <c r="N835" s="60"/>
      <c r="O835" s="55"/>
      <c r="P835" s="161"/>
      <c r="Q835" s="160" t="str">
        <f>IF(enrollment_table[[#This Row],[Enrollment Date]]="","",TEXT(enrollment_table[[#This Row],[Enrollment Date]],"mmmm"))</f>
        <v/>
      </c>
      <c r="R835" s="60"/>
    </row>
    <row r="836" spans="1:18" ht="15" x14ac:dyDescent="0.3">
      <c r="A836" s="129"/>
      <c r="B836" s="60"/>
      <c r="C836" s="55"/>
      <c r="D836" s="60"/>
      <c r="E836" s="103">
        <f>_xlfn.XLOOKUP(enrollment_table[[#This Row],[*Subject]], classes_table[*Subject], classes_table[Fee])</f>
        <v>0</v>
      </c>
      <c r="F836" s="58"/>
      <c r="G836" s="60"/>
      <c r="H836" s="55"/>
      <c r="I836" s="176">
        <f>_xlfn.XLOOKUP(enrollment_table[[#This Row],[*Teacher Name]], teachers_table[*Teacher Name], teachers_table[*Teacher ID])</f>
        <v>0</v>
      </c>
      <c r="J836" s="60"/>
      <c r="K836" s="60"/>
      <c r="L836" s="55"/>
      <c r="M836" s="60"/>
      <c r="N836" s="60"/>
      <c r="O836" s="55"/>
      <c r="P836" s="161"/>
      <c r="Q836" s="160" t="str">
        <f>IF(enrollment_table[[#This Row],[Enrollment Date]]="","",TEXT(enrollment_table[[#This Row],[Enrollment Date]],"mmmm"))</f>
        <v/>
      </c>
      <c r="R836" s="60"/>
    </row>
    <row r="837" spans="1:18" ht="15" x14ac:dyDescent="0.3">
      <c r="A837" s="129"/>
      <c r="B837" s="60"/>
      <c r="C837" s="55"/>
      <c r="D837" s="60"/>
      <c r="E837" s="103">
        <f>_xlfn.XLOOKUP(enrollment_table[[#This Row],[*Subject]], classes_table[*Subject], classes_table[Fee])</f>
        <v>0</v>
      </c>
      <c r="F837" s="58"/>
      <c r="G837" s="60"/>
      <c r="H837" s="55"/>
      <c r="I837" s="176">
        <f>_xlfn.XLOOKUP(enrollment_table[[#This Row],[*Teacher Name]], teachers_table[*Teacher Name], teachers_table[*Teacher ID])</f>
        <v>0</v>
      </c>
      <c r="J837" s="60"/>
      <c r="K837" s="60"/>
      <c r="L837" s="55"/>
      <c r="M837" s="60"/>
      <c r="N837" s="60"/>
      <c r="O837" s="55"/>
      <c r="P837" s="161"/>
      <c r="Q837" s="160" t="str">
        <f>IF(enrollment_table[[#This Row],[Enrollment Date]]="","",TEXT(enrollment_table[[#This Row],[Enrollment Date]],"mmmm"))</f>
        <v/>
      </c>
      <c r="R837" s="60"/>
    </row>
    <row r="838" spans="1:18" ht="15" x14ac:dyDescent="0.3">
      <c r="A838" s="129"/>
      <c r="B838" s="60"/>
      <c r="C838" s="55"/>
      <c r="D838" s="60"/>
      <c r="E838" s="103">
        <f>_xlfn.XLOOKUP(enrollment_table[[#This Row],[*Subject]], classes_table[*Subject], classes_table[Fee])</f>
        <v>0</v>
      </c>
      <c r="F838" s="58"/>
      <c r="G838" s="60"/>
      <c r="H838" s="55"/>
      <c r="I838" s="176">
        <f>_xlfn.XLOOKUP(enrollment_table[[#This Row],[*Teacher Name]], teachers_table[*Teacher Name], teachers_table[*Teacher ID])</f>
        <v>0</v>
      </c>
      <c r="J838" s="60"/>
      <c r="K838" s="60"/>
      <c r="L838" s="55"/>
      <c r="M838" s="60"/>
      <c r="N838" s="60"/>
      <c r="O838" s="55"/>
      <c r="P838" s="161"/>
      <c r="Q838" s="160" t="str">
        <f>IF(enrollment_table[[#This Row],[Enrollment Date]]="","",TEXT(enrollment_table[[#This Row],[Enrollment Date]],"mmmm"))</f>
        <v/>
      </c>
      <c r="R838" s="60"/>
    </row>
    <row r="839" spans="1:18" ht="15" x14ac:dyDescent="0.3">
      <c r="A839" s="129"/>
      <c r="B839" s="60"/>
      <c r="C839" s="55"/>
      <c r="D839" s="60"/>
      <c r="E839" s="103">
        <f>_xlfn.XLOOKUP(enrollment_table[[#This Row],[*Subject]], classes_table[*Subject], classes_table[Fee])</f>
        <v>0</v>
      </c>
      <c r="F839" s="58"/>
      <c r="G839" s="60"/>
      <c r="H839" s="55"/>
      <c r="I839" s="176">
        <f>_xlfn.XLOOKUP(enrollment_table[[#This Row],[*Teacher Name]], teachers_table[*Teacher Name], teachers_table[*Teacher ID])</f>
        <v>0</v>
      </c>
      <c r="J839" s="60"/>
      <c r="K839" s="60"/>
      <c r="L839" s="55"/>
      <c r="M839" s="60"/>
      <c r="N839" s="60"/>
      <c r="O839" s="55"/>
      <c r="P839" s="161"/>
      <c r="Q839" s="160" t="str">
        <f>IF(enrollment_table[[#This Row],[Enrollment Date]]="","",TEXT(enrollment_table[[#This Row],[Enrollment Date]],"mmmm"))</f>
        <v/>
      </c>
      <c r="R839" s="60"/>
    </row>
    <row r="840" spans="1:18" ht="15" x14ac:dyDescent="0.3">
      <c r="A840" s="129"/>
      <c r="B840" s="60"/>
      <c r="C840" s="55"/>
      <c r="D840" s="60"/>
      <c r="E840" s="103">
        <f>_xlfn.XLOOKUP(enrollment_table[[#This Row],[*Subject]], classes_table[*Subject], classes_table[Fee])</f>
        <v>0</v>
      </c>
      <c r="F840" s="58"/>
      <c r="G840" s="60"/>
      <c r="H840" s="55"/>
      <c r="I840" s="176">
        <f>_xlfn.XLOOKUP(enrollment_table[[#This Row],[*Teacher Name]], teachers_table[*Teacher Name], teachers_table[*Teacher ID])</f>
        <v>0</v>
      </c>
      <c r="J840" s="60"/>
      <c r="K840" s="60"/>
      <c r="L840" s="55"/>
      <c r="M840" s="60"/>
      <c r="N840" s="60"/>
      <c r="O840" s="55"/>
      <c r="P840" s="161"/>
      <c r="Q840" s="160" t="str">
        <f>IF(enrollment_table[[#This Row],[Enrollment Date]]="","",TEXT(enrollment_table[[#This Row],[Enrollment Date]],"mmmm"))</f>
        <v/>
      </c>
      <c r="R840" s="60"/>
    </row>
    <row r="841" spans="1:18" ht="15" x14ac:dyDescent="0.3">
      <c r="A841" s="129"/>
      <c r="B841" s="60"/>
      <c r="C841" s="55"/>
      <c r="D841" s="60"/>
      <c r="E841" s="103">
        <f>_xlfn.XLOOKUP(enrollment_table[[#This Row],[*Subject]], classes_table[*Subject], classes_table[Fee])</f>
        <v>0</v>
      </c>
      <c r="F841" s="58"/>
      <c r="G841" s="60"/>
      <c r="H841" s="55"/>
      <c r="I841" s="176">
        <f>_xlfn.XLOOKUP(enrollment_table[[#This Row],[*Teacher Name]], teachers_table[*Teacher Name], teachers_table[*Teacher ID])</f>
        <v>0</v>
      </c>
      <c r="J841" s="60"/>
      <c r="K841" s="60"/>
      <c r="L841" s="55"/>
      <c r="M841" s="60"/>
      <c r="N841" s="60"/>
      <c r="O841" s="55"/>
      <c r="P841" s="161"/>
      <c r="Q841" s="160" t="str">
        <f>IF(enrollment_table[[#This Row],[Enrollment Date]]="","",TEXT(enrollment_table[[#This Row],[Enrollment Date]],"mmmm"))</f>
        <v/>
      </c>
      <c r="R841" s="60"/>
    </row>
    <row r="842" spans="1:18" ht="15" x14ac:dyDescent="0.3">
      <c r="A842" s="129"/>
      <c r="B842" s="60"/>
      <c r="C842" s="55"/>
      <c r="D842" s="60"/>
      <c r="E842" s="103">
        <f>_xlfn.XLOOKUP(enrollment_table[[#This Row],[*Subject]], classes_table[*Subject], classes_table[Fee])</f>
        <v>0</v>
      </c>
      <c r="F842" s="58"/>
      <c r="G842" s="60"/>
      <c r="H842" s="55"/>
      <c r="I842" s="176">
        <f>_xlfn.XLOOKUP(enrollment_table[[#This Row],[*Teacher Name]], teachers_table[*Teacher Name], teachers_table[*Teacher ID])</f>
        <v>0</v>
      </c>
      <c r="J842" s="60"/>
      <c r="K842" s="60"/>
      <c r="L842" s="55"/>
      <c r="M842" s="60"/>
      <c r="N842" s="60"/>
      <c r="O842" s="55"/>
      <c r="P842" s="161"/>
      <c r="Q842" s="160" t="str">
        <f>IF(enrollment_table[[#This Row],[Enrollment Date]]="","",TEXT(enrollment_table[[#This Row],[Enrollment Date]],"mmmm"))</f>
        <v/>
      </c>
      <c r="R842" s="60"/>
    </row>
    <row r="843" spans="1:18" ht="15" x14ac:dyDescent="0.3">
      <c r="A843" s="129"/>
      <c r="B843" s="60"/>
      <c r="C843" s="55"/>
      <c r="D843" s="60"/>
      <c r="E843" s="103">
        <f>_xlfn.XLOOKUP(enrollment_table[[#This Row],[*Subject]], classes_table[*Subject], classes_table[Fee])</f>
        <v>0</v>
      </c>
      <c r="F843" s="58"/>
      <c r="G843" s="60"/>
      <c r="H843" s="55"/>
      <c r="I843" s="176">
        <f>_xlfn.XLOOKUP(enrollment_table[[#This Row],[*Teacher Name]], teachers_table[*Teacher Name], teachers_table[*Teacher ID])</f>
        <v>0</v>
      </c>
      <c r="J843" s="60"/>
      <c r="K843" s="60"/>
      <c r="L843" s="55"/>
      <c r="M843" s="60"/>
      <c r="N843" s="60"/>
      <c r="O843" s="55"/>
      <c r="P843" s="161"/>
      <c r="Q843" s="160" t="str">
        <f>IF(enrollment_table[[#This Row],[Enrollment Date]]="","",TEXT(enrollment_table[[#This Row],[Enrollment Date]],"mmmm"))</f>
        <v/>
      </c>
      <c r="R843" s="60"/>
    </row>
    <row r="844" spans="1:18" ht="15" x14ac:dyDescent="0.3">
      <c r="A844" s="129"/>
      <c r="B844" s="60"/>
      <c r="C844" s="55"/>
      <c r="D844" s="60"/>
      <c r="E844" s="103">
        <f>_xlfn.XLOOKUP(enrollment_table[[#This Row],[*Subject]], classes_table[*Subject], classes_table[Fee])</f>
        <v>0</v>
      </c>
      <c r="F844" s="58"/>
      <c r="G844" s="60"/>
      <c r="H844" s="55"/>
      <c r="I844" s="176">
        <f>_xlfn.XLOOKUP(enrollment_table[[#This Row],[*Teacher Name]], teachers_table[*Teacher Name], teachers_table[*Teacher ID])</f>
        <v>0</v>
      </c>
      <c r="J844" s="60"/>
      <c r="K844" s="60"/>
      <c r="L844" s="55"/>
      <c r="M844" s="60"/>
      <c r="N844" s="60"/>
      <c r="O844" s="55"/>
      <c r="P844" s="161"/>
      <c r="Q844" s="160" t="str">
        <f>IF(enrollment_table[[#This Row],[Enrollment Date]]="","",TEXT(enrollment_table[[#This Row],[Enrollment Date]],"mmmm"))</f>
        <v/>
      </c>
      <c r="R844" s="60"/>
    </row>
    <row r="845" spans="1:18" ht="15" x14ac:dyDescent="0.3">
      <c r="A845" s="129"/>
      <c r="B845" s="60"/>
      <c r="C845" s="55"/>
      <c r="D845" s="60"/>
      <c r="E845" s="103">
        <f>_xlfn.XLOOKUP(enrollment_table[[#This Row],[*Subject]], classes_table[*Subject], classes_table[Fee])</f>
        <v>0</v>
      </c>
      <c r="F845" s="58"/>
      <c r="G845" s="60"/>
      <c r="H845" s="55"/>
      <c r="I845" s="176">
        <f>_xlfn.XLOOKUP(enrollment_table[[#This Row],[*Teacher Name]], teachers_table[*Teacher Name], teachers_table[*Teacher ID])</f>
        <v>0</v>
      </c>
      <c r="J845" s="60"/>
      <c r="K845" s="60"/>
      <c r="L845" s="55"/>
      <c r="M845" s="60"/>
      <c r="N845" s="60"/>
      <c r="O845" s="55"/>
      <c r="P845" s="161"/>
      <c r="Q845" s="160" t="str">
        <f>IF(enrollment_table[[#This Row],[Enrollment Date]]="","",TEXT(enrollment_table[[#This Row],[Enrollment Date]],"mmmm"))</f>
        <v/>
      </c>
      <c r="R845" s="60"/>
    </row>
    <row r="846" spans="1:18" ht="15" x14ac:dyDescent="0.3">
      <c r="A846" s="129"/>
      <c r="B846" s="60"/>
      <c r="C846" s="55"/>
      <c r="D846" s="60"/>
      <c r="E846" s="103">
        <f>_xlfn.XLOOKUP(enrollment_table[[#This Row],[*Subject]], classes_table[*Subject], classes_table[Fee])</f>
        <v>0</v>
      </c>
      <c r="F846" s="58"/>
      <c r="G846" s="60"/>
      <c r="H846" s="55"/>
      <c r="I846" s="176">
        <f>_xlfn.XLOOKUP(enrollment_table[[#This Row],[*Teacher Name]], teachers_table[*Teacher Name], teachers_table[*Teacher ID])</f>
        <v>0</v>
      </c>
      <c r="J846" s="60"/>
      <c r="K846" s="60"/>
      <c r="L846" s="55"/>
      <c r="M846" s="60"/>
      <c r="N846" s="60"/>
      <c r="O846" s="55"/>
      <c r="P846" s="161"/>
      <c r="Q846" s="160" t="str">
        <f>IF(enrollment_table[[#This Row],[Enrollment Date]]="","",TEXT(enrollment_table[[#This Row],[Enrollment Date]],"mmmm"))</f>
        <v/>
      </c>
      <c r="R846" s="60"/>
    </row>
    <row r="847" spans="1:18" ht="15" x14ac:dyDescent="0.3">
      <c r="A847" s="129"/>
      <c r="B847" s="60"/>
      <c r="C847" s="55"/>
      <c r="D847" s="60"/>
      <c r="E847" s="103">
        <f>_xlfn.XLOOKUP(enrollment_table[[#This Row],[*Subject]], classes_table[*Subject], classes_table[Fee])</f>
        <v>0</v>
      </c>
      <c r="F847" s="58"/>
      <c r="G847" s="60"/>
      <c r="H847" s="55"/>
      <c r="I847" s="176">
        <f>_xlfn.XLOOKUP(enrollment_table[[#This Row],[*Teacher Name]], teachers_table[*Teacher Name], teachers_table[*Teacher ID])</f>
        <v>0</v>
      </c>
      <c r="J847" s="60"/>
      <c r="K847" s="60"/>
      <c r="L847" s="55"/>
      <c r="M847" s="60"/>
      <c r="N847" s="60"/>
      <c r="O847" s="55"/>
      <c r="P847" s="161"/>
      <c r="Q847" s="160" t="str">
        <f>IF(enrollment_table[[#This Row],[Enrollment Date]]="","",TEXT(enrollment_table[[#This Row],[Enrollment Date]],"mmmm"))</f>
        <v/>
      </c>
      <c r="R847" s="60"/>
    </row>
    <row r="848" spans="1:18" ht="15" x14ac:dyDescent="0.3">
      <c r="A848" s="129"/>
      <c r="B848" s="60"/>
      <c r="C848" s="55"/>
      <c r="D848" s="60"/>
      <c r="E848" s="103">
        <f>_xlfn.XLOOKUP(enrollment_table[[#This Row],[*Subject]], classes_table[*Subject], classes_table[Fee])</f>
        <v>0</v>
      </c>
      <c r="F848" s="58"/>
      <c r="G848" s="60"/>
      <c r="H848" s="55"/>
      <c r="I848" s="176">
        <f>_xlfn.XLOOKUP(enrollment_table[[#This Row],[*Teacher Name]], teachers_table[*Teacher Name], teachers_table[*Teacher ID])</f>
        <v>0</v>
      </c>
      <c r="J848" s="60"/>
      <c r="K848" s="60"/>
      <c r="L848" s="55"/>
      <c r="M848" s="60"/>
      <c r="N848" s="60"/>
      <c r="O848" s="55"/>
      <c r="P848" s="161"/>
      <c r="Q848" s="160" t="str">
        <f>IF(enrollment_table[[#This Row],[Enrollment Date]]="","",TEXT(enrollment_table[[#This Row],[Enrollment Date]],"mmmm"))</f>
        <v/>
      </c>
      <c r="R848" s="60"/>
    </row>
    <row r="849" spans="1:18" ht="15" x14ac:dyDescent="0.3">
      <c r="A849" s="129"/>
      <c r="B849" s="60"/>
      <c r="C849" s="55"/>
      <c r="D849" s="60"/>
      <c r="E849" s="103">
        <f>_xlfn.XLOOKUP(enrollment_table[[#This Row],[*Subject]], classes_table[*Subject], classes_table[Fee])</f>
        <v>0</v>
      </c>
      <c r="F849" s="58"/>
      <c r="G849" s="60"/>
      <c r="H849" s="55"/>
      <c r="I849" s="176">
        <f>_xlfn.XLOOKUP(enrollment_table[[#This Row],[*Teacher Name]], teachers_table[*Teacher Name], teachers_table[*Teacher ID])</f>
        <v>0</v>
      </c>
      <c r="J849" s="60"/>
      <c r="K849" s="60"/>
      <c r="L849" s="55"/>
      <c r="M849" s="60"/>
      <c r="N849" s="60"/>
      <c r="O849" s="55"/>
      <c r="P849" s="161"/>
      <c r="Q849" s="160" t="str">
        <f>IF(enrollment_table[[#This Row],[Enrollment Date]]="","",TEXT(enrollment_table[[#This Row],[Enrollment Date]],"mmmm"))</f>
        <v/>
      </c>
      <c r="R849" s="60"/>
    </row>
    <row r="850" spans="1:18" ht="15" x14ac:dyDescent="0.3">
      <c r="A850" s="129"/>
      <c r="B850" s="60"/>
      <c r="C850" s="55"/>
      <c r="D850" s="60"/>
      <c r="E850" s="103">
        <f>_xlfn.XLOOKUP(enrollment_table[[#This Row],[*Subject]], classes_table[*Subject], classes_table[Fee])</f>
        <v>0</v>
      </c>
      <c r="F850" s="58"/>
      <c r="G850" s="60"/>
      <c r="H850" s="55"/>
      <c r="I850" s="176">
        <f>_xlfn.XLOOKUP(enrollment_table[[#This Row],[*Teacher Name]], teachers_table[*Teacher Name], teachers_table[*Teacher ID])</f>
        <v>0</v>
      </c>
      <c r="J850" s="60"/>
      <c r="K850" s="60"/>
      <c r="L850" s="55"/>
      <c r="M850" s="60"/>
      <c r="N850" s="60"/>
      <c r="O850" s="55"/>
      <c r="P850" s="161"/>
      <c r="Q850" s="160" t="str">
        <f>IF(enrollment_table[[#This Row],[Enrollment Date]]="","",TEXT(enrollment_table[[#This Row],[Enrollment Date]],"mmmm"))</f>
        <v/>
      </c>
      <c r="R850" s="60"/>
    </row>
    <row r="851" spans="1:18" ht="15" x14ac:dyDescent="0.3">
      <c r="A851" s="129"/>
      <c r="B851" s="60"/>
      <c r="C851" s="55"/>
      <c r="D851" s="60"/>
      <c r="E851" s="103">
        <f>_xlfn.XLOOKUP(enrollment_table[[#This Row],[*Subject]], classes_table[*Subject], classes_table[Fee])</f>
        <v>0</v>
      </c>
      <c r="F851" s="58"/>
      <c r="G851" s="60"/>
      <c r="H851" s="55"/>
      <c r="I851" s="176">
        <f>_xlfn.XLOOKUP(enrollment_table[[#This Row],[*Teacher Name]], teachers_table[*Teacher Name], teachers_table[*Teacher ID])</f>
        <v>0</v>
      </c>
      <c r="J851" s="60"/>
      <c r="K851" s="60"/>
      <c r="L851" s="55"/>
      <c r="M851" s="60"/>
      <c r="N851" s="60"/>
      <c r="O851" s="55"/>
      <c r="P851" s="161"/>
      <c r="Q851" s="160" t="str">
        <f>IF(enrollment_table[[#This Row],[Enrollment Date]]="","",TEXT(enrollment_table[[#This Row],[Enrollment Date]],"mmmm"))</f>
        <v/>
      </c>
      <c r="R851" s="60"/>
    </row>
    <row r="852" spans="1:18" ht="15" x14ac:dyDescent="0.3">
      <c r="A852" s="129"/>
      <c r="B852" s="60"/>
      <c r="C852" s="55"/>
      <c r="D852" s="60"/>
      <c r="E852" s="103">
        <f>_xlfn.XLOOKUP(enrollment_table[[#This Row],[*Subject]], classes_table[*Subject], classes_table[Fee])</f>
        <v>0</v>
      </c>
      <c r="F852" s="58"/>
      <c r="G852" s="60"/>
      <c r="H852" s="55"/>
      <c r="I852" s="176">
        <f>_xlfn.XLOOKUP(enrollment_table[[#This Row],[*Teacher Name]], teachers_table[*Teacher Name], teachers_table[*Teacher ID])</f>
        <v>0</v>
      </c>
      <c r="J852" s="60"/>
      <c r="K852" s="60"/>
      <c r="L852" s="55"/>
      <c r="M852" s="60"/>
      <c r="N852" s="60"/>
      <c r="O852" s="55"/>
      <c r="P852" s="161"/>
      <c r="Q852" s="160" t="str">
        <f>IF(enrollment_table[[#This Row],[Enrollment Date]]="","",TEXT(enrollment_table[[#This Row],[Enrollment Date]],"mmmm"))</f>
        <v/>
      </c>
      <c r="R852" s="60"/>
    </row>
    <row r="853" spans="1:18" ht="15" x14ac:dyDescent="0.3">
      <c r="A853" s="129"/>
      <c r="B853" s="60"/>
      <c r="C853" s="55"/>
      <c r="D853" s="60"/>
      <c r="E853" s="103">
        <f>_xlfn.XLOOKUP(enrollment_table[[#This Row],[*Subject]], classes_table[*Subject], classes_table[Fee])</f>
        <v>0</v>
      </c>
      <c r="F853" s="58"/>
      <c r="G853" s="60"/>
      <c r="H853" s="55"/>
      <c r="I853" s="176">
        <f>_xlfn.XLOOKUP(enrollment_table[[#This Row],[*Teacher Name]], teachers_table[*Teacher Name], teachers_table[*Teacher ID])</f>
        <v>0</v>
      </c>
      <c r="J853" s="60"/>
      <c r="K853" s="60"/>
      <c r="L853" s="55"/>
      <c r="M853" s="60"/>
      <c r="N853" s="60"/>
      <c r="O853" s="55"/>
      <c r="P853" s="161"/>
      <c r="Q853" s="160" t="str">
        <f>IF(enrollment_table[[#This Row],[Enrollment Date]]="","",TEXT(enrollment_table[[#This Row],[Enrollment Date]],"mmmm"))</f>
        <v/>
      </c>
      <c r="R853" s="60"/>
    </row>
    <row r="854" spans="1:18" ht="15" x14ac:dyDescent="0.3">
      <c r="A854" s="129"/>
      <c r="B854" s="60"/>
      <c r="C854" s="55"/>
      <c r="D854" s="60"/>
      <c r="E854" s="103">
        <f>_xlfn.XLOOKUP(enrollment_table[[#This Row],[*Subject]], classes_table[*Subject], classes_table[Fee])</f>
        <v>0</v>
      </c>
      <c r="F854" s="58"/>
      <c r="G854" s="60"/>
      <c r="H854" s="55"/>
      <c r="I854" s="176">
        <f>_xlfn.XLOOKUP(enrollment_table[[#This Row],[*Teacher Name]], teachers_table[*Teacher Name], teachers_table[*Teacher ID])</f>
        <v>0</v>
      </c>
      <c r="J854" s="60"/>
      <c r="K854" s="60"/>
      <c r="L854" s="55"/>
      <c r="M854" s="60"/>
      <c r="N854" s="60"/>
      <c r="O854" s="55"/>
      <c r="P854" s="161"/>
      <c r="Q854" s="160" t="str">
        <f>IF(enrollment_table[[#This Row],[Enrollment Date]]="","",TEXT(enrollment_table[[#This Row],[Enrollment Date]],"mmmm"))</f>
        <v/>
      </c>
      <c r="R854" s="60"/>
    </row>
    <row r="855" spans="1:18" ht="15" x14ac:dyDescent="0.3">
      <c r="A855" s="129"/>
      <c r="B855" s="60"/>
      <c r="C855" s="55"/>
      <c r="D855" s="60"/>
      <c r="E855" s="103">
        <f>_xlfn.XLOOKUP(enrollment_table[[#This Row],[*Subject]], classes_table[*Subject], classes_table[Fee])</f>
        <v>0</v>
      </c>
      <c r="F855" s="58"/>
      <c r="G855" s="60"/>
      <c r="H855" s="55"/>
      <c r="I855" s="176">
        <f>_xlfn.XLOOKUP(enrollment_table[[#This Row],[*Teacher Name]], teachers_table[*Teacher Name], teachers_table[*Teacher ID])</f>
        <v>0</v>
      </c>
      <c r="J855" s="60"/>
      <c r="K855" s="60"/>
      <c r="L855" s="55"/>
      <c r="M855" s="60"/>
      <c r="N855" s="60"/>
      <c r="O855" s="55"/>
      <c r="P855" s="161"/>
      <c r="Q855" s="160" t="str">
        <f>IF(enrollment_table[[#This Row],[Enrollment Date]]="","",TEXT(enrollment_table[[#This Row],[Enrollment Date]],"mmmm"))</f>
        <v/>
      </c>
      <c r="R855" s="60"/>
    </row>
    <row r="856" spans="1:18" ht="15" x14ac:dyDescent="0.3">
      <c r="A856" s="129"/>
      <c r="B856" s="60"/>
      <c r="C856" s="55"/>
      <c r="D856" s="60"/>
      <c r="E856" s="103">
        <f>_xlfn.XLOOKUP(enrollment_table[[#This Row],[*Subject]], classes_table[*Subject], classes_table[Fee])</f>
        <v>0</v>
      </c>
      <c r="F856" s="58"/>
      <c r="G856" s="60"/>
      <c r="H856" s="55"/>
      <c r="I856" s="176">
        <f>_xlfn.XLOOKUP(enrollment_table[[#This Row],[*Teacher Name]], teachers_table[*Teacher Name], teachers_table[*Teacher ID])</f>
        <v>0</v>
      </c>
      <c r="J856" s="60"/>
      <c r="K856" s="60"/>
      <c r="L856" s="55"/>
      <c r="M856" s="60"/>
      <c r="N856" s="60"/>
      <c r="O856" s="55"/>
      <c r="P856" s="161"/>
      <c r="Q856" s="160" t="str">
        <f>IF(enrollment_table[[#This Row],[Enrollment Date]]="","",TEXT(enrollment_table[[#This Row],[Enrollment Date]],"mmmm"))</f>
        <v/>
      </c>
      <c r="R856" s="60"/>
    </row>
    <row r="857" spans="1:18" ht="15" x14ac:dyDescent="0.3">
      <c r="A857" s="129"/>
      <c r="B857" s="60"/>
      <c r="C857" s="55"/>
      <c r="D857" s="60"/>
      <c r="E857" s="103">
        <f>_xlfn.XLOOKUP(enrollment_table[[#This Row],[*Subject]], classes_table[*Subject], classes_table[Fee])</f>
        <v>0</v>
      </c>
      <c r="F857" s="58"/>
      <c r="G857" s="60"/>
      <c r="H857" s="55"/>
      <c r="I857" s="176">
        <f>_xlfn.XLOOKUP(enrollment_table[[#This Row],[*Teacher Name]], teachers_table[*Teacher Name], teachers_table[*Teacher ID])</f>
        <v>0</v>
      </c>
      <c r="J857" s="60"/>
      <c r="K857" s="60"/>
      <c r="L857" s="55"/>
      <c r="M857" s="60"/>
      <c r="N857" s="60"/>
      <c r="O857" s="55"/>
      <c r="P857" s="161"/>
      <c r="Q857" s="160" t="str">
        <f>IF(enrollment_table[[#This Row],[Enrollment Date]]="","",TEXT(enrollment_table[[#This Row],[Enrollment Date]],"mmmm"))</f>
        <v/>
      </c>
      <c r="R857" s="60"/>
    </row>
    <row r="858" spans="1:18" ht="15" x14ac:dyDescent="0.3">
      <c r="A858" s="129"/>
      <c r="B858" s="60"/>
      <c r="C858" s="55"/>
      <c r="D858" s="60"/>
      <c r="E858" s="103">
        <f>_xlfn.XLOOKUP(enrollment_table[[#This Row],[*Subject]], classes_table[*Subject], classes_table[Fee])</f>
        <v>0</v>
      </c>
      <c r="F858" s="58"/>
      <c r="G858" s="60"/>
      <c r="H858" s="55"/>
      <c r="I858" s="176">
        <f>_xlfn.XLOOKUP(enrollment_table[[#This Row],[*Teacher Name]], teachers_table[*Teacher Name], teachers_table[*Teacher ID])</f>
        <v>0</v>
      </c>
      <c r="J858" s="60"/>
      <c r="K858" s="60"/>
      <c r="L858" s="55"/>
      <c r="M858" s="60"/>
      <c r="N858" s="60"/>
      <c r="O858" s="55"/>
      <c r="P858" s="161"/>
      <c r="Q858" s="160" t="str">
        <f>IF(enrollment_table[[#This Row],[Enrollment Date]]="","",TEXT(enrollment_table[[#This Row],[Enrollment Date]],"mmmm"))</f>
        <v/>
      </c>
      <c r="R858" s="60"/>
    </row>
    <row r="859" spans="1:18" ht="15" x14ac:dyDescent="0.3">
      <c r="A859" s="129"/>
      <c r="B859" s="60"/>
      <c r="C859" s="55"/>
      <c r="D859" s="60"/>
      <c r="E859" s="103">
        <f>_xlfn.XLOOKUP(enrollment_table[[#This Row],[*Subject]], classes_table[*Subject], classes_table[Fee])</f>
        <v>0</v>
      </c>
      <c r="F859" s="58"/>
      <c r="G859" s="60"/>
      <c r="H859" s="55"/>
      <c r="I859" s="176">
        <f>_xlfn.XLOOKUP(enrollment_table[[#This Row],[*Teacher Name]], teachers_table[*Teacher Name], teachers_table[*Teacher ID])</f>
        <v>0</v>
      </c>
      <c r="J859" s="60"/>
      <c r="K859" s="60"/>
      <c r="L859" s="55"/>
      <c r="M859" s="60"/>
      <c r="N859" s="60"/>
      <c r="O859" s="55"/>
      <c r="P859" s="161"/>
      <c r="Q859" s="160" t="str">
        <f>IF(enrollment_table[[#This Row],[Enrollment Date]]="","",TEXT(enrollment_table[[#This Row],[Enrollment Date]],"mmmm"))</f>
        <v/>
      </c>
      <c r="R859" s="60"/>
    </row>
    <row r="860" spans="1:18" ht="15" x14ac:dyDescent="0.3">
      <c r="A860" s="129"/>
      <c r="B860" s="60"/>
      <c r="C860" s="55"/>
      <c r="D860" s="60"/>
      <c r="E860" s="103">
        <f>_xlfn.XLOOKUP(enrollment_table[[#This Row],[*Subject]], classes_table[*Subject], classes_table[Fee])</f>
        <v>0</v>
      </c>
      <c r="F860" s="58"/>
      <c r="G860" s="60"/>
      <c r="H860" s="55"/>
      <c r="I860" s="176">
        <f>_xlfn.XLOOKUP(enrollment_table[[#This Row],[*Teacher Name]], teachers_table[*Teacher Name], teachers_table[*Teacher ID])</f>
        <v>0</v>
      </c>
      <c r="J860" s="60"/>
      <c r="K860" s="60"/>
      <c r="L860" s="55"/>
      <c r="M860" s="60"/>
      <c r="N860" s="60"/>
      <c r="O860" s="55"/>
      <c r="P860" s="161"/>
      <c r="Q860" s="160" t="str">
        <f>IF(enrollment_table[[#This Row],[Enrollment Date]]="","",TEXT(enrollment_table[[#This Row],[Enrollment Date]],"mmmm"))</f>
        <v/>
      </c>
      <c r="R860" s="60"/>
    </row>
    <row r="861" spans="1:18" ht="15" x14ac:dyDescent="0.3">
      <c r="A861" s="129"/>
      <c r="B861" s="60"/>
      <c r="C861" s="55"/>
      <c r="D861" s="60"/>
      <c r="E861" s="103">
        <f>_xlfn.XLOOKUP(enrollment_table[[#This Row],[*Subject]], classes_table[*Subject], classes_table[Fee])</f>
        <v>0</v>
      </c>
      <c r="F861" s="58"/>
      <c r="G861" s="60"/>
      <c r="H861" s="55"/>
      <c r="I861" s="176">
        <f>_xlfn.XLOOKUP(enrollment_table[[#This Row],[*Teacher Name]], teachers_table[*Teacher Name], teachers_table[*Teacher ID])</f>
        <v>0</v>
      </c>
      <c r="J861" s="60"/>
      <c r="K861" s="60"/>
      <c r="L861" s="55"/>
      <c r="M861" s="60"/>
      <c r="N861" s="60"/>
      <c r="O861" s="55"/>
      <c r="P861" s="161"/>
      <c r="Q861" s="160" t="str">
        <f>IF(enrollment_table[[#This Row],[Enrollment Date]]="","",TEXT(enrollment_table[[#This Row],[Enrollment Date]],"mmmm"))</f>
        <v/>
      </c>
      <c r="R861" s="60"/>
    </row>
    <row r="862" spans="1:18" ht="15" x14ac:dyDescent="0.3">
      <c r="A862" s="129"/>
      <c r="B862" s="60"/>
      <c r="C862" s="55"/>
      <c r="D862" s="60"/>
      <c r="E862" s="103">
        <f>_xlfn.XLOOKUP(enrollment_table[[#This Row],[*Subject]], classes_table[*Subject], classes_table[Fee])</f>
        <v>0</v>
      </c>
      <c r="F862" s="58"/>
      <c r="G862" s="60"/>
      <c r="H862" s="55"/>
      <c r="I862" s="176">
        <f>_xlfn.XLOOKUP(enrollment_table[[#This Row],[*Teacher Name]], teachers_table[*Teacher Name], teachers_table[*Teacher ID])</f>
        <v>0</v>
      </c>
      <c r="J862" s="60"/>
      <c r="K862" s="60"/>
      <c r="L862" s="55"/>
      <c r="M862" s="60"/>
      <c r="N862" s="60"/>
      <c r="O862" s="55"/>
      <c r="P862" s="161"/>
      <c r="Q862" s="160" t="str">
        <f>IF(enrollment_table[[#This Row],[Enrollment Date]]="","",TEXT(enrollment_table[[#This Row],[Enrollment Date]],"mmmm"))</f>
        <v/>
      </c>
      <c r="R862" s="60"/>
    </row>
    <row r="863" spans="1:18" ht="15" x14ac:dyDescent="0.3">
      <c r="A863" s="129"/>
      <c r="B863" s="60"/>
      <c r="C863" s="55"/>
      <c r="D863" s="60"/>
      <c r="E863" s="103">
        <f>_xlfn.XLOOKUP(enrollment_table[[#This Row],[*Subject]], classes_table[*Subject], classes_table[Fee])</f>
        <v>0</v>
      </c>
      <c r="F863" s="58"/>
      <c r="G863" s="60"/>
      <c r="H863" s="55"/>
      <c r="I863" s="176">
        <f>_xlfn.XLOOKUP(enrollment_table[[#This Row],[*Teacher Name]], teachers_table[*Teacher Name], teachers_table[*Teacher ID])</f>
        <v>0</v>
      </c>
      <c r="J863" s="60"/>
      <c r="K863" s="60"/>
      <c r="L863" s="55"/>
      <c r="M863" s="60"/>
      <c r="N863" s="60"/>
      <c r="O863" s="55"/>
      <c r="P863" s="161"/>
      <c r="Q863" s="160" t="str">
        <f>IF(enrollment_table[[#This Row],[Enrollment Date]]="","",TEXT(enrollment_table[[#This Row],[Enrollment Date]],"mmmm"))</f>
        <v/>
      </c>
      <c r="R863" s="60"/>
    </row>
    <row r="864" spans="1:18" ht="15" x14ac:dyDescent="0.3">
      <c r="A864" s="129"/>
      <c r="B864" s="60"/>
      <c r="C864" s="55"/>
      <c r="D864" s="60"/>
      <c r="E864" s="103">
        <f>_xlfn.XLOOKUP(enrollment_table[[#This Row],[*Subject]], classes_table[*Subject], classes_table[Fee])</f>
        <v>0</v>
      </c>
      <c r="F864" s="58"/>
      <c r="G864" s="60"/>
      <c r="H864" s="55"/>
      <c r="I864" s="176">
        <f>_xlfn.XLOOKUP(enrollment_table[[#This Row],[*Teacher Name]], teachers_table[*Teacher Name], teachers_table[*Teacher ID])</f>
        <v>0</v>
      </c>
      <c r="J864" s="60"/>
      <c r="K864" s="60"/>
      <c r="L864" s="55"/>
      <c r="M864" s="60"/>
      <c r="N864" s="60"/>
      <c r="O864" s="55"/>
      <c r="P864" s="161"/>
      <c r="Q864" s="160" t="str">
        <f>IF(enrollment_table[[#This Row],[Enrollment Date]]="","",TEXT(enrollment_table[[#This Row],[Enrollment Date]],"mmmm"))</f>
        <v/>
      </c>
      <c r="R864" s="60"/>
    </row>
    <row r="865" spans="1:18" ht="15" x14ac:dyDescent="0.3">
      <c r="A865" s="129"/>
      <c r="B865" s="60"/>
      <c r="C865" s="55"/>
      <c r="D865" s="60"/>
      <c r="E865" s="103">
        <f>_xlfn.XLOOKUP(enrollment_table[[#This Row],[*Subject]], classes_table[*Subject], classes_table[Fee])</f>
        <v>0</v>
      </c>
      <c r="F865" s="58"/>
      <c r="G865" s="60"/>
      <c r="H865" s="55"/>
      <c r="I865" s="176">
        <f>_xlfn.XLOOKUP(enrollment_table[[#This Row],[*Teacher Name]], teachers_table[*Teacher Name], teachers_table[*Teacher ID])</f>
        <v>0</v>
      </c>
      <c r="J865" s="60"/>
      <c r="K865" s="60"/>
      <c r="L865" s="55"/>
      <c r="M865" s="60"/>
      <c r="N865" s="60"/>
      <c r="O865" s="55"/>
      <c r="P865" s="161"/>
      <c r="Q865" s="160" t="str">
        <f>IF(enrollment_table[[#This Row],[Enrollment Date]]="","",TEXT(enrollment_table[[#This Row],[Enrollment Date]],"mmmm"))</f>
        <v/>
      </c>
      <c r="R865" s="60"/>
    </row>
    <row r="866" spans="1:18" ht="15" x14ac:dyDescent="0.3">
      <c r="A866" s="129"/>
      <c r="B866" s="60"/>
      <c r="C866" s="55"/>
      <c r="D866" s="60"/>
      <c r="E866" s="103">
        <f>_xlfn.XLOOKUP(enrollment_table[[#This Row],[*Subject]], classes_table[*Subject], classes_table[Fee])</f>
        <v>0</v>
      </c>
      <c r="F866" s="58"/>
      <c r="G866" s="60"/>
      <c r="H866" s="55"/>
      <c r="I866" s="176">
        <f>_xlfn.XLOOKUP(enrollment_table[[#This Row],[*Teacher Name]], teachers_table[*Teacher Name], teachers_table[*Teacher ID])</f>
        <v>0</v>
      </c>
      <c r="J866" s="60"/>
      <c r="K866" s="60"/>
      <c r="L866" s="55"/>
      <c r="M866" s="60"/>
      <c r="N866" s="60"/>
      <c r="O866" s="55"/>
      <c r="P866" s="161"/>
      <c r="Q866" s="160" t="str">
        <f>IF(enrollment_table[[#This Row],[Enrollment Date]]="","",TEXT(enrollment_table[[#This Row],[Enrollment Date]],"mmmm"))</f>
        <v/>
      </c>
      <c r="R866" s="60"/>
    </row>
    <row r="867" spans="1:18" ht="15" x14ac:dyDescent="0.3">
      <c r="A867" s="129"/>
      <c r="B867" s="60"/>
      <c r="C867" s="55"/>
      <c r="D867" s="60"/>
      <c r="E867" s="103">
        <f>_xlfn.XLOOKUP(enrollment_table[[#This Row],[*Subject]], classes_table[*Subject], classes_table[Fee])</f>
        <v>0</v>
      </c>
      <c r="F867" s="58"/>
      <c r="G867" s="60"/>
      <c r="H867" s="55"/>
      <c r="I867" s="176">
        <f>_xlfn.XLOOKUP(enrollment_table[[#This Row],[*Teacher Name]], teachers_table[*Teacher Name], teachers_table[*Teacher ID])</f>
        <v>0</v>
      </c>
      <c r="J867" s="60"/>
      <c r="K867" s="60"/>
      <c r="L867" s="55"/>
      <c r="M867" s="60"/>
      <c r="N867" s="60"/>
      <c r="O867" s="55"/>
      <c r="P867" s="161"/>
      <c r="Q867" s="160" t="str">
        <f>IF(enrollment_table[[#This Row],[Enrollment Date]]="","",TEXT(enrollment_table[[#This Row],[Enrollment Date]],"mmmm"))</f>
        <v/>
      </c>
      <c r="R867" s="60"/>
    </row>
    <row r="868" spans="1:18" ht="15" x14ac:dyDescent="0.3">
      <c r="A868" s="129"/>
      <c r="B868" s="60"/>
      <c r="C868" s="55"/>
      <c r="D868" s="60"/>
      <c r="E868" s="103">
        <f>_xlfn.XLOOKUP(enrollment_table[[#This Row],[*Subject]], classes_table[*Subject], classes_table[Fee])</f>
        <v>0</v>
      </c>
      <c r="F868" s="58"/>
      <c r="G868" s="60"/>
      <c r="H868" s="55"/>
      <c r="I868" s="176">
        <f>_xlfn.XLOOKUP(enrollment_table[[#This Row],[*Teacher Name]], teachers_table[*Teacher Name], teachers_table[*Teacher ID])</f>
        <v>0</v>
      </c>
      <c r="J868" s="60"/>
      <c r="K868" s="60"/>
      <c r="L868" s="55"/>
      <c r="M868" s="60"/>
      <c r="N868" s="60"/>
      <c r="O868" s="55"/>
      <c r="P868" s="161"/>
      <c r="Q868" s="160" t="str">
        <f>IF(enrollment_table[[#This Row],[Enrollment Date]]="","",TEXT(enrollment_table[[#This Row],[Enrollment Date]],"mmmm"))</f>
        <v/>
      </c>
      <c r="R868" s="60"/>
    </row>
    <row r="869" spans="1:18" ht="15" x14ac:dyDescent="0.3">
      <c r="A869" s="129"/>
      <c r="B869" s="60"/>
      <c r="C869" s="55"/>
      <c r="D869" s="60"/>
      <c r="E869" s="103">
        <f>_xlfn.XLOOKUP(enrollment_table[[#This Row],[*Subject]], classes_table[*Subject], classes_table[Fee])</f>
        <v>0</v>
      </c>
      <c r="F869" s="58"/>
      <c r="G869" s="60"/>
      <c r="H869" s="55"/>
      <c r="I869" s="176">
        <f>_xlfn.XLOOKUP(enrollment_table[[#This Row],[*Teacher Name]], teachers_table[*Teacher Name], teachers_table[*Teacher ID])</f>
        <v>0</v>
      </c>
      <c r="J869" s="60"/>
      <c r="K869" s="60"/>
      <c r="L869" s="55"/>
      <c r="M869" s="60"/>
      <c r="N869" s="60"/>
      <c r="O869" s="55"/>
      <c r="P869" s="161"/>
      <c r="Q869" s="160" t="str">
        <f>IF(enrollment_table[[#This Row],[Enrollment Date]]="","",TEXT(enrollment_table[[#This Row],[Enrollment Date]],"mmmm"))</f>
        <v/>
      </c>
      <c r="R869" s="60"/>
    </row>
    <row r="870" spans="1:18" ht="15" x14ac:dyDescent="0.3">
      <c r="A870" s="129"/>
      <c r="B870" s="60"/>
      <c r="C870" s="55"/>
      <c r="D870" s="60"/>
      <c r="E870" s="103">
        <f>_xlfn.XLOOKUP(enrollment_table[[#This Row],[*Subject]], classes_table[*Subject], classes_table[Fee])</f>
        <v>0</v>
      </c>
      <c r="F870" s="58"/>
      <c r="G870" s="60"/>
      <c r="H870" s="55"/>
      <c r="I870" s="176">
        <f>_xlfn.XLOOKUP(enrollment_table[[#This Row],[*Teacher Name]], teachers_table[*Teacher Name], teachers_table[*Teacher ID])</f>
        <v>0</v>
      </c>
      <c r="J870" s="60"/>
      <c r="K870" s="60"/>
      <c r="L870" s="55"/>
      <c r="M870" s="60"/>
      <c r="N870" s="60"/>
      <c r="O870" s="55"/>
      <c r="P870" s="161"/>
      <c r="Q870" s="160" t="str">
        <f>IF(enrollment_table[[#This Row],[Enrollment Date]]="","",TEXT(enrollment_table[[#This Row],[Enrollment Date]],"mmmm"))</f>
        <v/>
      </c>
      <c r="R870" s="60"/>
    </row>
    <row r="871" spans="1:18" ht="15" x14ac:dyDescent="0.3">
      <c r="A871" s="129"/>
      <c r="B871" s="60"/>
      <c r="C871" s="55"/>
      <c r="D871" s="60"/>
      <c r="E871" s="103">
        <f>_xlfn.XLOOKUP(enrollment_table[[#This Row],[*Subject]], classes_table[*Subject], classes_table[Fee])</f>
        <v>0</v>
      </c>
      <c r="F871" s="58"/>
      <c r="G871" s="60"/>
      <c r="H871" s="55"/>
      <c r="I871" s="176">
        <f>_xlfn.XLOOKUP(enrollment_table[[#This Row],[*Teacher Name]], teachers_table[*Teacher Name], teachers_table[*Teacher ID])</f>
        <v>0</v>
      </c>
      <c r="J871" s="60"/>
      <c r="K871" s="60"/>
      <c r="L871" s="55"/>
      <c r="M871" s="60"/>
      <c r="N871" s="60"/>
      <c r="O871" s="55"/>
      <c r="P871" s="161"/>
      <c r="Q871" s="160" t="str">
        <f>IF(enrollment_table[[#This Row],[Enrollment Date]]="","",TEXT(enrollment_table[[#This Row],[Enrollment Date]],"mmmm"))</f>
        <v/>
      </c>
      <c r="R871" s="60"/>
    </row>
    <row r="872" spans="1:18" ht="15" x14ac:dyDescent="0.3">
      <c r="A872" s="129"/>
      <c r="B872" s="60"/>
      <c r="C872" s="55"/>
      <c r="D872" s="60"/>
      <c r="E872" s="103">
        <f>_xlfn.XLOOKUP(enrollment_table[[#This Row],[*Subject]], classes_table[*Subject], classes_table[Fee])</f>
        <v>0</v>
      </c>
      <c r="F872" s="58"/>
      <c r="G872" s="60"/>
      <c r="H872" s="55"/>
      <c r="I872" s="176">
        <f>_xlfn.XLOOKUP(enrollment_table[[#This Row],[*Teacher Name]], teachers_table[*Teacher Name], teachers_table[*Teacher ID])</f>
        <v>0</v>
      </c>
      <c r="J872" s="60"/>
      <c r="K872" s="60"/>
      <c r="L872" s="55"/>
      <c r="M872" s="60"/>
      <c r="N872" s="60"/>
      <c r="O872" s="55"/>
      <c r="P872" s="161"/>
      <c r="Q872" s="160" t="str">
        <f>IF(enrollment_table[[#This Row],[Enrollment Date]]="","",TEXT(enrollment_table[[#This Row],[Enrollment Date]],"mmmm"))</f>
        <v/>
      </c>
      <c r="R872" s="60"/>
    </row>
    <row r="873" spans="1:18" ht="15" x14ac:dyDescent="0.3">
      <c r="A873" s="129"/>
      <c r="B873" s="60"/>
      <c r="C873" s="55"/>
      <c r="D873" s="60"/>
      <c r="E873" s="103">
        <f>_xlfn.XLOOKUP(enrollment_table[[#This Row],[*Subject]], classes_table[*Subject], classes_table[Fee])</f>
        <v>0</v>
      </c>
      <c r="F873" s="58"/>
      <c r="G873" s="60"/>
      <c r="H873" s="55"/>
      <c r="I873" s="176">
        <f>_xlfn.XLOOKUP(enrollment_table[[#This Row],[*Teacher Name]], teachers_table[*Teacher Name], teachers_table[*Teacher ID])</f>
        <v>0</v>
      </c>
      <c r="J873" s="60"/>
      <c r="K873" s="60"/>
      <c r="L873" s="55"/>
      <c r="M873" s="60"/>
      <c r="N873" s="60"/>
      <c r="O873" s="55"/>
      <c r="P873" s="161"/>
      <c r="Q873" s="160" t="str">
        <f>IF(enrollment_table[[#This Row],[Enrollment Date]]="","",TEXT(enrollment_table[[#This Row],[Enrollment Date]],"mmmm"))</f>
        <v/>
      </c>
      <c r="R873" s="60"/>
    </row>
    <row r="874" spans="1:18" ht="15" x14ac:dyDescent="0.3">
      <c r="A874" s="129"/>
      <c r="B874" s="60"/>
      <c r="C874" s="55"/>
      <c r="D874" s="60"/>
      <c r="E874" s="103">
        <f>_xlfn.XLOOKUP(enrollment_table[[#This Row],[*Subject]], classes_table[*Subject], classes_table[Fee])</f>
        <v>0</v>
      </c>
      <c r="F874" s="58"/>
      <c r="G874" s="60"/>
      <c r="H874" s="55"/>
      <c r="I874" s="176">
        <f>_xlfn.XLOOKUP(enrollment_table[[#This Row],[*Teacher Name]], teachers_table[*Teacher Name], teachers_table[*Teacher ID])</f>
        <v>0</v>
      </c>
      <c r="J874" s="60"/>
      <c r="K874" s="60"/>
      <c r="L874" s="55"/>
      <c r="M874" s="60"/>
      <c r="N874" s="60"/>
      <c r="O874" s="55"/>
      <c r="P874" s="161"/>
      <c r="Q874" s="160" t="str">
        <f>IF(enrollment_table[[#This Row],[Enrollment Date]]="","",TEXT(enrollment_table[[#This Row],[Enrollment Date]],"mmmm"))</f>
        <v/>
      </c>
      <c r="R874" s="60"/>
    </row>
    <row r="875" spans="1:18" ht="15" x14ac:dyDescent="0.3">
      <c r="A875" s="129"/>
      <c r="B875" s="60"/>
      <c r="C875" s="55"/>
      <c r="D875" s="60"/>
      <c r="E875" s="103">
        <f>_xlfn.XLOOKUP(enrollment_table[[#This Row],[*Subject]], classes_table[*Subject], classes_table[Fee])</f>
        <v>0</v>
      </c>
      <c r="F875" s="58"/>
      <c r="G875" s="60"/>
      <c r="H875" s="55"/>
      <c r="I875" s="176">
        <f>_xlfn.XLOOKUP(enrollment_table[[#This Row],[*Teacher Name]], teachers_table[*Teacher Name], teachers_table[*Teacher ID])</f>
        <v>0</v>
      </c>
      <c r="J875" s="60"/>
      <c r="K875" s="60"/>
      <c r="L875" s="55"/>
      <c r="M875" s="60"/>
      <c r="N875" s="60"/>
      <c r="O875" s="55"/>
      <c r="P875" s="161"/>
      <c r="Q875" s="160" t="str">
        <f>IF(enrollment_table[[#This Row],[Enrollment Date]]="","",TEXT(enrollment_table[[#This Row],[Enrollment Date]],"mmmm"))</f>
        <v/>
      </c>
      <c r="R875" s="60"/>
    </row>
    <row r="876" spans="1:18" ht="15" x14ac:dyDescent="0.3">
      <c r="A876" s="129"/>
      <c r="B876" s="60"/>
      <c r="C876" s="55"/>
      <c r="D876" s="60"/>
      <c r="E876" s="103">
        <f>_xlfn.XLOOKUP(enrollment_table[[#This Row],[*Subject]], classes_table[*Subject], classes_table[Fee])</f>
        <v>0</v>
      </c>
      <c r="F876" s="58"/>
      <c r="G876" s="60"/>
      <c r="H876" s="55"/>
      <c r="I876" s="176">
        <f>_xlfn.XLOOKUP(enrollment_table[[#This Row],[*Teacher Name]], teachers_table[*Teacher Name], teachers_table[*Teacher ID])</f>
        <v>0</v>
      </c>
      <c r="J876" s="60"/>
      <c r="K876" s="60"/>
      <c r="L876" s="55"/>
      <c r="M876" s="60"/>
      <c r="N876" s="60"/>
      <c r="O876" s="55"/>
      <c r="P876" s="161"/>
      <c r="Q876" s="160" t="str">
        <f>IF(enrollment_table[[#This Row],[Enrollment Date]]="","",TEXT(enrollment_table[[#This Row],[Enrollment Date]],"mmmm"))</f>
        <v/>
      </c>
      <c r="R876" s="60"/>
    </row>
    <row r="877" spans="1:18" ht="15" x14ac:dyDescent="0.3">
      <c r="A877" s="129"/>
      <c r="B877" s="60"/>
      <c r="C877" s="55"/>
      <c r="D877" s="60"/>
      <c r="E877" s="103">
        <f>_xlfn.XLOOKUP(enrollment_table[[#This Row],[*Subject]], classes_table[*Subject], classes_table[Fee])</f>
        <v>0</v>
      </c>
      <c r="F877" s="58"/>
      <c r="G877" s="60"/>
      <c r="H877" s="55"/>
      <c r="I877" s="176">
        <f>_xlfn.XLOOKUP(enrollment_table[[#This Row],[*Teacher Name]], teachers_table[*Teacher Name], teachers_table[*Teacher ID])</f>
        <v>0</v>
      </c>
      <c r="J877" s="60"/>
      <c r="K877" s="60"/>
      <c r="L877" s="55"/>
      <c r="M877" s="60"/>
      <c r="N877" s="60"/>
      <c r="O877" s="55"/>
      <c r="P877" s="161"/>
      <c r="Q877" s="160" t="str">
        <f>IF(enrollment_table[[#This Row],[Enrollment Date]]="","",TEXT(enrollment_table[[#This Row],[Enrollment Date]],"mmmm"))</f>
        <v/>
      </c>
      <c r="R877" s="60"/>
    </row>
    <row r="878" spans="1:18" ht="15" x14ac:dyDescent="0.3">
      <c r="A878" s="129"/>
      <c r="B878" s="60"/>
      <c r="C878" s="55"/>
      <c r="D878" s="60"/>
      <c r="E878" s="103">
        <f>_xlfn.XLOOKUP(enrollment_table[[#This Row],[*Subject]], classes_table[*Subject], classes_table[Fee])</f>
        <v>0</v>
      </c>
      <c r="F878" s="58"/>
      <c r="G878" s="60"/>
      <c r="H878" s="55"/>
      <c r="I878" s="176">
        <f>_xlfn.XLOOKUP(enrollment_table[[#This Row],[*Teacher Name]], teachers_table[*Teacher Name], teachers_table[*Teacher ID])</f>
        <v>0</v>
      </c>
      <c r="J878" s="60"/>
      <c r="K878" s="60"/>
      <c r="L878" s="55"/>
      <c r="M878" s="60"/>
      <c r="N878" s="60"/>
      <c r="O878" s="55"/>
      <c r="P878" s="161"/>
      <c r="Q878" s="160" t="str">
        <f>IF(enrollment_table[[#This Row],[Enrollment Date]]="","",TEXT(enrollment_table[[#This Row],[Enrollment Date]],"mmmm"))</f>
        <v/>
      </c>
      <c r="R878" s="60"/>
    </row>
    <row r="879" spans="1:18" ht="15" x14ac:dyDescent="0.3">
      <c r="A879" s="129"/>
      <c r="B879" s="60"/>
      <c r="C879" s="55"/>
      <c r="D879" s="60"/>
      <c r="E879" s="103">
        <f>_xlfn.XLOOKUP(enrollment_table[[#This Row],[*Subject]], classes_table[*Subject], classes_table[Fee])</f>
        <v>0</v>
      </c>
      <c r="F879" s="58"/>
      <c r="G879" s="60"/>
      <c r="H879" s="55"/>
      <c r="I879" s="176">
        <f>_xlfn.XLOOKUP(enrollment_table[[#This Row],[*Teacher Name]], teachers_table[*Teacher Name], teachers_table[*Teacher ID])</f>
        <v>0</v>
      </c>
      <c r="J879" s="60"/>
      <c r="K879" s="60"/>
      <c r="L879" s="55"/>
      <c r="M879" s="60"/>
      <c r="N879" s="60"/>
      <c r="O879" s="55"/>
      <c r="P879" s="161"/>
      <c r="Q879" s="160" t="str">
        <f>IF(enrollment_table[[#This Row],[Enrollment Date]]="","",TEXT(enrollment_table[[#This Row],[Enrollment Date]],"mmmm"))</f>
        <v/>
      </c>
      <c r="R879" s="60"/>
    </row>
    <row r="880" spans="1:18" ht="15" x14ac:dyDescent="0.3">
      <c r="A880" s="129"/>
      <c r="B880" s="60"/>
      <c r="C880" s="55"/>
      <c r="D880" s="60"/>
      <c r="E880" s="103">
        <f>_xlfn.XLOOKUP(enrollment_table[[#This Row],[*Subject]], classes_table[*Subject], classes_table[Fee])</f>
        <v>0</v>
      </c>
      <c r="F880" s="58"/>
      <c r="G880" s="60"/>
      <c r="H880" s="55"/>
      <c r="I880" s="176">
        <f>_xlfn.XLOOKUP(enrollment_table[[#This Row],[*Teacher Name]], teachers_table[*Teacher Name], teachers_table[*Teacher ID])</f>
        <v>0</v>
      </c>
      <c r="J880" s="60"/>
      <c r="K880" s="60"/>
      <c r="L880" s="55"/>
      <c r="M880" s="60"/>
      <c r="N880" s="60"/>
      <c r="O880" s="55"/>
      <c r="P880" s="161"/>
      <c r="Q880" s="160" t="str">
        <f>IF(enrollment_table[[#This Row],[Enrollment Date]]="","",TEXT(enrollment_table[[#This Row],[Enrollment Date]],"mmmm"))</f>
        <v/>
      </c>
      <c r="R880" s="60"/>
    </row>
    <row r="881" spans="1:18" ht="15" x14ac:dyDescent="0.3">
      <c r="A881" s="129"/>
      <c r="B881" s="60"/>
      <c r="C881" s="55"/>
      <c r="D881" s="60"/>
      <c r="E881" s="103">
        <f>_xlfn.XLOOKUP(enrollment_table[[#This Row],[*Subject]], classes_table[*Subject], classes_table[Fee])</f>
        <v>0</v>
      </c>
      <c r="F881" s="58"/>
      <c r="G881" s="60"/>
      <c r="H881" s="55"/>
      <c r="I881" s="176">
        <f>_xlfn.XLOOKUP(enrollment_table[[#This Row],[*Teacher Name]], teachers_table[*Teacher Name], teachers_table[*Teacher ID])</f>
        <v>0</v>
      </c>
      <c r="J881" s="60"/>
      <c r="K881" s="60"/>
      <c r="L881" s="55"/>
      <c r="M881" s="60"/>
      <c r="N881" s="60"/>
      <c r="O881" s="55"/>
      <c r="P881" s="161"/>
      <c r="Q881" s="160" t="str">
        <f>IF(enrollment_table[[#This Row],[Enrollment Date]]="","",TEXT(enrollment_table[[#This Row],[Enrollment Date]],"mmmm"))</f>
        <v/>
      </c>
      <c r="R881" s="60"/>
    </row>
    <row r="882" spans="1:18" ht="15" x14ac:dyDescent="0.3">
      <c r="A882" s="129"/>
      <c r="B882" s="60"/>
      <c r="C882" s="55"/>
      <c r="D882" s="60"/>
      <c r="E882" s="103">
        <f>_xlfn.XLOOKUP(enrollment_table[[#This Row],[*Subject]], classes_table[*Subject], classes_table[Fee])</f>
        <v>0</v>
      </c>
      <c r="F882" s="58"/>
      <c r="G882" s="60"/>
      <c r="H882" s="55"/>
      <c r="I882" s="176">
        <f>_xlfn.XLOOKUP(enrollment_table[[#This Row],[*Teacher Name]], teachers_table[*Teacher Name], teachers_table[*Teacher ID])</f>
        <v>0</v>
      </c>
      <c r="J882" s="60"/>
      <c r="K882" s="60"/>
      <c r="L882" s="55"/>
      <c r="M882" s="60"/>
      <c r="N882" s="60"/>
      <c r="O882" s="55"/>
      <c r="P882" s="161"/>
      <c r="Q882" s="160" t="str">
        <f>IF(enrollment_table[[#This Row],[Enrollment Date]]="","",TEXT(enrollment_table[[#This Row],[Enrollment Date]],"mmmm"))</f>
        <v/>
      </c>
      <c r="R882" s="60"/>
    </row>
    <row r="883" spans="1:18" ht="15" x14ac:dyDescent="0.3">
      <c r="A883" s="129"/>
      <c r="B883" s="60"/>
      <c r="C883" s="55"/>
      <c r="D883" s="60"/>
      <c r="E883" s="103">
        <f>_xlfn.XLOOKUP(enrollment_table[[#This Row],[*Subject]], classes_table[*Subject], classes_table[Fee])</f>
        <v>0</v>
      </c>
      <c r="F883" s="58"/>
      <c r="G883" s="60"/>
      <c r="H883" s="55"/>
      <c r="I883" s="176">
        <f>_xlfn.XLOOKUP(enrollment_table[[#This Row],[*Teacher Name]], teachers_table[*Teacher Name], teachers_table[*Teacher ID])</f>
        <v>0</v>
      </c>
      <c r="J883" s="60"/>
      <c r="K883" s="60"/>
      <c r="L883" s="55"/>
      <c r="M883" s="60"/>
      <c r="N883" s="60"/>
      <c r="O883" s="55"/>
      <c r="P883" s="161"/>
      <c r="Q883" s="160" t="str">
        <f>IF(enrollment_table[[#This Row],[Enrollment Date]]="","",TEXT(enrollment_table[[#This Row],[Enrollment Date]],"mmmm"))</f>
        <v/>
      </c>
      <c r="R883" s="60"/>
    </row>
    <row r="884" spans="1:18" ht="15" x14ac:dyDescent="0.3">
      <c r="A884" s="129"/>
      <c r="B884" s="60"/>
      <c r="C884" s="55"/>
      <c r="D884" s="60"/>
      <c r="E884" s="103">
        <f>_xlfn.XLOOKUP(enrollment_table[[#This Row],[*Subject]], classes_table[*Subject], classes_table[Fee])</f>
        <v>0</v>
      </c>
      <c r="F884" s="58"/>
      <c r="G884" s="60"/>
      <c r="H884" s="55"/>
      <c r="I884" s="176">
        <f>_xlfn.XLOOKUP(enrollment_table[[#This Row],[*Teacher Name]], teachers_table[*Teacher Name], teachers_table[*Teacher ID])</f>
        <v>0</v>
      </c>
      <c r="J884" s="60"/>
      <c r="K884" s="60"/>
      <c r="L884" s="55"/>
      <c r="M884" s="60"/>
      <c r="N884" s="60"/>
      <c r="O884" s="55"/>
      <c r="P884" s="161"/>
      <c r="Q884" s="160" t="str">
        <f>IF(enrollment_table[[#This Row],[Enrollment Date]]="","",TEXT(enrollment_table[[#This Row],[Enrollment Date]],"mmmm"))</f>
        <v/>
      </c>
      <c r="R884" s="60"/>
    </row>
    <row r="885" spans="1:18" ht="15" x14ac:dyDescent="0.3">
      <c r="A885" s="129"/>
      <c r="B885" s="60"/>
      <c r="C885" s="55"/>
      <c r="D885" s="60"/>
      <c r="E885" s="103">
        <f>_xlfn.XLOOKUP(enrollment_table[[#This Row],[*Subject]], classes_table[*Subject], classes_table[Fee])</f>
        <v>0</v>
      </c>
      <c r="F885" s="58"/>
      <c r="G885" s="60"/>
      <c r="H885" s="55"/>
      <c r="I885" s="176">
        <f>_xlfn.XLOOKUP(enrollment_table[[#This Row],[*Teacher Name]], teachers_table[*Teacher Name], teachers_table[*Teacher ID])</f>
        <v>0</v>
      </c>
      <c r="J885" s="60"/>
      <c r="K885" s="60"/>
      <c r="L885" s="55"/>
      <c r="M885" s="60"/>
      <c r="N885" s="60"/>
      <c r="O885" s="55"/>
      <c r="P885" s="161"/>
      <c r="Q885" s="160" t="str">
        <f>IF(enrollment_table[[#This Row],[Enrollment Date]]="","",TEXT(enrollment_table[[#This Row],[Enrollment Date]],"mmmm"))</f>
        <v/>
      </c>
      <c r="R885" s="60"/>
    </row>
    <row r="886" spans="1:18" ht="15" x14ac:dyDescent="0.3">
      <c r="A886" s="129"/>
      <c r="B886" s="60"/>
      <c r="C886" s="55"/>
      <c r="D886" s="60"/>
      <c r="E886" s="103">
        <f>_xlfn.XLOOKUP(enrollment_table[[#This Row],[*Subject]], classes_table[*Subject], classes_table[Fee])</f>
        <v>0</v>
      </c>
      <c r="F886" s="58"/>
      <c r="G886" s="60"/>
      <c r="H886" s="55"/>
      <c r="I886" s="176">
        <f>_xlfn.XLOOKUP(enrollment_table[[#This Row],[*Teacher Name]], teachers_table[*Teacher Name], teachers_table[*Teacher ID])</f>
        <v>0</v>
      </c>
      <c r="J886" s="60"/>
      <c r="K886" s="60"/>
      <c r="L886" s="55"/>
      <c r="M886" s="60"/>
      <c r="N886" s="60"/>
      <c r="O886" s="55"/>
      <c r="P886" s="161"/>
      <c r="Q886" s="160" t="str">
        <f>IF(enrollment_table[[#This Row],[Enrollment Date]]="","",TEXT(enrollment_table[[#This Row],[Enrollment Date]],"mmmm"))</f>
        <v/>
      </c>
      <c r="R886" s="60"/>
    </row>
    <row r="887" spans="1:18" ht="15" x14ac:dyDescent="0.3">
      <c r="A887" s="129"/>
      <c r="B887" s="60"/>
      <c r="C887" s="55"/>
      <c r="D887" s="60"/>
      <c r="E887" s="103">
        <f>_xlfn.XLOOKUP(enrollment_table[[#This Row],[*Subject]], classes_table[*Subject], classes_table[Fee])</f>
        <v>0</v>
      </c>
      <c r="F887" s="58"/>
      <c r="G887" s="60"/>
      <c r="H887" s="55"/>
      <c r="I887" s="176">
        <f>_xlfn.XLOOKUP(enrollment_table[[#This Row],[*Teacher Name]], teachers_table[*Teacher Name], teachers_table[*Teacher ID])</f>
        <v>0</v>
      </c>
      <c r="J887" s="60"/>
      <c r="K887" s="60"/>
      <c r="L887" s="55"/>
      <c r="M887" s="60"/>
      <c r="N887" s="60"/>
      <c r="O887" s="55"/>
      <c r="P887" s="161"/>
      <c r="Q887" s="160" t="str">
        <f>IF(enrollment_table[[#This Row],[Enrollment Date]]="","",TEXT(enrollment_table[[#This Row],[Enrollment Date]],"mmmm"))</f>
        <v/>
      </c>
      <c r="R887" s="60"/>
    </row>
    <row r="888" spans="1:18" ht="15" x14ac:dyDescent="0.3">
      <c r="A888" s="129"/>
      <c r="B888" s="60"/>
      <c r="C888" s="55"/>
      <c r="D888" s="60"/>
      <c r="E888" s="103">
        <f>_xlfn.XLOOKUP(enrollment_table[[#This Row],[*Subject]], classes_table[*Subject], classes_table[Fee])</f>
        <v>0</v>
      </c>
      <c r="F888" s="58"/>
      <c r="G888" s="60"/>
      <c r="H888" s="55"/>
      <c r="I888" s="176">
        <f>_xlfn.XLOOKUP(enrollment_table[[#This Row],[*Teacher Name]], teachers_table[*Teacher Name], teachers_table[*Teacher ID])</f>
        <v>0</v>
      </c>
      <c r="J888" s="60"/>
      <c r="K888" s="60"/>
      <c r="L888" s="55"/>
      <c r="M888" s="60"/>
      <c r="N888" s="60"/>
      <c r="O888" s="55"/>
      <c r="P888" s="161"/>
      <c r="Q888" s="160" t="str">
        <f>IF(enrollment_table[[#This Row],[Enrollment Date]]="","",TEXT(enrollment_table[[#This Row],[Enrollment Date]],"mmmm"))</f>
        <v/>
      </c>
      <c r="R888" s="60"/>
    </row>
    <row r="889" spans="1:18" ht="15" x14ac:dyDescent="0.3">
      <c r="A889" s="129"/>
      <c r="B889" s="60"/>
      <c r="C889" s="55"/>
      <c r="D889" s="60"/>
      <c r="E889" s="103">
        <f>_xlfn.XLOOKUP(enrollment_table[[#This Row],[*Subject]], classes_table[*Subject], classes_table[Fee])</f>
        <v>0</v>
      </c>
      <c r="F889" s="58"/>
      <c r="G889" s="60"/>
      <c r="H889" s="55"/>
      <c r="I889" s="176">
        <f>_xlfn.XLOOKUP(enrollment_table[[#This Row],[*Teacher Name]], teachers_table[*Teacher Name], teachers_table[*Teacher ID])</f>
        <v>0</v>
      </c>
      <c r="J889" s="60"/>
      <c r="K889" s="60"/>
      <c r="L889" s="55"/>
      <c r="M889" s="60"/>
      <c r="N889" s="60"/>
      <c r="O889" s="55"/>
      <c r="P889" s="161"/>
      <c r="Q889" s="160" t="str">
        <f>IF(enrollment_table[[#This Row],[Enrollment Date]]="","",TEXT(enrollment_table[[#This Row],[Enrollment Date]],"mmmm"))</f>
        <v/>
      </c>
      <c r="R889" s="60"/>
    </row>
    <row r="890" spans="1:18" ht="15" x14ac:dyDescent="0.3">
      <c r="A890" s="129"/>
      <c r="B890" s="60"/>
      <c r="C890" s="55"/>
      <c r="D890" s="60"/>
      <c r="E890" s="103">
        <f>_xlfn.XLOOKUP(enrollment_table[[#This Row],[*Subject]], classes_table[*Subject], classes_table[Fee])</f>
        <v>0</v>
      </c>
      <c r="F890" s="58"/>
      <c r="G890" s="60"/>
      <c r="H890" s="55"/>
      <c r="I890" s="176">
        <f>_xlfn.XLOOKUP(enrollment_table[[#This Row],[*Teacher Name]], teachers_table[*Teacher Name], teachers_table[*Teacher ID])</f>
        <v>0</v>
      </c>
      <c r="J890" s="60"/>
      <c r="K890" s="60"/>
      <c r="L890" s="55"/>
      <c r="M890" s="60"/>
      <c r="N890" s="60"/>
      <c r="O890" s="55"/>
      <c r="P890" s="161"/>
      <c r="Q890" s="160" t="str">
        <f>IF(enrollment_table[[#This Row],[Enrollment Date]]="","",TEXT(enrollment_table[[#This Row],[Enrollment Date]],"mmmm"))</f>
        <v/>
      </c>
      <c r="R890" s="60"/>
    </row>
    <row r="891" spans="1:18" ht="15" x14ac:dyDescent="0.3">
      <c r="A891" s="129"/>
      <c r="B891" s="60"/>
      <c r="C891" s="55"/>
      <c r="D891" s="60"/>
      <c r="E891" s="103">
        <f>_xlfn.XLOOKUP(enrollment_table[[#This Row],[*Subject]], classes_table[*Subject], classes_table[Fee])</f>
        <v>0</v>
      </c>
      <c r="F891" s="58"/>
      <c r="G891" s="60"/>
      <c r="H891" s="55"/>
      <c r="I891" s="176">
        <f>_xlfn.XLOOKUP(enrollment_table[[#This Row],[*Teacher Name]], teachers_table[*Teacher Name], teachers_table[*Teacher ID])</f>
        <v>0</v>
      </c>
      <c r="J891" s="60"/>
      <c r="K891" s="60"/>
      <c r="L891" s="55"/>
      <c r="M891" s="60"/>
      <c r="N891" s="60"/>
      <c r="O891" s="55"/>
      <c r="P891" s="161"/>
      <c r="Q891" s="160" t="str">
        <f>IF(enrollment_table[[#This Row],[Enrollment Date]]="","",TEXT(enrollment_table[[#This Row],[Enrollment Date]],"mmmm"))</f>
        <v/>
      </c>
      <c r="R891" s="60"/>
    </row>
    <row r="892" spans="1:18" ht="15" x14ac:dyDescent="0.3">
      <c r="A892" s="129"/>
      <c r="B892" s="60"/>
      <c r="C892" s="55"/>
      <c r="D892" s="60"/>
      <c r="E892" s="103">
        <f>_xlfn.XLOOKUP(enrollment_table[[#This Row],[*Subject]], classes_table[*Subject], classes_table[Fee])</f>
        <v>0</v>
      </c>
      <c r="F892" s="58"/>
      <c r="G892" s="60"/>
      <c r="H892" s="55"/>
      <c r="I892" s="176">
        <f>_xlfn.XLOOKUP(enrollment_table[[#This Row],[*Teacher Name]], teachers_table[*Teacher Name], teachers_table[*Teacher ID])</f>
        <v>0</v>
      </c>
      <c r="J892" s="60"/>
      <c r="K892" s="60"/>
      <c r="L892" s="55"/>
      <c r="M892" s="60"/>
      <c r="N892" s="60"/>
      <c r="O892" s="55"/>
      <c r="P892" s="161"/>
      <c r="Q892" s="160" t="str">
        <f>IF(enrollment_table[[#This Row],[Enrollment Date]]="","",TEXT(enrollment_table[[#This Row],[Enrollment Date]],"mmmm"))</f>
        <v/>
      </c>
      <c r="R892" s="60"/>
    </row>
    <row r="893" spans="1:18" ht="15" x14ac:dyDescent="0.3">
      <c r="A893" s="129"/>
      <c r="B893" s="60"/>
      <c r="C893" s="55"/>
      <c r="D893" s="60"/>
      <c r="E893" s="103">
        <f>_xlfn.XLOOKUP(enrollment_table[[#This Row],[*Subject]], classes_table[*Subject], classes_table[Fee])</f>
        <v>0</v>
      </c>
      <c r="F893" s="58"/>
      <c r="G893" s="60"/>
      <c r="H893" s="55"/>
      <c r="I893" s="176">
        <f>_xlfn.XLOOKUP(enrollment_table[[#This Row],[*Teacher Name]], teachers_table[*Teacher Name], teachers_table[*Teacher ID])</f>
        <v>0</v>
      </c>
      <c r="J893" s="60"/>
      <c r="K893" s="60"/>
      <c r="L893" s="55"/>
      <c r="M893" s="60"/>
      <c r="N893" s="60"/>
      <c r="O893" s="55"/>
      <c r="P893" s="161"/>
      <c r="Q893" s="160" t="str">
        <f>IF(enrollment_table[[#This Row],[Enrollment Date]]="","",TEXT(enrollment_table[[#This Row],[Enrollment Date]],"mmmm"))</f>
        <v/>
      </c>
      <c r="R893" s="60"/>
    </row>
    <row r="894" spans="1:18" ht="15" x14ac:dyDescent="0.3">
      <c r="A894" s="129"/>
      <c r="B894" s="60"/>
      <c r="C894" s="55"/>
      <c r="D894" s="60"/>
      <c r="E894" s="103">
        <f>_xlfn.XLOOKUP(enrollment_table[[#This Row],[*Subject]], classes_table[*Subject], classes_table[Fee])</f>
        <v>0</v>
      </c>
      <c r="F894" s="58"/>
      <c r="G894" s="60"/>
      <c r="H894" s="55"/>
      <c r="I894" s="176">
        <f>_xlfn.XLOOKUP(enrollment_table[[#This Row],[*Teacher Name]], teachers_table[*Teacher Name], teachers_table[*Teacher ID])</f>
        <v>0</v>
      </c>
      <c r="J894" s="60"/>
      <c r="K894" s="60"/>
      <c r="L894" s="55"/>
      <c r="M894" s="60"/>
      <c r="N894" s="60"/>
      <c r="O894" s="55"/>
      <c r="P894" s="161"/>
      <c r="Q894" s="160" t="str">
        <f>IF(enrollment_table[[#This Row],[Enrollment Date]]="","",TEXT(enrollment_table[[#This Row],[Enrollment Date]],"mmmm"))</f>
        <v/>
      </c>
      <c r="R894" s="60"/>
    </row>
    <row r="895" spans="1:18" ht="15" x14ac:dyDescent="0.3">
      <c r="A895" s="129"/>
      <c r="B895" s="60"/>
      <c r="C895" s="55"/>
      <c r="D895" s="60"/>
      <c r="E895" s="103">
        <f>_xlfn.XLOOKUP(enrollment_table[[#This Row],[*Subject]], classes_table[*Subject], classes_table[Fee])</f>
        <v>0</v>
      </c>
      <c r="F895" s="58"/>
      <c r="G895" s="60"/>
      <c r="H895" s="55"/>
      <c r="I895" s="176">
        <f>_xlfn.XLOOKUP(enrollment_table[[#This Row],[*Teacher Name]], teachers_table[*Teacher Name], teachers_table[*Teacher ID])</f>
        <v>0</v>
      </c>
      <c r="J895" s="60"/>
      <c r="K895" s="60"/>
      <c r="L895" s="55"/>
      <c r="M895" s="60"/>
      <c r="N895" s="60"/>
      <c r="O895" s="55"/>
      <c r="P895" s="161"/>
      <c r="Q895" s="160" t="str">
        <f>IF(enrollment_table[[#This Row],[Enrollment Date]]="","",TEXT(enrollment_table[[#This Row],[Enrollment Date]],"mmmm"))</f>
        <v/>
      </c>
      <c r="R895" s="60"/>
    </row>
    <row r="896" spans="1:18" ht="15" x14ac:dyDescent="0.3">
      <c r="A896" s="129"/>
      <c r="B896" s="60"/>
      <c r="C896" s="55"/>
      <c r="D896" s="60"/>
      <c r="E896" s="103">
        <f>_xlfn.XLOOKUP(enrollment_table[[#This Row],[*Subject]], classes_table[*Subject], classes_table[Fee])</f>
        <v>0</v>
      </c>
      <c r="F896" s="58"/>
      <c r="G896" s="60"/>
      <c r="H896" s="55"/>
      <c r="I896" s="176">
        <f>_xlfn.XLOOKUP(enrollment_table[[#This Row],[*Teacher Name]], teachers_table[*Teacher Name], teachers_table[*Teacher ID])</f>
        <v>0</v>
      </c>
      <c r="J896" s="60"/>
      <c r="K896" s="60"/>
      <c r="L896" s="55"/>
      <c r="M896" s="60"/>
      <c r="N896" s="60"/>
      <c r="O896" s="55"/>
      <c r="P896" s="161"/>
      <c r="Q896" s="160" t="str">
        <f>IF(enrollment_table[[#This Row],[Enrollment Date]]="","",TEXT(enrollment_table[[#This Row],[Enrollment Date]],"mmmm"))</f>
        <v/>
      </c>
      <c r="R896" s="60"/>
    </row>
    <row r="897" spans="1:18" ht="15" x14ac:dyDescent="0.3">
      <c r="A897" s="129"/>
      <c r="B897" s="60"/>
      <c r="C897" s="55"/>
      <c r="D897" s="60"/>
      <c r="E897" s="103">
        <f>_xlfn.XLOOKUP(enrollment_table[[#This Row],[*Subject]], classes_table[*Subject], classes_table[Fee])</f>
        <v>0</v>
      </c>
      <c r="F897" s="58"/>
      <c r="G897" s="60"/>
      <c r="H897" s="55"/>
      <c r="I897" s="176">
        <f>_xlfn.XLOOKUP(enrollment_table[[#This Row],[*Teacher Name]], teachers_table[*Teacher Name], teachers_table[*Teacher ID])</f>
        <v>0</v>
      </c>
      <c r="J897" s="60"/>
      <c r="K897" s="60"/>
      <c r="L897" s="55"/>
      <c r="M897" s="60"/>
      <c r="N897" s="60"/>
      <c r="O897" s="55"/>
      <c r="P897" s="161"/>
      <c r="Q897" s="160" t="str">
        <f>IF(enrollment_table[[#This Row],[Enrollment Date]]="","",TEXT(enrollment_table[[#This Row],[Enrollment Date]],"mmmm"))</f>
        <v/>
      </c>
      <c r="R897" s="60"/>
    </row>
    <row r="898" spans="1:18" ht="15" x14ac:dyDescent="0.3">
      <c r="A898" s="129"/>
      <c r="B898" s="60"/>
      <c r="C898" s="55"/>
      <c r="D898" s="60"/>
      <c r="E898" s="103">
        <f>_xlfn.XLOOKUP(enrollment_table[[#This Row],[*Subject]], classes_table[*Subject], classes_table[Fee])</f>
        <v>0</v>
      </c>
      <c r="F898" s="58"/>
      <c r="G898" s="60"/>
      <c r="H898" s="55"/>
      <c r="I898" s="176">
        <f>_xlfn.XLOOKUP(enrollment_table[[#This Row],[*Teacher Name]], teachers_table[*Teacher Name], teachers_table[*Teacher ID])</f>
        <v>0</v>
      </c>
      <c r="J898" s="60"/>
      <c r="K898" s="60"/>
      <c r="L898" s="55"/>
      <c r="M898" s="60"/>
      <c r="N898" s="60"/>
      <c r="O898" s="55"/>
      <c r="P898" s="161"/>
      <c r="Q898" s="160" t="str">
        <f>IF(enrollment_table[[#This Row],[Enrollment Date]]="","",TEXT(enrollment_table[[#This Row],[Enrollment Date]],"mmmm"))</f>
        <v/>
      </c>
      <c r="R898" s="60"/>
    </row>
    <row r="899" spans="1:18" ht="15" x14ac:dyDescent="0.3">
      <c r="A899" s="129"/>
      <c r="B899" s="60"/>
      <c r="C899" s="55"/>
      <c r="D899" s="60"/>
      <c r="E899" s="103">
        <f>_xlfn.XLOOKUP(enrollment_table[[#This Row],[*Subject]], classes_table[*Subject], classes_table[Fee])</f>
        <v>0</v>
      </c>
      <c r="F899" s="58"/>
      <c r="G899" s="60"/>
      <c r="H899" s="55"/>
      <c r="I899" s="176">
        <f>_xlfn.XLOOKUP(enrollment_table[[#This Row],[*Teacher Name]], teachers_table[*Teacher Name], teachers_table[*Teacher ID])</f>
        <v>0</v>
      </c>
      <c r="J899" s="60"/>
      <c r="K899" s="60"/>
      <c r="L899" s="55"/>
      <c r="M899" s="60"/>
      <c r="N899" s="60"/>
      <c r="O899" s="55"/>
      <c r="P899" s="161"/>
      <c r="Q899" s="160" t="str">
        <f>IF(enrollment_table[[#This Row],[Enrollment Date]]="","",TEXT(enrollment_table[[#This Row],[Enrollment Date]],"mmmm"))</f>
        <v/>
      </c>
      <c r="R899" s="60"/>
    </row>
    <row r="900" spans="1:18" ht="15" x14ac:dyDescent="0.3">
      <c r="A900" s="129"/>
      <c r="B900" s="60"/>
      <c r="C900" s="55"/>
      <c r="D900" s="60"/>
      <c r="E900" s="103">
        <f>_xlfn.XLOOKUP(enrollment_table[[#This Row],[*Subject]], classes_table[*Subject], classes_table[Fee])</f>
        <v>0</v>
      </c>
      <c r="F900" s="58"/>
      <c r="G900" s="60"/>
      <c r="H900" s="55"/>
      <c r="I900" s="176">
        <f>_xlfn.XLOOKUP(enrollment_table[[#This Row],[*Teacher Name]], teachers_table[*Teacher Name], teachers_table[*Teacher ID])</f>
        <v>0</v>
      </c>
      <c r="J900" s="60"/>
      <c r="K900" s="60"/>
      <c r="L900" s="55"/>
      <c r="M900" s="60"/>
      <c r="N900" s="60"/>
      <c r="O900" s="55"/>
      <c r="P900" s="161"/>
      <c r="Q900" s="160" t="str">
        <f>IF(enrollment_table[[#This Row],[Enrollment Date]]="","",TEXT(enrollment_table[[#This Row],[Enrollment Date]],"mmmm"))</f>
        <v/>
      </c>
      <c r="R900" s="60"/>
    </row>
    <row r="901" spans="1:18" ht="15" x14ac:dyDescent="0.3">
      <c r="A901" s="129"/>
      <c r="B901" s="60"/>
      <c r="C901" s="55"/>
      <c r="D901" s="60"/>
      <c r="E901" s="103">
        <f>_xlfn.XLOOKUP(enrollment_table[[#This Row],[*Subject]], classes_table[*Subject], classes_table[Fee])</f>
        <v>0</v>
      </c>
      <c r="F901" s="58"/>
      <c r="G901" s="60"/>
      <c r="H901" s="55"/>
      <c r="I901" s="176">
        <f>_xlfn.XLOOKUP(enrollment_table[[#This Row],[*Teacher Name]], teachers_table[*Teacher Name], teachers_table[*Teacher ID])</f>
        <v>0</v>
      </c>
      <c r="J901" s="60"/>
      <c r="K901" s="60"/>
      <c r="L901" s="55"/>
      <c r="M901" s="60"/>
      <c r="N901" s="60"/>
      <c r="O901" s="55"/>
      <c r="P901" s="161"/>
      <c r="Q901" s="160" t="str">
        <f>IF(enrollment_table[[#This Row],[Enrollment Date]]="","",TEXT(enrollment_table[[#This Row],[Enrollment Date]],"mmmm"))</f>
        <v/>
      </c>
      <c r="R901" s="60"/>
    </row>
    <row r="902" spans="1:18" ht="15" x14ac:dyDescent="0.3">
      <c r="A902" s="129"/>
      <c r="B902" s="60"/>
      <c r="C902" s="55"/>
      <c r="D902" s="60"/>
      <c r="E902" s="103">
        <f>_xlfn.XLOOKUP(enrollment_table[[#This Row],[*Subject]], classes_table[*Subject], classes_table[Fee])</f>
        <v>0</v>
      </c>
      <c r="F902" s="58"/>
      <c r="G902" s="60"/>
      <c r="H902" s="55"/>
      <c r="I902" s="176">
        <f>_xlfn.XLOOKUP(enrollment_table[[#This Row],[*Teacher Name]], teachers_table[*Teacher Name], teachers_table[*Teacher ID])</f>
        <v>0</v>
      </c>
      <c r="J902" s="60"/>
      <c r="K902" s="60"/>
      <c r="L902" s="55"/>
      <c r="M902" s="60"/>
      <c r="N902" s="60"/>
      <c r="O902" s="55"/>
      <c r="P902" s="161"/>
      <c r="Q902" s="160" t="str">
        <f>IF(enrollment_table[[#This Row],[Enrollment Date]]="","",TEXT(enrollment_table[[#This Row],[Enrollment Date]],"mmmm"))</f>
        <v/>
      </c>
      <c r="R902" s="60"/>
    </row>
    <row r="903" spans="1:18" ht="15" x14ac:dyDescent="0.3">
      <c r="A903" s="129"/>
      <c r="B903" s="60"/>
      <c r="C903" s="55"/>
      <c r="D903" s="60"/>
      <c r="E903" s="103">
        <f>_xlfn.XLOOKUP(enrollment_table[[#This Row],[*Subject]], classes_table[*Subject], classes_table[Fee])</f>
        <v>0</v>
      </c>
      <c r="F903" s="58"/>
      <c r="G903" s="60"/>
      <c r="H903" s="55"/>
      <c r="I903" s="176">
        <f>_xlfn.XLOOKUP(enrollment_table[[#This Row],[*Teacher Name]], teachers_table[*Teacher Name], teachers_table[*Teacher ID])</f>
        <v>0</v>
      </c>
      <c r="J903" s="60"/>
      <c r="K903" s="60"/>
      <c r="L903" s="55"/>
      <c r="M903" s="60"/>
      <c r="N903" s="60"/>
      <c r="O903" s="55"/>
      <c r="P903" s="161"/>
      <c r="Q903" s="160" t="str">
        <f>IF(enrollment_table[[#This Row],[Enrollment Date]]="","",TEXT(enrollment_table[[#This Row],[Enrollment Date]],"mmmm"))</f>
        <v/>
      </c>
      <c r="R903" s="60"/>
    </row>
    <row r="904" spans="1:18" ht="15" x14ac:dyDescent="0.3">
      <c r="A904" s="129"/>
      <c r="B904" s="60"/>
      <c r="C904" s="55"/>
      <c r="D904" s="60"/>
      <c r="E904" s="103">
        <f>_xlfn.XLOOKUP(enrollment_table[[#This Row],[*Subject]], classes_table[*Subject], classes_table[Fee])</f>
        <v>0</v>
      </c>
      <c r="F904" s="58"/>
      <c r="G904" s="60"/>
      <c r="H904" s="55"/>
      <c r="I904" s="176">
        <f>_xlfn.XLOOKUP(enrollment_table[[#This Row],[*Teacher Name]], teachers_table[*Teacher Name], teachers_table[*Teacher ID])</f>
        <v>0</v>
      </c>
      <c r="J904" s="60"/>
      <c r="K904" s="60"/>
      <c r="L904" s="55"/>
      <c r="M904" s="60"/>
      <c r="N904" s="60"/>
      <c r="O904" s="55"/>
      <c r="P904" s="161"/>
      <c r="Q904" s="160" t="str">
        <f>IF(enrollment_table[[#This Row],[Enrollment Date]]="","",TEXT(enrollment_table[[#This Row],[Enrollment Date]],"mmmm"))</f>
        <v/>
      </c>
      <c r="R904" s="60"/>
    </row>
    <row r="905" spans="1:18" ht="15" x14ac:dyDescent="0.3">
      <c r="A905" s="129"/>
      <c r="B905" s="60"/>
      <c r="C905" s="55"/>
      <c r="D905" s="60"/>
      <c r="E905" s="103">
        <f>_xlfn.XLOOKUP(enrollment_table[[#This Row],[*Subject]], classes_table[*Subject], classes_table[Fee])</f>
        <v>0</v>
      </c>
      <c r="F905" s="58"/>
      <c r="G905" s="60"/>
      <c r="H905" s="55"/>
      <c r="I905" s="176">
        <f>_xlfn.XLOOKUP(enrollment_table[[#This Row],[*Teacher Name]], teachers_table[*Teacher Name], teachers_table[*Teacher ID])</f>
        <v>0</v>
      </c>
      <c r="J905" s="60"/>
      <c r="K905" s="60"/>
      <c r="L905" s="55"/>
      <c r="M905" s="60"/>
      <c r="N905" s="60"/>
      <c r="O905" s="55"/>
      <c r="P905" s="161"/>
      <c r="Q905" s="160" t="str">
        <f>IF(enrollment_table[[#This Row],[Enrollment Date]]="","",TEXT(enrollment_table[[#This Row],[Enrollment Date]],"mmmm"))</f>
        <v/>
      </c>
      <c r="R905" s="60"/>
    </row>
    <row r="906" spans="1:18" ht="15" x14ac:dyDescent="0.3">
      <c r="A906" s="129"/>
      <c r="B906" s="60"/>
      <c r="C906" s="55"/>
      <c r="D906" s="60"/>
      <c r="E906" s="103">
        <f>_xlfn.XLOOKUP(enrollment_table[[#This Row],[*Subject]], classes_table[*Subject], classes_table[Fee])</f>
        <v>0</v>
      </c>
      <c r="F906" s="58"/>
      <c r="G906" s="60"/>
      <c r="H906" s="55"/>
      <c r="I906" s="176">
        <f>_xlfn.XLOOKUP(enrollment_table[[#This Row],[*Teacher Name]], teachers_table[*Teacher Name], teachers_table[*Teacher ID])</f>
        <v>0</v>
      </c>
      <c r="J906" s="60"/>
      <c r="K906" s="60"/>
      <c r="L906" s="55"/>
      <c r="M906" s="60"/>
      <c r="N906" s="60"/>
      <c r="O906" s="55"/>
      <c r="P906" s="161"/>
      <c r="Q906" s="160" t="str">
        <f>IF(enrollment_table[[#This Row],[Enrollment Date]]="","",TEXT(enrollment_table[[#This Row],[Enrollment Date]],"mmmm"))</f>
        <v/>
      </c>
      <c r="R906" s="60"/>
    </row>
    <row r="907" spans="1:18" ht="15" x14ac:dyDescent="0.3">
      <c r="A907" s="129"/>
      <c r="B907" s="60"/>
      <c r="C907" s="55"/>
      <c r="D907" s="60"/>
      <c r="E907" s="103">
        <f>_xlfn.XLOOKUP(enrollment_table[[#This Row],[*Subject]], classes_table[*Subject], classes_table[Fee])</f>
        <v>0</v>
      </c>
      <c r="F907" s="58"/>
      <c r="G907" s="60"/>
      <c r="H907" s="55"/>
      <c r="I907" s="176">
        <f>_xlfn.XLOOKUP(enrollment_table[[#This Row],[*Teacher Name]], teachers_table[*Teacher Name], teachers_table[*Teacher ID])</f>
        <v>0</v>
      </c>
      <c r="J907" s="60"/>
      <c r="K907" s="60"/>
      <c r="L907" s="55"/>
      <c r="M907" s="60"/>
      <c r="N907" s="60"/>
      <c r="O907" s="55"/>
      <c r="P907" s="161"/>
      <c r="Q907" s="160" t="str">
        <f>IF(enrollment_table[[#This Row],[Enrollment Date]]="","",TEXT(enrollment_table[[#This Row],[Enrollment Date]],"mmmm"))</f>
        <v/>
      </c>
      <c r="R907" s="60"/>
    </row>
    <row r="908" spans="1:18" ht="15" x14ac:dyDescent="0.3">
      <c r="A908" s="129"/>
      <c r="B908" s="60"/>
      <c r="C908" s="55"/>
      <c r="D908" s="60"/>
      <c r="E908" s="103">
        <f>_xlfn.XLOOKUP(enrollment_table[[#This Row],[*Subject]], classes_table[*Subject], classes_table[Fee])</f>
        <v>0</v>
      </c>
      <c r="F908" s="58"/>
      <c r="G908" s="60"/>
      <c r="H908" s="55"/>
      <c r="I908" s="176">
        <f>_xlfn.XLOOKUP(enrollment_table[[#This Row],[*Teacher Name]], teachers_table[*Teacher Name], teachers_table[*Teacher ID])</f>
        <v>0</v>
      </c>
      <c r="J908" s="60"/>
      <c r="K908" s="60"/>
      <c r="L908" s="55"/>
      <c r="M908" s="60"/>
      <c r="N908" s="60"/>
      <c r="O908" s="55"/>
      <c r="P908" s="161"/>
      <c r="Q908" s="160" t="str">
        <f>IF(enrollment_table[[#This Row],[Enrollment Date]]="","",TEXT(enrollment_table[[#This Row],[Enrollment Date]],"mmmm"))</f>
        <v/>
      </c>
      <c r="R908" s="60"/>
    </row>
    <row r="909" spans="1:18" ht="15" x14ac:dyDescent="0.3">
      <c r="A909" s="129"/>
      <c r="B909" s="60"/>
      <c r="C909" s="55"/>
      <c r="D909" s="60"/>
      <c r="E909" s="103">
        <f>_xlfn.XLOOKUP(enrollment_table[[#This Row],[*Subject]], classes_table[*Subject], classes_table[Fee])</f>
        <v>0</v>
      </c>
      <c r="F909" s="58"/>
      <c r="G909" s="60"/>
      <c r="H909" s="55"/>
      <c r="I909" s="176">
        <f>_xlfn.XLOOKUP(enrollment_table[[#This Row],[*Teacher Name]], teachers_table[*Teacher Name], teachers_table[*Teacher ID])</f>
        <v>0</v>
      </c>
      <c r="J909" s="60"/>
      <c r="K909" s="60"/>
      <c r="L909" s="55"/>
      <c r="M909" s="60"/>
      <c r="N909" s="60"/>
      <c r="O909" s="55"/>
      <c r="P909" s="161"/>
      <c r="Q909" s="160" t="str">
        <f>IF(enrollment_table[[#This Row],[Enrollment Date]]="","",TEXT(enrollment_table[[#This Row],[Enrollment Date]],"mmmm"))</f>
        <v/>
      </c>
      <c r="R909" s="60"/>
    </row>
    <row r="910" spans="1:18" ht="15" x14ac:dyDescent="0.3">
      <c r="A910" s="129"/>
      <c r="B910" s="60"/>
      <c r="C910" s="55"/>
      <c r="D910" s="60"/>
      <c r="E910" s="103">
        <f>_xlfn.XLOOKUP(enrollment_table[[#This Row],[*Subject]], classes_table[*Subject], classes_table[Fee])</f>
        <v>0</v>
      </c>
      <c r="F910" s="58"/>
      <c r="G910" s="60"/>
      <c r="H910" s="55"/>
      <c r="I910" s="176">
        <f>_xlfn.XLOOKUP(enrollment_table[[#This Row],[*Teacher Name]], teachers_table[*Teacher Name], teachers_table[*Teacher ID])</f>
        <v>0</v>
      </c>
      <c r="J910" s="60"/>
      <c r="K910" s="60"/>
      <c r="L910" s="55"/>
      <c r="M910" s="60"/>
      <c r="N910" s="60"/>
      <c r="O910" s="55"/>
      <c r="P910" s="161"/>
      <c r="Q910" s="160" t="str">
        <f>IF(enrollment_table[[#This Row],[Enrollment Date]]="","",TEXT(enrollment_table[[#This Row],[Enrollment Date]],"mmmm"))</f>
        <v/>
      </c>
      <c r="R910" s="60"/>
    </row>
    <row r="911" spans="1:18" ht="15" x14ac:dyDescent="0.3">
      <c r="A911" s="129"/>
      <c r="B911" s="60"/>
      <c r="C911" s="55"/>
      <c r="D911" s="60"/>
      <c r="E911" s="103">
        <f>_xlfn.XLOOKUP(enrollment_table[[#This Row],[*Subject]], classes_table[*Subject], classes_table[Fee])</f>
        <v>0</v>
      </c>
      <c r="F911" s="58"/>
      <c r="G911" s="60"/>
      <c r="H911" s="55"/>
      <c r="I911" s="176">
        <f>_xlfn.XLOOKUP(enrollment_table[[#This Row],[*Teacher Name]], teachers_table[*Teacher Name], teachers_table[*Teacher ID])</f>
        <v>0</v>
      </c>
      <c r="J911" s="60"/>
      <c r="K911" s="60"/>
      <c r="L911" s="55"/>
      <c r="M911" s="60"/>
      <c r="N911" s="60"/>
      <c r="O911" s="55"/>
      <c r="P911" s="161"/>
      <c r="Q911" s="160" t="str">
        <f>IF(enrollment_table[[#This Row],[Enrollment Date]]="","",TEXT(enrollment_table[[#This Row],[Enrollment Date]],"mmmm"))</f>
        <v/>
      </c>
      <c r="R911" s="60"/>
    </row>
    <row r="912" spans="1:18" ht="15" x14ac:dyDescent="0.3">
      <c r="A912" s="129"/>
      <c r="B912" s="60"/>
      <c r="C912" s="55"/>
      <c r="D912" s="60"/>
      <c r="E912" s="103">
        <f>_xlfn.XLOOKUP(enrollment_table[[#This Row],[*Subject]], classes_table[*Subject], classes_table[Fee])</f>
        <v>0</v>
      </c>
      <c r="F912" s="58"/>
      <c r="G912" s="60"/>
      <c r="H912" s="55"/>
      <c r="I912" s="176">
        <f>_xlfn.XLOOKUP(enrollment_table[[#This Row],[*Teacher Name]], teachers_table[*Teacher Name], teachers_table[*Teacher ID])</f>
        <v>0</v>
      </c>
      <c r="J912" s="60"/>
      <c r="K912" s="60"/>
      <c r="L912" s="55"/>
      <c r="M912" s="60"/>
      <c r="N912" s="60"/>
      <c r="O912" s="55"/>
      <c r="P912" s="161"/>
      <c r="Q912" s="160" t="str">
        <f>IF(enrollment_table[[#This Row],[Enrollment Date]]="","",TEXT(enrollment_table[[#This Row],[Enrollment Date]],"mmmm"))</f>
        <v/>
      </c>
      <c r="R912" s="60"/>
    </row>
    <row r="913" spans="1:18" ht="15" x14ac:dyDescent="0.3">
      <c r="A913" s="129"/>
      <c r="B913" s="60"/>
      <c r="C913" s="55"/>
      <c r="D913" s="60"/>
      <c r="E913" s="103">
        <f>_xlfn.XLOOKUP(enrollment_table[[#This Row],[*Subject]], classes_table[*Subject], classes_table[Fee])</f>
        <v>0</v>
      </c>
      <c r="F913" s="58"/>
      <c r="G913" s="60"/>
      <c r="H913" s="55"/>
      <c r="I913" s="176">
        <f>_xlfn.XLOOKUP(enrollment_table[[#This Row],[*Teacher Name]], teachers_table[*Teacher Name], teachers_table[*Teacher ID])</f>
        <v>0</v>
      </c>
      <c r="J913" s="60"/>
      <c r="K913" s="60"/>
      <c r="L913" s="55"/>
      <c r="M913" s="60"/>
      <c r="N913" s="60"/>
      <c r="O913" s="55"/>
      <c r="P913" s="161"/>
      <c r="Q913" s="160" t="str">
        <f>IF(enrollment_table[[#This Row],[Enrollment Date]]="","",TEXT(enrollment_table[[#This Row],[Enrollment Date]],"mmmm"))</f>
        <v/>
      </c>
      <c r="R913" s="60"/>
    </row>
    <row r="914" spans="1:18" ht="15" x14ac:dyDescent="0.3">
      <c r="A914" s="129"/>
      <c r="B914" s="60"/>
      <c r="C914" s="55"/>
      <c r="D914" s="60"/>
      <c r="E914" s="103">
        <f>_xlfn.XLOOKUP(enrollment_table[[#This Row],[*Subject]], classes_table[*Subject], classes_table[Fee])</f>
        <v>0</v>
      </c>
      <c r="F914" s="58"/>
      <c r="G914" s="60"/>
      <c r="H914" s="55"/>
      <c r="I914" s="176">
        <f>_xlfn.XLOOKUP(enrollment_table[[#This Row],[*Teacher Name]], teachers_table[*Teacher Name], teachers_table[*Teacher ID])</f>
        <v>0</v>
      </c>
      <c r="J914" s="60"/>
      <c r="K914" s="60"/>
      <c r="L914" s="55"/>
      <c r="M914" s="60"/>
      <c r="N914" s="60"/>
      <c r="O914" s="55"/>
      <c r="P914" s="161"/>
      <c r="Q914" s="160" t="str">
        <f>IF(enrollment_table[[#This Row],[Enrollment Date]]="","",TEXT(enrollment_table[[#This Row],[Enrollment Date]],"mmmm"))</f>
        <v/>
      </c>
      <c r="R914" s="60"/>
    </row>
    <row r="915" spans="1:18" ht="15" x14ac:dyDescent="0.3">
      <c r="A915" s="129"/>
      <c r="B915" s="60"/>
      <c r="C915" s="55"/>
      <c r="D915" s="60"/>
      <c r="E915" s="103">
        <f>_xlfn.XLOOKUP(enrollment_table[[#This Row],[*Subject]], classes_table[*Subject], classes_table[Fee])</f>
        <v>0</v>
      </c>
      <c r="F915" s="58"/>
      <c r="G915" s="60"/>
      <c r="H915" s="55"/>
      <c r="I915" s="176">
        <f>_xlfn.XLOOKUP(enrollment_table[[#This Row],[*Teacher Name]], teachers_table[*Teacher Name], teachers_table[*Teacher ID])</f>
        <v>0</v>
      </c>
      <c r="J915" s="60"/>
      <c r="K915" s="60"/>
      <c r="L915" s="55"/>
      <c r="M915" s="60"/>
      <c r="N915" s="60"/>
      <c r="O915" s="55"/>
      <c r="P915" s="161"/>
      <c r="Q915" s="160" t="str">
        <f>IF(enrollment_table[[#This Row],[Enrollment Date]]="","",TEXT(enrollment_table[[#This Row],[Enrollment Date]],"mmmm"))</f>
        <v/>
      </c>
      <c r="R915" s="60"/>
    </row>
    <row r="916" spans="1:18" ht="15" x14ac:dyDescent="0.3">
      <c r="A916" s="129"/>
      <c r="B916" s="60"/>
      <c r="C916" s="55"/>
      <c r="D916" s="60"/>
      <c r="E916" s="103">
        <f>_xlfn.XLOOKUP(enrollment_table[[#This Row],[*Subject]], classes_table[*Subject], classes_table[Fee])</f>
        <v>0</v>
      </c>
      <c r="F916" s="58"/>
      <c r="G916" s="60"/>
      <c r="H916" s="55"/>
      <c r="I916" s="176">
        <f>_xlfn.XLOOKUP(enrollment_table[[#This Row],[*Teacher Name]], teachers_table[*Teacher Name], teachers_table[*Teacher ID])</f>
        <v>0</v>
      </c>
      <c r="J916" s="60"/>
      <c r="K916" s="60"/>
      <c r="L916" s="55"/>
      <c r="M916" s="60"/>
      <c r="N916" s="60"/>
      <c r="O916" s="55"/>
      <c r="P916" s="161"/>
      <c r="Q916" s="160" t="str">
        <f>IF(enrollment_table[[#This Row],[Enrollment Date]]="","",TEXT(enrollment_table[[#This Row],[Enrollment Date]],"mmmm"))</f>
        <v/>
      </c>
      <c r="R916" s="60"/>
    </row>
    <row r="917" spans="1:18" ht="15" x14ac:dyDescent="0.3">
      <c r="A917" s="129"/>
      <c r="B917" s="60"/>
      <c r="C917" s="55"/>
      <c r="D917" s="60"/>
      <c r="E917" s="103">
        <f>_xlfn.XLOOKUP(enrollment_table[[#This Row],[*Subject]], classes_table[*Subject], classes_table[Fee])</f>
        <v>0</v>
      </c>
      <c r="F917" s="58"/>
      <c r="G917" s="60"/>
      <c r="H917" s="55"/>
      <c r="I917" s="176">
        <f>_xlfn.XLOOKUP(enrollment_table[[#This Row],[*Teacher Name]], teachers_table[*Teacher Name], teachers_table[*Teacher ID])</f>
        <v>0</v>
      </c>
      <c r="J917" s="60"/>
      <c r="K917" s="60"/>
      <c r="L917" s="55"/>
      <c r="M917" s="60"/>
      <c r="N917" s="60"/>
      <c r="O917" s="55"/>
      <c r="P917" s="161"/>
      <c r="Q917" s="160" t="str">
        <f>IF(enrollment_table[[#This Row],[Enrollment Date]]="","",TEXT(enrollment_table[[#This Row],[Enrollment Date]],"mmmm"))</f>
        <v/>
      </c>
      <c r="R917" s="60"/>
    </row>
    <row r="918" spans="1:18" ht="15" x14ac:dyDescent="0.3">
      <c r="A918" s="129"/>
      <c r="B918" s="60"/>
      <c r="C918" s="55"/>
      <c r="D918" s="60"/>
      <c r="E918" s="103">
        <f>_xlfn.XLOOKUP(enrollment_table[[#This Row],[*Subject]], classes_table[*Subject], classes_table[Fee])</f>
        <v>0</v>
      </c>
      <c r="F918" s="58"/>
      <c r="G918" s="60"/>
      <c r="H918" s="55"/>
      <c r="I918" s="176">
        <f>_xlfn.XLOOKUP(enrollment_table[[#This Row],[*Teacher Name]], teachers_table[*Teacher Name], teachers_table[*Teacher ID])</f>
        <v>0</v>
      </c>
      <c r="J918" s="60"/>
      <c r="K918" s="60"/>
      <c r="L918" s="55"/>
      <c r="M918" s="60"/>
      <c r="N918" s="60"/>
      <c r="O918" s="55"/>
      <c r="P918" s="161"/>
      <c r="Q918" s="160" t="str">
        <f>IF(enrollment_table[[#This Row],[Enrollment Date]]="","",TEXT(enrollment_table[[#This Row],[Enrollment Date]],"mmmm"))</f>
        <v/>
      </c>
      <c r="R918" s="60"/>
    </row>
    <row r="919" spans="1:18" ht="15" x14ac:dyDescent="0.3">
      <c r="A919" s="129"/>
      <c r="B919" s="60"/>
      <c r="C919" s="55"/>
      <c r="D919" s="60"/>
      <c r="E919" s="103">
        <f>_xlfn.XLOOKUP(enrollment_table[[#This Row],[*Subject]], classes_table[*Subject], classes_table[Fee])</f>
        <v>0</v>
      </c>
      <c r="F919" s="58"/>
      <c r="G919" s="60"/>
      <c r="H919" s="55"/>
      <c r="I919" s="176">
        <f>_xlfn.XLOOKUP(enrollment_table[[#This Row],[*Teacher Name]], teachers_table[*Teacher Name], teachers_table[*Teacher ID])</f>
        <v>0</v>
      </c>
      <c r="J919" s="60"/>
      <c r="K919" s="60"/>
      <c r="L919" s="55"/>
      <c r="M919" s="60"/>
      <c r="N919" s="60"/>
      <c r="O919" s="55"/>
      <c r="P919" s="161"/>
      <c r="Q919" s="160" t="str">
        <f>IF(enrollment_table[[#This Row],[Enrollment Date]]="","",TEXT(enrollment_table[[#This Row],[Enrollment Date]],"mmmm"))</f>
        <v/>
      </c>
      <c r="R919" s="60"/>
    </row>
    <row r="920" spans="1:18" ht="15" x14ac:dyDescent="0.3">
      <c r="A920" s="129"/>
      <c r="B920" s="60"/>
      <c r="C920" s="55"/>
      <c r="D920" s="60"/>
      <c r="E920" s="103">
        <f>_xlfn.XLOOKUP(enrollment_table[[#This Row],[*Subject]], classes_table[*Subject], classes_table[Fee])</f>
        <v>0</v>
      </c>
      <c r="F920" s="58"/>
      <c r="G920" s="60"/>
      <c r="H920" s="55"/>
      <c r="I920" s="176">
        <f>_xlfn.XLOOKUP(enrollment_table[[#This Row],[*Teacher Name]], teachers_table[*Teacher Name], teachers_table[*Teacher ID])</f>
        <v>0</v>
      </c>
      <c r="J920" s="60"/>
      <c r="K920" s="60"/>
      <c r="L920" s="55"/>
      <c r="M920" s="60"/>
      <c r="N920" s="60"/>
      <c r="O920" s="55"/>
      <c r="P920" s="161"/>
      <c r="Q920" s="160" t="str">
        <f>IF(enrollment_table[[#This Row],[Enrollment Date]]="","",TEXT(enrollment_table[[#This Row],[Enrollment Date]],"mmmm"))</f>
        <v/>
      </c>
      <c r="R920" s="60"/>
    </row>
    <row r="921" spans="1:18" ht="15" x14ac:dyDescent="0.3">
      <c r="A921" s="129"/>
      <c r="B921" s="60"/>
      <c r="C921" s="55"/>
      <c r="D921" s="60"/>
      <c r="E921" s="103">
        <f>_xlfn.XLOOKUP(enrollment_table[[#This Row],[*Subject]], classes_table[*Subject], classes_table[Fee])</f>
        <v>0</v>
      </c>
      <c r="F921" s="58"/>
      <c r="G921" s="60"/>
      <c r="H921" s="55"/>
      <c r="I921" s="176">
        <f>_xlfn.XLOOKUP(enrollment_table[[#This Row],[*Teacher Name]], teachers_table[*Teacher Name], teachers_table[*Teacher ID])</f>
        <v>0</v>
      </c>
      <c r="J921" s="60"/>
      <c r="K921" s="60"/>
      <c r="L921" s="55"/>
      <c r="M921" s="60"/>
      <c r="N921" s="60"/>
      <c r="O921" s="55"/>
      <c r="P921" s="161"/>
      <c r="Q921" s="160" t="str">
        <f>IF(enrollment_table[[#This Row],[Enrollment Date]]="","",TEXT(enrollment_table[[#This Row],[Enrollment Date]],"mmmm"))</f>
        <v/>
      </c>
      <c r="R921" s="60"/>
    </row>
    <row r="922" spans="1:18" ht="15" x14ac:dyDescent="0.3">
      <c r="A922" s="129"/>
      <c r="B922" s="60"/>
      <c r="C922" s="55"/>
      <c r="D922" s="60"/>
      <c r="E922" s="103">
        <f>_xlfn.XLOOKUP(enrollment_table[[#This Row],[*Subject]], classes_table[*Subject], classes_table[Fee])</f>
        <v>0</v>
      </c>
      <c r="F922" s="58"/>
      <c r="G922" s="60"/>
      <c r="H922" s="55"/>
      <c r="I922" s="176">
        <f>_xlfn.XLOOKUP(enrollment_table[[#This Row],[*Teacher Name]], teachers_table[*Teacher Name], teachers_table[*Teacher ID])</f>
        <v>0</v>
      </c>
      <c r="J922" s="60"/>
      <c r="K922" s="60"/>
      <c r="L922" s="55"/>
      <c r="M922" s="60"/>
      <c r="N922" s="60"/>
      <c r="O922" s="55"/>
      <c r="P922" s="161"/>
      <c r="Q922" s="160" t="str">
        <f>IF(enrollment_table[[#This Row],[Enrollment Date]]="","",TEXT(enrollment_table[[#This Row],[Enrollment Date]],"mmmm"))</f>
        <v/>
      </c>
      <c r="R922" s="60"/>
    </row>
    <row r="923" spans="1:18" ht="15" x14ac:dyDescent="0.3">
      <c r="A923" s="129"/>
      <c r="B923" s="60"/>
      <c r="C923" s="55"/>
      <c r="D923" s="60"/>
      <c r="E923" s="103">
        <f>_xlfn.XLOOKUP(enrollment_table[[#This Row],[*Subject]], classes_table[*Subject], classes_table[Fee])</f>
        <v>0</v>
      </c>
      <c r="F923" s="58"/>
      <c r="G923" s="60"/>
      <c r="H923" s="55"/>
      <c r="I923" s="176">
        <f>_xlfn.XLOOKUP(enrollment_table[[#This Row],[*Teacher Name]], teachers_table[*Teacher Name], teachers_table[*Teacher ID])</f>
        <v>0</v>
      </c>
      <c r="J923" s="60"/>
      <c r="K923" s="60"/>
      <c r="L923" s="55"/>
      <c r="M923" s="60"/>
      <c r="N923" s="60"/>
      <c r="O923" s="55"/>
      <c r="P923" s="161"/>
      <c r="Q923" s="160" t="str">
        <f>IF(enrollment_table[[#This Row],[Enrollment Date]]="","",TEXT(enrollment_table[[#This Row],[Enrollment Date]],"mmmm"))</f>
        <v/>
      </c>
      <c r="R923" s="60"/>
    </row>
    <row r="924" spans="1:18" ht="15" x14ac:dyDescent="0.3">
      <c r="A924" s="129"/>
      <c r="B924" s="60"/>
      <c r="C924" s="55"/>
      <c r="D924" s="60"/>
      <c r="E924" s="103">
        <f>_xlfn.XLOOKUP(enrollment_table[[#This Row],[*Subject]], classes_table[*Subject], classes_table[Fee])</f>
        <v>0</v>
      </c>
      <c r="F924" s="58"/>
      <c r="G924" s="60"/>
      <c r="H924" s="55"/>
      <c r="I924" s="176">
        <f>_xlfn.XLOOKUP(enrollment_table[[#This Row],[*Teacher Name]], teachers_table[*Teacher Name], teachers_table[*Teacher ID])</f>
        <v>0</v>
      </c>
      <c r="J924" s="60"/>
      <c r="K924" s="60"/>
      <c r="L924" s="55"/>
      <c r="M924" s="60"/>
      <c r="N924" s="60"/>
      <c r="O924" s="55"/>
      <c r="P924" s="161"/>
      <c r="Q924" s="160" t="str">
        <f>IF(enrollment_table[[#This Row],[Enrollment Date]]="","",TEXT(enrollment_table[[#This Row],[Enrollment Date]],"mmmm"))</f>
        <v/>
      </c>
      <c r="R924" s="60"/>
    </row>
    <row r="925" spans="1:18" ht="15" x14ac:dyDescent="0.3">
      <c r="A925" s="129"/>
      <c r="B925" s="60"/>
      <c r="C925" s="55"/>
      <c r="D925" s="60"/>
      <c r="E925" s="103">
        <f>_xlfn.XLOOKUP(enrollment_table[[#This Row],[*Subject]], classes_table[*Subject], classes_table[Fee])</f>
        <v>0</v>
      </c>
      <c r="F925" s="58"/>
      <c r="G925" s="60"/>
      <c r="H925" s="55"/>
      <c r="I925" s="176">
        <f>_xlfn.XLOOKUP(enrollment_table[[#This Row],[*Teacher Name]], teachers_table[*Teacher Name], teachers_table[*Teacher ID])</f>
        <v>0</v>
      </c>
      <c r="J925" s="60"/>
      <c r="K925" s="60"/>
      <c r="L925" s="55"/>
      <c r="M925" s="60"/>
      <c r="N925" s="60"/>
      <c r="O925" s="55"/>
      <c r="P925" s="161"/>
      <c r="Q925" s="160" t="str">
        <f>IF(enrollment_table[[#This Row],[Enrollment Date]]="","",TEXT(enrollment_table[[#This Row],[Enrollment Date]],"mmmm"))</f>
        <v/>
      </c>
      <c r="R925" s="60"/>
    </row>
    <row r="926" spans="1:18" ht="15" x14ac:dyDescent="0.3">
      <c r="A926" s="129"/>
      <c r="B926" s="60"/>
      <c r="C926" s="55"/>
      <c r="D926" s="60"/>
      <c r="E926" s="103">
        <f>_xlfn.XLOOKUP(enrollment_table[[#This Row],[*Subject]], classes_table[*Subject], classes_table[Fee])</f>
        <v>0</v>
      </c>
      <c r="F926" s="58"/>
      <c r="G926" s="60"/>
      <c r="H926" s="55"/>
      <c r="I926" s="176">
        <f>_xlfn.XLOOKUP(enrollment_table[[#This Row],[*Teacher Name]], teachers_table[*Teacher Name], teachers_table[*Teacher ID])</f>
        <v>0</v>
      </c>
      <c r="J926" s="60"/>
      <c r="K926" s="60"/>
      <c r="L926" s="55"/>
      <c r="M926" s="60"/>
      <c r="N926" s="60"/>
      <c r="O926" s="55"/>
      <c r="P926" s="161"/>
      <c r="Q926" s="160" t="str">
        <f>IF(enrollment_table[[#This Row],[Enrollment Date]]="","",TEXT(enrollment_table[[#This Row],[Enrollment Date]],"mmmm"))</f>
        <v/>
      </c>
      <c r="R926" s="60"/>
    </row>
    <row r="927" spans="1:18" ht="15" x14ac:dyDescent="0.3">
      <c r="A927" s="129"/>
      <c r="B927" s="60"/>
      <c r="C927" s="55"/>
      <c r="D927" s="60"/>
      <c r="E927" s="103">
        <f>_xlfn.XLOOKUP(enrollment_table[[#This Row],[*Subject]], classes_table[*Subject], classes_table[Fee])</f>
        <v>0</v>
      </c>
      <c r="F927" s="58"/>
      <c r="G927" s="60"/>
      <c r="H927" s="55"/>
      <c r="I927" s="176">
        <f>_xlfn.XLOOKUP(enrollment_table[[#This Row],[*Teacher Name]], teachers_table[*Teacher Name], teachers_table[*Teacher ID])</f>
        <v>0</v>
      </c>
      <c r="J927" s="60"/>
      <c r="K927" s="60"/>
      <c r="L927" s="55"/>
      <c r="M927" s="60"/>
      <c r="N927" s="60"/>
      <c r="O927" s="55"/>
      <c r="P927" s="161"/>
      <c r="Q927" s="160" t="str">
        <f>IF(enrollment_table[[#This Row],[Enrollment Date]]="","",TEXT(enrollment_table[[#This Row],[Enrollment Date]],"mmmm"))</f>
        <v/>
      </c>
      <c r="R927" s="60"/>
    </row>
    <row r="928" spans="1:18" ht="15" x14ac:dyDescent="0.3">
      <c r="A928" s="129"/>
      <c r="B928" s="60"/>
      <c r="C928" s="55"/>
      <c r="D928" s="60"/>
      <c r="E928" s="103">
        <f>_xlfn.XLOOKUP(enrollment_table[[#This Row],[*Subject]], classes_table[*Subject], classes_table[Fee])</f>
        <v>0</v>
      </c>
      <c r="F928" s="58"/>
      <c r="G928" s="60"/>
      <c r="H928" s="55"/>
      <c r="I928" s="176">
        <f>_xlfn.XLOOKUP(enrollment_table[[#This Row],[*Teacher Name]], teachers_table[*Teacher Name], teachers_table[*Teacher ID])</f>
        <v>0</v>
      </c>
      <c r="J928" s="60"/>
      <c r="K928" s="60"/>
      <c r="L928" s="55"/>
      <c r="M928" s="60"/>
      <c r="N928" s="60"/>
      <c r="O928" s="55"/>
      <c r="P928" s="161"/>
      <c r="Q928" s="160" t="str">
        <f>IF(enrollment_table[[#This Row],[Enrollment Date]]="","",TEXT(enrollment_table[[#This Row],[Enrollment Date]],"mmmm"))</f>
        <v/>
      </c>
      <c r="R928" s="60"/>
    </row>
    <row r="929" spans="1:18" ht="15" x14ac:dyDescent="0.3">
      <c r="A929" s="129"/>
      <c r="B929" s="60"/>
      <c r="C929" s="55"/>
      <c r="D929" s="60"/>
      <c r="E929" s="103">
        <f>_xlfn.XLOOKUP(enrollment_table[[#This Row],[*Subject]], classes_table[*Subject], classes_table[Fee])</f>
        <v>0</v>
      </c>
      <c r="F929" s="58"/>
      <c r="G929" s="60"/>
      <c r="H929" s="55"/>
      <c r="I929" s="176">
        <f>_xlfn.XLOOKUP(enrollment_table[[#This Row],[*Teacher Name]], teachers_table[*Teacher Name], teachers_table[*Teacher ID])</f>
        <v>0</v>
      </c>
      <c r="J929" s="60"/>
      <c r="K929" s="60"/>
      <c r="L929" s="55"/>
      <c r="M929" s="60"/>
      <c r="N929" s="60"/>
      <c r="O929" s="55"/>
      <c r="P929" s="161"/>
      <c r="Q929" s="160" t="str">
        <f>IF(enrollment_table[[#This Row],[Enrollment Date]]="","",TEXT(enrollment_table[[#This Row],[Enrollment Date]],"mmmm"))</f>
        <v/>
      </c>
      <c r="R929" s="60"/>
    </row>
    <row r="930" spans="1:18" ht="15" x14ac:dyDescent="0.3">
      <c r="A930" s="129"/>
      <c r="B930" s="60"/>
      <c r="C930" s="55"/>
      <c r="D930" s="60"/>
      <c r="E930" s="103">
        <f>_xlfn.XLOOKUP(enrollment_table[[#This Row],[*Subject]], classes_table[*Subject], classes_table[Fee])</f>
        <v>0</v>
      </c>
      <c r="F930" s="58"/>
      <c r="G930" s="60"/>
      <c r="H930" s="55"/>
      <c r="I930" s="176">
        <f>_xlfn.XLOOKUP(enrollment_table[[#This Row],[*Teacher Name]], teachers_table[*Teacher Name], teachers_table[*Teacher ID])</f>
        <v>0</v>
      </c>
      <c r="J930" s="60"/>
      <c r="K930" s="60"/>
      <c r="L930" s="55"/>
      <c r="M930" s="60"/>
      <c r="N930" s="60"/>
      <c r="O930" s="55"/>
      <c r="P930" s="161"/>
      <c r="Q930" s="160" t="str">
        <f>IF(enrollment_table[[#This Row],[Enrollment Date]]="","",TEXT(enrollment_table[[#This Row],[Enrollment Date]],"mmmm"))</f>
        <v/>
      </c>
      <c r="R930" s="60"/>
    </row>
    <row r="931" spans="1:18" ht="15" x14ac:dyDescent="0.3">
      <c r="A931" s="129"/>
      <c r="B931" s="60"/>
      <c r="C931" s="55"/>
      <c r="D931" s="60"/>
      <c r="E931" s="103">
        <f>_xlfn.XLOOKUP(enrollment_table[[#This Row],[*Subject]], classes_table[*Subject], classes_table[Fee])</f>
        <v>0</v>
      </c>
      <c r="F931" s="58"/>
      <c r="G931" s="60"/>
      <c r="H931" s="55"/>
      <c r="I931" s="176">
        <f>_xlfn.XLOOKUP(enrollment_table[[#This Row],[*Teacher Name]], teachers_table[*Teacher Name], teachers_table[*Teacher ID])</f>
        <v>0</v>
      </c>
      <c r="J931" s="60"/>
      <c r="K931" s="60"/>
      <c r="L931" s="55"/>
      <c r="M931" s="60"/>
      <c r="N931" s="60"/>
      <c r="O931" s="55"/>
      <c r="P931" s="161"/>
      <c r="Q931" s="160" t="str">
        <f>IF(enrollment_table[[#This Row],[Enrollment Date]]="","",TEXT(enrollment_table[[#This Row],[Enrollment Date]],"mmmm"))</f>
        <v/>
      </c>
      <c r="R931" s="60"/>
    </row>
    <row r="932" spans="1:18" ht="15" x14ac:dyDescent="0.3">
      <c r="A932" s="129"/>
      <c r="B932" s="60"/>
      <c r="C932" s="55"/>
      <c r="D932" s="60"/>
      <c r="E932" s="103">
        <f>_xlfn.XLOOKUP(enrollment_table[[#This Row],[*Subject]], classes_table[*Subject], classes_table[Fee])</f>
        <v>0</v>
      </c>
      <c r="F932" s="58"/>
      <c r="G932" s="60"/>
      <c r="H932" s="55"/>
      <c r="I932" s="176">
        <f>_xlfn.XLOOKUP(enrollment_table[[#This Row],[*Teacher Name]], teachers_table[*Teacher Name], teachers_table[*Teacher ID])</f>
        <v>0</v>
      </c>
      <c r="J932" s="60"/>
      <c r="K932" s="60"/>
      <c r="L932" s="55"/>
      <c r="M932" s="60"/>
      <c r="N932" s="60"/>
      <c r="O932" s="55"/>
      <c r="P932" s="161"/>
      <c r="Q932" s="160" t="str">
        <f>IF(enrollment_table[[#This Row],[Enrollment Date]]="","",TEXT(enrollment_table[[#This Row],[Enrollment Date]],"mmmm"))</f>
        <v/>
      </c>
      <c r="R932" s="60"/>
    </row>
    <row r="933" spans="1:18" ht="15" x14ac:dyDescent="0.3">
      <c r="A933" s="129"/>
      <c r="B933" s="60"/>
      <c r="C933" s="55"/>
      <c r="D933" s="60"/>
      <c r="E933" s="103">
        <f>_xlfn.XLOOKUP(enrollment_table[[#This Row],[*Subject]], classes_table[*Subject], classes_table[Fee])</f>
        <v>0</v>
      </c>
      <c r="F933" s="58"/>
      <c r="G933" s="60"/>
      <c r="H933" s="55"/>
      <c r="I933" s="176">
        <f>_xlfn.XLOOKUP(enrollment_table[[#This Row],[*Teacher Name]], teachers_table[*Teacher Name], teachers_table[*Teacher ID])</f>
        <v>0</v>
      </c>
      <c r="J933" s="60"/>
      <c r="K933" s="60"/>
      <c r="L933" s="55"/>
      <c r="M933" s="60"/>
      <c r="N933" s="60"/>
      <c r="O933" s="55"/>
      <c r="P933" s="161"/>
      <c r="Q933" s="160" t="str">
        <f>IF(enrollment_table[[#This Row],[Enrollment Date]]="","",TEXT(enrollment_table[[#This Row],[Enrollment Date]],"mmmm"))</f>
        <v/>
      </c>
      <c r="R933" s="60"/>
    </row>
    <row r="934" spans="1:18" ht="15" x14ac:dyDescent="0.3">
      <c r="A934" s="129"/>
      <c r="B934" s="60"/>
      <c r="C934" s="55"/>
      <c r="D934" s="60"/>
      <c r="E934" s="103">
        <f>_xlfn.XLOOKUP(enrollment_table[[#This Row],[*Subject]], classes_table[*Subject], classes_table[Fee])</f>
        <v>0</v>
      </c>
      <c r="F934" s="58"/>
      <c r="G934" s="60"/>
      <c r="H934" s="55"/>
      <c r="I934" s="176">
        <f>_xlfn.XLOOKUP(enrollment_table[[#This Row],[*Teacher Name]], teachers_table[*Teacher Name], teachers_table[*Teacher ID])</f>
        <v>0</v>
      </c>
      <c r="J934" s="60"/>
      <c r="K934" s="60"/>
      <c r="L934" s="55"/>
      <c r="M934" s="60"/>
      <c r="N934" s="60"/>
      <c r="O934" s="55"/>
      <c r="P934" s="161"/>
      <c r="Q934" s="160" t="str">
        <f>IF(enrollment_table[[#This Row],[Enrollment Date]]="","",TEXT(enrollment_table[[#This Row],[Enrollment Date]],"mmmm"))</f>
        <v/>
      </c>
      <c r="R934" s="60"/>
    </row>
    <row r="935" spans="1:18" ht="15" x14ac:dyDescent="0.3">
      <c r="A935" s="129"/>
      <c r="B935" s="60"/>
      <c r="C935" s="55"/>
      <c r="D935" s="60"/>
      <c r="E935" s="103">
        <f>_xlfn.XLOOKUP(enrollment_table[[#This Row],[*Subject]], classes_table[*Subject], classes_table[Fee])</f>
        <v>0</v>
      </c>
      <c r="F935" s="58"/>
      <c r="G935" s="60"/>
      <c r="H935" s="55"/>
      <c r="I935" s="176">
        <f>_xlfn.XLOOKUP(enrollment_table[[#This Row],[*Teacher Name]], teachers_table[*Teacher Name], teachers_table[*Teacher ID])</f>
        <v>0</v>
      </c>
      <c r="J935" s="60"/>
      <c r="K935" s="60"/>
      <c r="L935" s="55"/>
      <c r="M935" s="60"/>
      <c r="N935" s="60"/>
      <c r="O935" s="55"/>
      <c r="P935" s="161"/>
      <c r="Q935" s="160" t="str">
        <f>IF(enrollment_table[[#This Row],[Enrollment Date]]="","",TEXT(enrollment_table[[#This Row],[Enrollment Date]],"mmmm"))</f>
        <v/>
      </c>
      <c r="R935" s="60"/>
    </row>
    <row r="936" spans="1:18" ht="15" x14ac:dyDescent="0.3">
      <c r="A936" s="129"/>
      <c r="B936" s="60"/>
      <c r="C936" s="55"/>
      <c r="D936" s="60"/>
      <c r="E936" s="103">
        <f>_xlfn.XLOOKUP(enrollment_table[[#This Row],[*Subject]], classes_table[*Subject], classes_table[Fee])</f>
        <v>0</v>
      </c>
      <c r="F936" s="58"/>
      <c r="G936" s="60"/>
      <c r="H936" s="55"/>
      <c r="I936" s="176">
        <f>_xlfn.XLOOKUP(enrollment_table[[#This Row],[*Teacher Name]], teachers_table[*Teacher Name], teachers_table[*Teacher ID])</f>
        <v>0</v>
      </c>
      <c r="J936" s="60"/>
      <c r="K936" s="60"/>
      <c r="L936" s="55"/>
      <c r="M936" s="60"/>
      <c r="N936" s="60"/>
      <c r="O936" s="55"/>
      <c r="P936" s="161"/>
      <c r="Q936" s="160" t="str">
        <f>IF(enrollment_table[[#This Row],[Enrollment Date]]="","",TEXT(enrollment_table[[#This Row],[Enrollment Date]],"mmmm"))</f>
        <v/>
      </c>
      <c r="R936" s="60"/>
    </row>
    <row r="937" spans="1:18" ht="15" x14ac:dyDescent="0.3">
      <c r="A937" s="129"/>
      <c r="B937" s="60"/>
      <c r="C937" s="55"/>
      <c r="D937" s="60"/>
      <c r="E937" s="103">
        <f>_xlfn.XLOOKUP(enrollment_table[[#This Row],[*Subject]], classes_table[*Subject], classes_table[Fee])</f>
        <v>0</v>
      </c>
      <c r="F937" s="58"/>
      <c r="G937" s="60"/>
      <c r="H937" s="55"/>
      <c r="I937" s="176">
        <f>_xlfn.XLOOKUP(enrollment_table[[#This Row],[*Teacher Name]], teachers_table[*Teacher Name], teachers_table[*Teacher ID])</f>
        <v>0</v>
      </c>
      <c r="J937" s="60"/>
      <c r="K937" s="60"/>
      <c r="L937" s="55"/>
      <c r="M937" s="60"/>
      <c r="N937" s="60"/>
      <c r="O937" s="55"/>
      <c r="P937" s="161"/>
      <c r="Q937" s="160" t="str">
        <f>IF(enrollment_table[[#This Row],[Enrollment Date]]="","",TEXT(enrollment_table[[#This Row],[Enrollment Date]],"mmmm"))</f>
        <v/>
      </c>
      <c r="R937" s="60"/>
    </row>
    <row r="938" spans="1:18" ht="15" x14ac:dyDescent="0.3">
      <c r="A938" s="129"/>
      <c r="B938" s="60"/>
      <c r="C938" s="55"/>
      <c r="D938" s="60"/>
      <c r="E938" s="103">
        <f>_xlfn.XLOOKUP(enrollment_table[[#This Row],[*Subject]], classes_table[*Subject], classes_table[Fee])</f>
        <v>0</v>
      </c>
      <c r="F938" s="58"/>
      <c r="G938" s="60"/>
      <c r="H938" s="55"/>
      <c r="I938" s="176">
        <f>_xlfn.XLOOKUP(enrollment_table[[#This Row],[*Teacher Name]], teachers_table[*Teacher Name], teachers_table[*Teacher ID])</f>
        <v>0</v>
      </c>
      <c r="J938" s="60"/>
      <c r="K938" s="60"/>
      <c r="L938" s="55"/>
      <c r="M938" s="60"/>
      <c r="N938" s="60"/>
      <c r="O938" s="55"/>
      <c r="P938" s="161"/>
      <c r="Q938" s="160" t="str">
        <f>IF(enrollment_table[[#This Row],[Enrollment Date]]="","",TEXT(enrollment_table[[#This Row],[Enrollment Date]],"mmmm"))</f>
        <v/>
      </c>
      <c r="R938" s="60"/>
    </row>
    <row r="939" spans="1:18" ht="15" x14ac:dyDescent="0.3">
      <c r="A939" s="129"/>
      <c r="B939" s="60"/>
      <c r="C939" s="55"/>
      <c r="D939" s="60"/>
      <c r="E939" s="103">
        <f>_xlfn.XLOOKUP(enrollment_table[[#This Row],[*Subject]], classes_table[*Subject], classes_table[Fee])</f>
        <v>0</v>
      </c>
      <c r="F939" s="58"/>
      <c r="G939" s="60"/>
      <c r="H939" s="55"/>
      <c r="I939" s="176">
        <f>_xlfn.XLOOKUP(enrollment_table[[#This Row],[*Teacher Name]], teachers_table[*Teacher Name], teachers_table[*Teacher ID])</f>
        <v>0</v>
      </c>
      <c r="J939" s="60"/>
      <c r="K939" s="60"/>
      <c r="L939" s="55"/>
      <c r="M939" s="60"/>
      <c r="N939" s="60"/>
      <c r="O939" s="55"/>
      <c r="P939" s="161"/>
      <c r="Q939" s="160" t="str">
        <f>IF(enrollment_table[[#This Row],[Enrollment Date]]="","",TEXT(enrollment_table[[#This Row],[Enrollment Date]],"mmmm"))</f>
        <v/>
      </c>
      <c r="R939" s="60"/>
    </row>
    <row r="940" spans="1:18" ht="15" x14ac:dyDescent="0.3">
      <c r="A940" s="129"/>
      <c r="B940" s="60"/>
      <c r="C940" s="55"/>
      <c r="D940" s="60"/>
      <c r="E940" s="103">
        <f>_xlfn.XLOOKUP(enrollment_table[[#This Row],[*Subject]], classes_table[*Subject], classes_table[Fee])</f>
        <v>0</v>
      </c>
      <c r="F940" s="58"/>
      <c r="G940" s="60"/>
      <c r="H940" s="55"/>
      <c r="I940" s="176">
        <f>_xlfn.XLOOKUP(enrollment_table[[#This Row],[*Teacher Name]], teachers_table[*Teacher Name], teachers_table[*Teacher ID])</f>
        <v>0</v>
      </c>
      <c r="J940" s="60"/>
      <c r="K940" s="60"/>
      <c r="L940" s="55"/>
      <c r="M940" s="60"/>
      <c r="N940" s="60"/>
      <c r="O940" s="55"/>
      <c r="P940" s="161"/>
      <c r="Q940" s="160" t="str">
        <f>IF(enrollment_table[[#This Row],[Enrollment Date]]="","",TEXT(enrollment_table[[#This Row],[Enrollment Date]],"mmmm"))</f>
        <v/>
      </c>
      <c r="R940" s="60"/>
    </row>
    <row r="941" spans="1:18" ht="15" x14ac:dyDescent="0.3">
      <c r="A941" s="129"/>
      <c r="B941" s="60"/>
      <c r="C941" s="55"/>
      <c r="D941" s="60"/>
      <c r="E941" s="103">
        <f>_xlfn.XLOOKUP(enrollment_table[[#This Row],[*Subject]], classes_table[*Subject], classes_table[Fee])</f>
        <v>0</v>
      </c>
      <c r="F941" s="58"/>
      <c r="G941" s="60"/>
      <c r="H941" s="55"/>
      <c r="I941" s="176">
        <f>_xlfn.XLOOKUP(enrollment_table[[#This Row],[*Teacher Name]], teachers_table[*Teacher Name], teachers_table[*Teacher ID])</f>
        <v>0</v>
      </c>
      <c r="J941" s="60"/>
      <c r="K941" s="60"/>
      <c r="L941" s="55"/>
      <c r="M941" s="60"/>
      <c r="N941" s="60"/>
      <c r="O941" s="55"/>
      <c r="P941" s="161"/>
      <c r="Q941" s="160" t="str">
        <f>IF(enrollment_table[[#This Row],[Enrollment Date]]="","",TEXT(enrollment_table[[#This Row],[Enrollment Date]],"mmmm"))</f>
        <v/>
      </c>
      <c r="R941" s="60"/>
    </row>
    <row r="942" spans="1:18" ht="15" x14ac:dyDescent="0.3">
      <c r="A942" s="129"/>
      <c r="B942" s="60"/>
      <c r="C942" s="55"/>
      <c r="D942" s="60"/>
      <c r="E942" s="103">
        <f>_xlfn.XLOOKUP(enrollment_table[[#This Row],[*Subject]], classes_table[*Subject], classes_table[Fee])</f>
        <v>0</v>
      </c>
      <c r="F942" s="58"/>
      <c r="G942" s="60"/>
      <c r="H942" s="55"/>
      <c r="I942" s="176">
        <f>_xlfn.XLOOKUP(enrollment_table[[#This Row],[*Teacher Name]], teachers_table[*Teacher Name], teachers_table[*Teacher ID])</f>
        <v>0</v>
      </c>
      <c r="J942" s="60"/>
      <c r="K942" s="60"/>
      <c r="L942" s="55"/>
      <c r="M942" s="60"/>
      <c r="N942" s="60"/>
      <c r="O942" s="55"/>
      <c r="P942" s="161"/>
      <c r="Q942" s="160" t="str">
        <f>IF(enrollment_table[[#This Row],[Enrollment Date]]="","",TEXT(enrollment_table[[#This Row],[Enrollment Date]],"mmmm"))</f>
        <v/>
      </c>
      <c r="R942" s="60"/>
    </row>
    <row r="943" spans="1:18" ht="15" x14ac:dyDescent="0.3">
      <c r="A943" s="129"/>
      <c r="B943" s="60"/>
      <c r="C943" s="55"/>
      <c r="D943" s="60"/>
      <c r="E943" s="103">
        <f>_xlfn.XLOOKUP(enrollment_table[[#This Row],[*Subject]], classes_table[*Subject], classes_table[Fee])</f>
        <v>0</v>
      </c>
      <c r="F943" s="58"/>
      <c r="G943" s="60"/>
      <c r="H943" s="55"/>
      <c r="I943" s="176">
        <f>_xlfn.XLOOKUP(enrollment_table[[#This Row],[*Teacher Name]], teachers_table[*Teacher Name], teachers_table[*Teacher ID])</f>
        <v>0</v>
      </c>
      <c r="J943" s="60"/>
      <c r="K943" s="60"/>
      <c r="L943" s="55"/>
      <c r="M943" s="60"/>
      <c r="N943" s="60"/>
      <c r="O943" s="55"/>
      <c r="P943" s="161"/>
      <c r="Q943" s="160" t="str">
        <f>IF(enrollment_table[[#This Row],[Enrollment Date]]="","",TEXT(enrollment_table[[#This Row],[Enrollment Date]],"mmmm"))</f>
        <v/>
      </c>
      <c r="R943" s="60"/>
    </row>
    <row r="944" spans="1:18" ht="15" x14ac:dyDescent="0.3">
      <c r="A944" s="129"/>
      <c r="B944" s="60"/>
      <c r="C944" s="55"/>
      <c r="D944" s="60"/>
      <c r="E944" s="103">
        <f>_xlfn.XLOOKUP(enrollment_table[[#This Row],[*Subject]], classes_table[*Subject], classes_table[Fee])</f>
        <v>0</v>
      </c>
      <c r="F944" s="58"/>
      <c r="G944" s="60"/>
      <c r="H944" s="55"/>
      <c r="I944" s="176">
        <f>_xlfn.XLOOKUP(enrollment_table[[#This Row],[*Teacher Name]], teachers_table[*Teacher Name], teachers_table[*Teacher ID])</f>
        <v>0</v>
      </c>
      <c r="J944" s="60"/>
      <c r="K944" s="60"/>
      <c r="L944" s="55"/>
      <c r="M944" s="60"/>
      <c r="N944" s="60"/>
      <c r="O944" s="55"/>
      <c r="P944" s="161"/>
      <c r="Q944" s="160" t="str">
        <f>IF(enrollment_table[[#This Row],[Enrollment Date]]="","",TEXT(enrollment_table[[#This Row],[Enrollment Date]],"mmmm"))</f>
        <v/>
      </c>
      <c r="R944" s="60"/>
    </row>
    <row r="945" spans="1:18" ht="15" x14ac:dyDescent="0.3">
      <c r="A945" s="129"/>
      <c r="B945" s="60"/>
      <c r="C945" s="55"/>
      <c r="D945" s="60"/>
      <c r="E945" s="103">
        <f>_xlfn.XLOOKUP(enrollment_table[[#This Row],[*Subject]], classes_table[*Subject], classes_table[Fee])</f>
        <v>0</v>
      </c>
      <c r="F945" s="58"/>
      <c r="G945" s="60"/>
      <c r="H945" s="55"/>
      <c r="I945" s="176">
        <f>_xlfn.XLOOKUP(enrollment_table[[#This Row],[*Teacher Name]], teachers_table[*Teacher Name], teachers_table[*Teacher ID])</f>
        <v>0</v>
      </c>
      <c r="J945" s="60"/>
      <c r="K945" s="60"/>
      <c r="L945" s="55"/>
      <c r="M945" s="60"/>
      <c r="N945" s="60"/>
      <c r="O945" s="55"/>
      <c r="P945" s="161"/>
      <c r="Q945" s="160" t="str">
        <f>IF(enrollment_table[[#This Row],[Enrollment Date]]="","",TEXT(enrollment_table[[#This Row],[Enrollment Date]],"mmmm"))</f>
        <v/>
      </c>
      <c r="R945" s="60"/>
    </row>
    <row r="946" spans="1:18" ht="15" x14ac:dyDescent="0.3">
      <c r="A946" s="129"/>
      <c r="B946" s="60"/>
      <c r="C946" s="55"/>
      <c r="D946" s="60"/>
      <c r="E946" s="103">
        <f>_xlfn.XLOOKUP(enrollment_table[[#This Row],[*Subject]], classes_table[*Subject], classes_table[Fee])</f>
        <v>0</v>
      </c>
      <c r="F946" s="58"/>
      <c r="G946" s="60"/>
      <c r="H946" s="55"/>
      <c r="I946" s="176">
        <f>_xlfn.XLOOKUP(enrollment_table[[#This Row],[*Teacher Name]], teachers_table[*Teacher Name], teachers_table[*Teacher ID])</f>
        <v>0</v>
      </c>
      <c r="J946" s="60"/>
      <c r="K946" s="60"/>
      <c r="L946" s="55"/>
      <c r="M946" s="60"/>
      <c r="N946" s="60"/>
      <c r="O946" s="55"/>
      <c r="P946" s="161"/>
      <c r="Q946" s="160" t="str">
        <f>IF(enrollment_table[[#This Row],[Enrollment Date]]="","",TEXT(enrollment_table[[#This Row],[Enrollment Date]],"mmmm"))</f>
        <v/>
      </c>
      <c r="R946" s="60"/>
    </row>
    <row r="947" spans="1:18" ht="15" x14ac:dyDescent="0.3">
      <c r="A947" s="129"/>
      <c r="B947" s="60"/>
      <c r="C947" s="55"/>
      <c r="D947" s="60"/>
      <c r="E947" s="103">
        <f>_xlfn.XLOOKUP(enrollment_table[[#This Row],[*Subject]], classes_table[*Subject], classes_table[Fee])</f>
        <v>0</v>
      </c>
      <c r="F947" s="58"/>
      <c r="G947" s="60"/>
      <c r="H947" s="55"/>
      <c r="I947" s="176">
        <f>_xlfn.XLOOKUP(enrollment_table[[#This Row],[*Teacher Name]], teachers_table[*Teacher Name], teachers_table[*Teacher ID])</f>
        <v>0</v>
      </c>
      <c r="J947" s="60"/>
      <c r="K947" s="60"/>
      <c r="L947" s="55"/>
      <c r="M947" s="60"/>
      <c r="N947" s="60"/>
      <c r="O947" s="55"/>
      <c r="P947" s="161"/>
      <c r="Q947" s="160" t="str">
        <f>IF(enrollment_table[[#This Row],[Enrollment Date]]="","",TEXT(enrollment_table[[#This Row],[Enrollment Date]],"mmmm"))</f>
        <v/>
      </c>
      <c r="R947" s="60"/>
    </row>
    <row r="948" spans="1:18" ht="15" x14ac:dyDescent="0.3">
      <c r="A948" s="129"/>
      <c r="B948" s="60"/>
      <c r="C948" s="55"/>
      <c r="D948" s="60"/>
      <c r="E948" s="103">
        <f>_xlfn.XLOOKUP(enrollment_table[[#This Row],[*Subject]], classes_table[*Subject], classes_table[Fee])</f>
        <v>0</v>
      </c>
      <c r="F948" s="58"/>
      <c r="G948" s="60"/>
      <c r="H948" s="55"/>
      <c r="I948" s="176">
        <f>_xlfn.XLOOKUP(enrollment_table[[#This Row],[*Teacher Name]], teachers_table[*Teacher Name], teachers_table[*Teacher ID])</f>
        <v>0</v>
      </c>
      <c r="J948" s="60"/>
      <c r="K948" s="60"/>
      <c r="L948" s="55"/>
      <c r="M948" s="60"/>
      <c r="N948" s="60"/>
      <c r="O948" s="55"/>
      <c r="P948" s="161"/>
      <c r="Q948" s="160" t="str">
        <f>IF(enrollment_table[[#This Row],[Enrollment Date]]="","",TEXT(enrollment_table[[#This Row],[Enrollment Date]],"mmmm"))</f>
        <v/>
      </c>
      <c r="R948" s="60"/>
    </row>
    <row r="949" spans="1:18" ht="15" x14ac:dyDescent="0.3">
      <c r="A949" s="129"/>
      <c r="B949" s="60"/>
      <c r="C949" s="55"/>
      <c r="D949" s="60"/>
      <c r="E949" s="103">
        <f>_xlfn.XLOOKUP(enrollment_table[[#This Row],[*Subject]], classes_table[*Subject], classes_table[Fee])</f>
        <v>0</v>
      </c>
      <c r="F949" s="58"/>
      <c r="G949" s="60"/>
      <c r="H949" s="55"/>
      <c r="I949" s="176">
        <f>_xlfn.XLOOKUP(enrollment_table[[#This Row],[*Teacher Name]], teachers_table[*Teacher Name], teachers_table[*Teacher ID])</f>
        <v>0</v>
      </c>
      <c r="J949" s="60"/>
      <c r="K949" s="60"/>
      <c r="L949" s="55"/>
      <c r="M949" s="60"/>
      <c r="N949" s="60"/>
      <c r="O949" s="55"/>
      <c r="P949" s="161"/>
      <c r="Q949" s="160" t="str">
        <f>IF(enrollment_table[[#This Row],[Enrollment Date]]="","",TEXT(enrollment_table[[#This Row],[Enrollment Date]],"mmmm"))</f>
        <v/>
      </c>
      <c r="R949" s="60"/>
    </row>
    <row r="950" spans="1:18" ht="15" x14ac:dyDescent="0.3">
      <c r="A950" s="129"/>
      <c r="B950" s="60"/>
      <c r="C950" s="55"/>
      <c r="D950" s="60"/>
      <c r="E950" s="103">
        <f>_xlfn.XLOOKUP(enrollment_table[[#This Row],[*Subject]], classes_table[*Subject], classes_table[Fee])</f>
        <v>0</v>
      </c>
      <c r="F950" s="58"/>
      <c r="G950" s="60"/>
      <c r="H950" s="55"/>
      <c r="I950" s="176">
        <f>_xlfn.XLOOKUP(enrollment_table[[#This Row],[*Teacher Name]], teachers_table[*Teacher Name], teachers_table[*Teacher ID])</f>
        <v>0</v>
      </c>
      <c r="J950" s="60"/>
      <c r="K950" s="60"/>
      <c r="L950" s="55"/>
      <c r="M950" s="60"/>
      <c r="N950" s="60"/>
      <c r="O950" s="55"/>
      <c r="P950" s="161"/>
      <c r="Q950" s="160" t="str">
        <f>IF(enrollment_table[[#This Row],[Enrollment Date]]="","",TEXT(enrollment_table[[#This Row],[Enrollment Date]],"mmmm"))</f>
        <v/>
      </c>
      <c r="R950" s="60"/>
    </row>
    <row r="951" spans="1:18" ht="15" x14ac:dyDescent="0.3">
      <c r="A951" s="129"/>
      <c r="B951" s="60"/>
      <c r="C951" s="55"/>
      <c r="D951" s="60"/>
      <c r="E951" s="103">
        <f>_xlfn.XLOOKUP(enrollment_table[[#This Row],[*Subject]], classes_table[*Subject], classes_table[Fee])</f>
        <v>0</v>
      </c>
      <c r="F951" s="58"/>
      <c r="G951" s="60"/>
      <c r="H951" s="55"/>
      <c r="I951" s="176">
        <f>_xlfn.XLOOKUP(enrollment_table[[#This Row],[*Teacher Name]], teachers_table[*Teacher Name], teachers_table[*Teacher ID])</f>
        <v>0</v>
      </c>
      <c r="J951" s="60"/>
      <c r="K951" s="60"/>
      <c r="L951" s="55"/>
      <c r="M951" s="60"/>
      <c r="N951" s="60"/>
      <c r="O951" s="55"/>
      <c r="P951" s="161"/>
      <c r="Q951" s="160" t="str">
        <f>IF(enrollment_table[[#This Row],[Enrollment Date]]="","",TEXT(enrollment_table[[#This Row],[Enrollment Date]],"mmmm"))</f>
        <v/>
      </c>
      <c r="R951" s="60"/>
    </row>
    <row r="952" spans="1:18" ht="15" x14ac:dyDescent="0.3">
      <c r="A952" s="129"/>
      <c r="B952" s="60"/>
      <c r="C952" s="55"/>
      <c r="D952" s="60"/>
      <c r="E952" s="103">
        <f>_xlfn.XLOOKUP(enrollment_table[[#This Row],[*Subject]], classes_table[*Subject], classes_table[Fee])</f>
        <v>0</v>
      </c>
      <c r="F952" s="58"/>
      <c r="G952" s="60"/>
      <c r="H952" s="55"/>
      <c r="I952" s="176">
        <f>_xlfn.XLOOKUP(enrollment_table[[#This Row],[*Teacher Name]], teachers_table[*Teacher Name], teachers_table[*Teacher ID])</f>
        <v>0</v>
      </c>
      <c r="J952" s="60"/>
      <c r="K952" s="60"/>
      <c r="L952" s="55"/>
      <c r="M952" s="60"/>
      <c r="N952" s="60"/>
      <c r="O952" s="55"/>
      <c r="P952" s="161"/>
      <c r="Q952" s="160" t="str">
        <f>IF(enrollment_table[[#This Row],[Enrollment Date]]="","",TEXT(enrollment_table[[#This Row],[Enrollment Date]],"mmmm"))</f>
        <v/>
      </c>
      <c r="R952" s="60"/>
    </row>
    <row r="953" spans="1:18" ht="15" x14ac:dyDescent="0.3">
      <c r="A953" s="129"/>
      <c r="B953" s="60"/>
      <c r="C953" s="55"/>
      <c r="D953" s="60"/>
      <c r="E953" s="103">
        <f>_xlfn.XLOOKUP(enrollment_table[[#This Row],[*Subject]], classes_table[*Subject], classes_table[Fee])</f>
        <v>0</v>
      </c>
      <c r="F953" s="58"/>
      <c r="G953" s="60"/>
      <c r="H953" s="55"/>
      <c r="I953" s="176">
        <f>_xlfn.XLOOKUP(enrollment_table[[#This Row],[*Teacher Name]], teachers_table[*Teacher Name], teachers_table[*Teacher ID])</f>
        <v>0</v>
      </c>
      <c r="J953" s="60"/>
      <c r="K953" s="60"/>
      <c r="L953" s="55"/>
      <c r="M953" s="60"/>
      <c r="N953" s="60"/>
      <c r="O953" s="55"/>
      <c r="P953" s="161"/>
      <c r="Q953" s="160" t="str">
        <f>IF(enrollment_table[[#This Row],[Enrollment Date]]="","",TEXT(enrollment_table[[#This Row],[Enrollment Date]],"mmmm"))</f>
        <v/>
      </c>
      <c r="R953" s="60"/>
    </row>
    <row r="954" spans="1:18" ht="15" x14ac:dyDescent="0.3">
      <c r="A954" s="129"/>
      <c r="B954" s="60"/>
      <c r="C954" s="55"/>
      <c r="D954" s="60"/>
      <c r="E954" s="103">
        <f>_xlfn.XLOOKUP(enrollment_table[[#This Row],[*Subject]], classes_table[*Subject], classes_table[Fee])</f>
        <v>0</v>
      </c>
      <c r="F954" s="58"/>
      <c r="G954" s="60"/>
      <c r="H954" s="55"/>
      <c r="I954" s="176">
        <f>_xlfn.XLOOKUP(enrollment_table[[#This Row],[*Teacher Name]], teachers_table[*Teacher Name], teachers_table[*Teacher ID])</f>
        <v>0</v>
      </c>
      <c r="J954" s="60"/>
      <c r="K954" s="60"/>
      <c r="L954" s="55"/>
      <c r="M954" s="60"/>
      <c r="N954" s="60"/>
      <c r="O954" s="55"/>
      <c r="P954" s="161"/>
      <c r="Q954" s="160" t="str">
        <f>IF(enrollment_table[[#This Row],[Enrollment Date]]="","",TEXT(enrollment_table[[#This Row],[Enrollment Date]],"mmmm"))</f>
        <v/>
      </c>
      <c r="R954" s="60"/>
    </row>
    <row r="955" spans="1:18" ht="15" x14ac:dyDescent="0.3">
      <c r="A955" s="129"/>
      <c r="B955" s="60"/>
      <c r="C955" s="55"/>
      <c r="D955" s="60"/>
      <c r="E955" s="103">
        <f>_xlfn.XLOOKUP(enrollment_table[[#This Row],[*Subject]], classes_table[*Subject], classes_table[Fee])</f>
        <v>0</v>
      </c>
      <c r="F955" s="58"/>
      <c r="G955" s="60"/>
      <c r="H955" s="55"/>
      <c r="I955" s="176">
        <f>_xlfn.XLOOKUP(enrollment_table[[#This Row],[*Teacher Name]], teachers_table[*Teacher Name], teachers_table[*Teacher ID])</f>
        <v>0</v>
      </c>
      <c r="J955" s="60"/>
      <c r="K955" s="60"/>
      <c r="L955" s="55"/>
      <c r="M955" s="60"/>
      <c r="N955" s="60"/>
      <c r="O955" s="55"/>
      <c r="P955" s="161"/>
      <c r="Q955" s="160" t="str">
        <f>IF(enrollment_table[[#This Row],[Enrollment Date]]="","",TEXT(enrollment_table[[#This Row],[Enrollment Date]],"mmmm"))</f>
        <v/>
      </c>
      <c r="R955" s="60"/>
    </row>
    <row r="956" spans="1:18" ht="15" x14ac:dyDescent="0.3">
      <c r="A956" s="129"/>
      <c r="B956" s="60"/>
      <c r="C956" s="55"/>
      <c r="D956" s="60"/>
      <c r="E956" s="103">
        <f>_xlfn.XLOOKUP(enrollment_table[[#This Row],[*Subject]], classes_table[*Subject], classes_table[Fee])</f>
        <v>0</v>
      </c>
      <c r="F956" s="58"/>
      <c r="G956" s="60"/>
      <c r="H956" s="55"/>
      <c r="I956" s="176">
        <f>_xlfn.XLOOKUP(enrollment_table[[#This Row],[*Teacher Name]], teachers_table[*Teacher Name], teachers_table[*Teacher ID])</f>
        <v>0</v>
      </c>
      <c r="J956" s="60"/>
      <c r="K956" s="60"/>
      <c r="L956" s="55"/>
      <c r="M956" s="60"/>
      <c r="N956" s="60"/>
      <c r="O956" s="55"/>
      <c r="P956" s="161"/>
      <c r="Q956" s="160" t="str">
        <f>IF(enrollment_table[[#This Row],[Enrollment Date]]="","",TEXT(enrollment_table[[#This Row],[Enrollment Date]],"mmmm"))</f>
        <v/>
      </c>
      <c r="R956" s="60"/>
    </row>
    <row r="957" spans="1:18" ht="15" x14ac:dyDescent="0.3">
      <c r="A957" s="129"/>
      <c r="B957" s="60"/>
      <c r="C957" s="55"/>
      <c r="D957" s="60"/>
      <c r="E957" s="103">
        <f>_xlfn.XLOOKUP(enrollment_table[[#This Row],[*Subject]], classes_table[*Subject], classes_table[Fee])</f>
        <v>0</v>
      </c>
      <c r="F957" s="58"/>
      <c r="G957" s="60"/>
      <c r="H957" s="55"/>
      <c r="I957" s="176">
        <f>_xlfn.XLOOKUP(enrollment_table[[#This Row],[*Teacher Name]], teachers_table[*Teacher Name], teachers_table[*Teacher ID])</f>
        <v>0</v>
      </c>
      <c r="J957" s="60"/>
      <c r="K957" s="60"/>
      <c r="L957" s="55"/>
      <c r="M957" s="60"/>
      <c r="N957" s="60"/>
      <c r="O957" s="55"/>
      <c r="P957" s="161"/>
      <c r="Q957" s="160" t="str">
        <f>IF(enrollment_table[[#This Row],[Enrollment Date]]="","",TEXT(enrollment_table[[#This Row],[Enrollment Date]],"mmmm"))</f>
        <v/>
      </c>
      <c r="R957" s="60"/>
    </row>
    <row r="958" spans="1:18" ht="15" x14ac:dyDescent="0.3">
      <c r="A958" s="129"/>
      <c r="B958" s="60"/>
      <c r="C958" s="55"/>
      <c r="D958" s="60"/>
      <c r="E958" s="103">
        <f>_xlfn.XLOOKUP(enrollment_table[[#This Row],[*Subject]], classes_table[*Subject], classes_table[Fee])</f>
        <v>0</v>
      </c>
      <c r="F958" s="58"/>
      <c r="G958" s="60"/>
      <c r="H958" s="55"/>
      <c r="I958" s="176">
        <f>_xlfn.XLOOKUP(enrollment_table[[#This Row],[*Teacher Name]], teachers_table[*Teacher Name], teachers_table[*Teacher ID])</f>
        <v>0</v>
      </c>
      <c r="J958" s="60"/>
      <c r="K958" s="60"/>
      <c r="L958" s="55"/>
      <c r="M958" s="60"/>
      <c r="N958" s="60"/>
      <c r="O958" s="55"/>
      <c r="P958" s="161"/>
      <c r="Q958" s="160" t="str">
        <f>IF(enrollment_table[[#This Row],[Enrollment Date]]="","",TEXT(enrollment_table[[#This Row],[Enrollment Date]],"mmmm"))</f>
        <v/>
      </c>
      <c r="R958" s="60"/>
    </row>
    <row r="959" spans="1:18" ht="15" x14ac:dyDescent="0.3">
      <c r="A959" s="129"/>
      <c r="B959" s="60"/>
      <c r="C959" s="55"/>
      <c r="D959" s="60"/>
      <c r="E959" s="103">
        <f>_xlfn.XLOOKUP(enrollment_table[[#This Row],[*Subject]], classes_table[*Subject], classes_table[Fee])</f>
        <v>0</v>
      </c>
      <c r="F959" s="58"/>
      <c r="G959" s="60"/>
      <c r="H959" s="55"/>
      <c r="I959" s="176">
        <f>_xlfn.XLOOKUP(enrollment_table[[#This Row],[*Teacher Name]], teachers_table[*Teacher Name], teachers_table[*Teacher ID])</f>
        <v>0</v>
      </c>
      <c r="J959" s="60"/>
      <c r="K959" s="60"/>
      <c r="L959" s="55"/>
      <c r="M959" s="60"/>
      <c r="N959" s="60"/>
      <c r="O959" s="55"/>
      <c r="P959" s="161"/>
      <c r="Q959" s="160" t="str">
        <f>IF(enrollment_table[[#This Row],[Enrollment Date]]="","",TEXT(enrollment_table[[#This Row],[Enrollment Date]],"mmmm"))</f>
        <v/>
      </c>
      <c r="R959" s="60"/>
    </row>
    <row r="960" spans="1:18" ht="15" x14ac:dyDescent="0.3">
      <c r="A960" s="129"/>
      <c r="B960" s="60"/>
      <c r="C960" s="55"/>
      <c r="D960" s="60"/>
      <c r="E960" s="103">
        <f>_xlfn.XLOOKUP(enrollment_table[[#This Row],[*Subject]], classes_table[*Subject], classes_table[Fee])</f>
        <v>0</v>
      </c>
      <c r="F960" s="58"/>
      <c r="G960" s="60"/>
      <c r="H960" s="55"/>
      <c r="I960" s="176">
        <f>_xlfn.XLOOKUP(enrollment_table[[#This Row],[*Teacher Name]], teachers_table[*Teacher Name], teachers_table[*Teacher ID])</f>
        <v>0</v>
      </c>
      <c r="J960" s="60"/>
      <c r="K960" s="60"/>
      <c r="L960" s="55"/>
      <c r="M960" s="60"/>
      <c r="N960" s="60"/>
      <c r="O960" s="55"/>
      <c r="P960" s="161"/>
      <c r="Q960" s="160" t="str">
        <f>IF(enrollment_table[[#This Row],[Enrollment Date]]="","",TEXT(enrollment_table[[#This Row],[Enrollment Date]],"mmmm"))</f>
        <v/>
      </c>
      <c r="R960" s="60"/>
    </row>
    <row r="961" spans="1:18" ht="15" x14ac:dyDescent="0.3">
      <c r="A961" s="129"/>
      <c r="B961" s="60"/>
      <c r="C961" s="55"/>
      <c r="D961" s="60"/>
      <c r="E961" s="103">
        <f>_xlfn.XLOOKUP(enrollment_table[[#This Row],[*Subject]], classes_table[*Subject], classes_table[Fee])</f>
        <v>0</v>
      </c>
      <c r="F961" s="58"/>
      <c r="G961" s="60"/>
      <c r="H961" s="55"/>
      <c r="I961" s="176">
        <f>_xlfn.XLOOKUP(enrollment_table[[#This Row],[*Teacher Name]], teachers_table[*Teacher Name], teachers_table[*Teacher ID])</f>
        <v>0</v>
      </c>
      <c r="J961" s="60"/>
      <c r="K961" s="60"/>
      <c r="L961" s="55"/>
      <c r="M961" s="60"/>
      <c r="N961" s="60"/>
      <c r="O961" s="55"/>
      <c r="P961" s="161"/>
      <c r="Q961" s="160" t="str">
        <f>IF(enrollment_table[[#This Row],[Enrollment Date]]="","",TEXT(enrollment_table[[#This Row],[Enrollment Date]],"mmmm"))</f>
        <v/>
      </c>
      <c r="R961" s="60"/>
    </row>
    <row r="962" spans="1:18" ht="15" x14ac:dyDescent="0.3">
      <c r="A962" s="129"/>
      <c r="B962" s="60"/>
      <c r="C962" s="55"/>
      <c r="D962" s="60"/>
      <c r="E962" s="103">
        <f>_xlfn.XLOOKUP(enrollment_table[[#This Row],[*Subject]], classes_table[*Subject], classes_table[Fee])</f>
        <v>0</v>
      </c>
      <c r="F962" s="58"/>
      <c r="G962" s="60"/>
      <c r="H962" s="55"/>
      <c r="I962" s="176">
        <f>_xlfn.XLOOKUP(enrollment_table[[#This Row],[*Teacher Name]], teachers_table[*Teacher Name], teachers_table[*Teacher ID])</f>
        <v>0</v>
      </c>
      <c r="J962" s="60"/>
      <c r="K962" s="60"/>
      <c r="L962" s="55"/>
      <c r="M962" s="60"/>
      <c r="N962" s="60"/>
      <c r="O962" s="55"/>
      <c r="P962" s="161"/>
      <c r="Q962" s="160" t="str">
        <f>IF(enrollment_table[[#This Row],[Enrollment Date]]="","",TEXT(enrollment_table[[#This Row],[Enrollment Date]],"mmmm"))</f>
        <v/>
      </c>
      <c r="R962" s="60"/>
    </row>
    <row r="963" spans="1:18" ht="15" x14ac:dyDescent="0.3">
      <c r="A963" s="129"/>
      <c r="B963" s="60"/>
      <c r="C963" s="55"/>
      <c r="D963" s="60"/>
      <c r="E963" s="103">
        <f>_xlfn.XLOOKUP(enrollment_table[[#This Row],[*Subject]], classes_table[*Subject], classes_table[Fee])</f>
        <v>0</v>
      </c>
      <c r="F963" s="58"/>
      <c r="G963" s="60"/>
      <c r="H963" s="55"/>
      <c r="I963" s="176">
        <f>_xlfn.XLOOKUP(enrollment_table[[#This Row],[*Teacher Name]], teachers_table[*Teacher Name], teachers_table[*Teacher ID])</f>
        <v>0</v>
      </c>
      <c r="J963" s="60"/>
      <c r="K963" s="60"/>
      <c r="L963" s="55"/>
      <c r="M963" s="60"/>
      <c r="N963" s="60"/>
      <c r="O963" s="55"/>
      <c r="P963" s="161"/>
      <c r="Q963" s="160" t="str">
        <f>IF(enrollment_table[[#This Row],[Enrollment Date]]="","",TEXT(enrollment_table[[#This Row],[Enrollment Date]],"mmmm"))</f>
        <v/>
      </c>
      <c r="R963" s="60"/>
    </row>
    <row r="964" spans="1:18" ht="15" x14ac:dyDescent="0.3">
      <c r="A964" s="129"/>
      <c r="B964" s="60"/>
      <c r="C964" s="55"/>
      <c r="D964" s="60"/>
      <c r="E964" s="103">
        <f>_xlfn.XLOOKUP(enrollment_table[[#This Row],[*Subject]], classes_table[*Subject], classes_table[Fee])</f>
        <v>0</v>
      </c>
      <c r="F964" s="58"/>
      <c r="G964" s="60"/>
      <c r="H964" s="55"/>
      <c r="I964" s="176">
        <f>_xlfn.XLOOKUP(enrollment_table[[#This Row],[*Teacher Name]], teachers_table[*Teacher Name], teachers_table[*Teacher ID])</f>
        <v>0</v>
      </c>
      <c r="J964" s="60"/>
      <c r="K964" s="60"/>
      <c r="L964" s="55"/>
      <c r="M964" s="60"/>
      <c r="N964" s="60"/>
      <c r="O964" s="55"/>
      <c r="P964" s="161"/>
      <c r="Q964" s="160" t="str">
        <f>IF(enrollment_table[[#This Row],[Enrollment Date]]="","",TEXT(enrollment_table[[#This Row],[Enrollment Date]],"mmmm"))</f>
        <v/>
      </c>
      <c r="R964" s="60"/>
    </row>
    <row r="965" spans="1:18" ht="15" x14ac:dyDescent="0.3">
      <c r="A965" s="129"/>
      <c r="B965" s="60"/>
      <c r="C965" s="55"/>
      <c r="D965" s="60"/>
      <c r="E965" s="103">
        <f>_xlfn.XLOOKUP(enrollment_table[[#This Row],[*Subject]], classes_table[*Subject], classes_table[Fee])</f>
        <v>0</v>
      </c>
      <c r="F965" s="58"/>
      <c r="G965" s="60"/>
      <c r="H965" s="55"/>
      <c r="I965" s="176">
        <f>_xlfn.XLOOKUP(enrollment_table[[#This Row],[*Teacher Name]], teachers_table[*Teacher Name], teachers_table[*Teacher ID])</f>
        <v>0</v>
      </c>
      <c r="J965" s="60"/>
      <c r="K965" s="60"/>
      <c r="L965" s="55"/>
      <c r="M965" s="60"/>
      <c r="N965" s="60"/>
      <c r="O965" s="55"/>
      <c r="P965" s="161"/>
      <c r="Q965" s="160" t="str">
        <f>IF(enrollment_table[[#This Row],[Enrollment Date]]="","",TEXT(enrollment_table[[#This Row],[Enrollment Date]],"mmmm"))</f>
        <v/>
      </c>
      <c r="R965" s="60"/>
    </row>
    <row r="966" spans="1:18" ht="15" x14ac:dyDescent="0.3">
      <c r="A966" s="129"/>
      <c r="B966" s="60"/>
      <c r="C966" s="55"/>
      <c r="D966" s="60"/>
      <c r="E966" s="103">
        <f>_xlfn.XLOOKUP(enrollment_table[[#This Row],[*Subject]], classes_table[*Subject], classes_table[Fee])</f>
        <v>0</v>
      </c>
      <c r="F966" s="58"/>
      <c r="G966" s="60"/>
      <c r="H966" s="55"/>
      <c r="I966" s="176">
        <f>_xlfn.XLOOKUP(enrollment_table[[#This Row],[*Teacher Name]], teachers_table[*Teacher Name], teachers_table[*Teacher ID])</f>
        <v>0</v>
      </c>
      <c r="J966" s="60"/>
      <c r="K966" s="60"/>
      <c r="L966" s="55"/>
      <c r="M966" s="60"/>
      <c r="N966" s="60"/>
      <c r="O966" s="55"/>
      <c r="P966" s="161"/>
      <c r="Q966" s="160" t="str">
        <f>IF(enrollment_table[[#This Row],[Enrollment Date]]="","",TEXT(enrollment_table[[#This Row],[Enrollment Date]],"mmmm"))</f>
        <v/>
      </c>
      <c r="R966" s="60"/>
    </row>
    <row r="967" spans="1:18" ht="15" x14ac:dyDescent="0.3">
      <c r="A967" s="129"/>
      <c r="B967" s="60"/>
      <c r="C967" s="55"/>
      <c r="D967" s="60"/>
      <c r="E967" s="103">
        <f>_xlfn.XLOOKUP(enrollment_table[[#This Row],[*Subject]], classes_table[*Subject], classes_table[Fee])</f>
        <v>0</v>
      </c>
      <c r="F967" s="58"/>
      <c r="G967" s="60"/>
      <c r="H967" s="55"/>
      <c r="I967" s="176">
        <f>_xlfn.XLOOKUP(enrollment_table[[#This Row],[*Teacher Name]], teachers_table[*Teacher Name], teachers_table[*Teacher ID])</f>
        <v>0</v>
      </c>
      <c r="J967" s="60"/>
      <c r="K967" s="60"/>
      <c r="L967" s="55"/>
      <c r="M967" s="60"/>
      <c r="N967" s="60"/>
      <c r="O967" s="55"/>
      <c r="P967" s="161"/>
      <c r="Q967" s="160" t="str">
        <f>IF(enrollment_table[[#This Row],[Enrollment Date]]="","",TEXT(enrollment_table[[#This Row],[Enrollment Date]],"mmmm"))</f>
        <v/>
      </c>
      <c r="R967" s="60"/>
    </row>
    <row r="968" spans="1:18" ht="15" x14ac:dyDescent="0.3">
      <c r="A968" s="129"/>
      <c r="B968" s="60"/>
      <c r="C968" s="55"/>
      <c r="D968" s="60"/>
      <c r="E968" s="103">
        <f>_xlfn.XLOOKUP(enrollment_table[[#This Row],[*Subject]], classes_table[*Subject], classes_table[Fee])</f>
        <v>0</v>
      </c>
      <c r="F968" s="58"/>
      <c r="G968" s="60"/>
      <c r="H968" s="55"/>
      <c r="I968" s="176">
        <f>_xlfn.XLOOKUP(enrollment_table[[#This Row],[*Teacher Name]], teachers_table[*Teacher Name], teachers_table[*Teacher ID])</f>
        <v>0</v>
      </c>
      <c r="J968" s="60"/>
      <c r="K968" s="60"/>
      <c r="L968" s="55"/>
      <c r="M968" s="60"/>
      <c r="N968" s="60"/>
      <c r="O968" s="55"/>
      <c r="P968" s="161"/>
      <c r="Q968" s="160" t="str">
        <f>IF(enrollment_table[[#This Row],[Enrollment Date]]="","",TEXT(enrollment_table[[#This Row],[Enrollment Date]],"mmmm"))</f>
        <v/>
      </c>
      <c r="R968" s="60"/>
    </row>
    <row r="969" spans="1:18" ht="15" x14ac:dyDescent="0.3">
      <c r="A969" s="129"/>
      <c r="B969" s="60"/>
      <c r="C969" s="55"/>
      <c r="D969" s="60"/>
      <c r="E969" s="103">
        <f>_xlfn.XLOOKUP(enrollment_table[[#This Row],[*Subject]], classes_table[*Subject], classes_table[Fee])</f>
        <v>0</v>
      </c>
      <c r="F969" s="58"/>
      <c r="G969" s="60"/>
      <c r="H969" s="55"/>
      <c r="I969" s="176">
        <f>_xlfn.XLOOKUP(enrollment_table[[#This Row],[*Teacher Name]], teachers_table[*Teacher Name], teachers_table[*Teacher ID])</f>
        <v>0</v>
      </c>
      <c r="J969" s="60"/>
      <c r="K969" s="60"/>
      <c r="L969" s="55"/>
      <c r="M969" s="60"/>
      <c r="N969" s="60"/>
      <c r="O969" s="55"/>
      <c r="P969" s="161"/>
      <c r="Q969" s="160" t="str">
        <f>IF(enrollment_table[[#This Row],[Enrollment Date]]="","",TEXT(enrollment_table[[#This Row],[Enrollment Date]],"mmmm"))</f>
        <v/>
      </c>
      <c r="R969" s="60"/>
    </row>
    <row r="970" spans="1:18" ht="15" x14ac:dyDescent="0.3">
      <c r="A970" s="129"/>
      <c r="B970" s="60"/>
      <c r="C970" s="55"/>
      <c r="D970" s="60"/>
      <c r="E970" s="103">
        <f>_xlfn.XLOOKUP(enrollment_table[[#This Row],[*Subject]], classes_table[*Subject], classes_table[Fee])</f>
        <v>0</v>
      </c>
      <c r="F970" s="58"/>
      <c r="G970" s="60"/>
      <c r="H970" s="55"/>
      <c r="I970" s="176">
        <f>_xlfn.XLOOKUP(enrollment_table[[#This Row],[*Teacher Name]], teachers_table[*Teacher Name], teachers_table[*Teacher ID])</f>
        <v>0</v>
      </c>
      <c r="J970" s="60"/>
      <c r="K970" s="60"/>
      <c r="L970" s="55"/>
      <c r="M970" s="60"/>
      <c r="N970" s="60"/>
      <c r="O970" s="55"/>
      <c r="P970" s="161"/>
      <c r="Q970" s="160" t="str">
        <f>IF(enrollment_table[[#This Row],[Enrollment Date]]="","",TEXT(enrollment_table[[#This Row],[Enrollment Date]],"mmmm"))</f>
        <v/>
      </c>
      <c r="R970" s="60"/>
    </row>
    <row r="971" spans="1:18" ht="15" x14ac:dyDescent="0.3">
      <c r="A971" s="129"/>
      <c r="B971" s="60"/>
      <c r="C971" s="55"/>
      <c r="D971" s="60"/>
      <c r="E971" s="103">
        <f>_xlfn.XLOOKUP(enrollment_table[[#This Row],[*Subject]], classes_table[*Subject], classes_table[Fee])</f>
        <v>0</v>
      </c>
      <c r="F971" s="58"/>
      <c r="G971" s="60"/>
      <c r="H971" s="55"/>
      <c r="I971" s="176">
        <f>_xlfn.XLOOKUP(enrollment_table[[#This Row],[*Teacher Name]], teachers_table[*Teacher Name], teachers_table[*Teacher ID])</f>
        <v>0</v>
      </c>
      <c r="J971" s="60"/>
      <c r="K971" s="60"/>
      <c r="L971" s="55"/>
      <c r="M971" s="60"/>
      <c r="N971" s="60"/>
      <c r="O971" s="55"/>
      <c r="P971" s="161"/>
      <c r="Q971" s="160" t="str">
        <f>IF(enrollment_table[[#This Row],[Enrollment Date]]="","",TEXT(enrollment_table[[#This Row],[Enrollment Date]],"mmmm"))</f>
        <v/>
      </c>
      <c r="R971" s="60"/>
    </row>
    <row r="972" spans="1:18" ht="15" x14ac:dyDescent="0.3">
      <c r="A972" s="129"/>
      <c r="B972" s="60"/>
      <c r="C972" s="55"/>
      <c r="D972" s="60"/>
      <c r="E972" s="103">
        <f>_xlfn.XLOOKUP(enrollment_table[[#This Row],[*Subject]], classes_table[*Subject], classes_table[Fee])</f>
        <v>0</v>
      </c>
      <c r="F972" s="58"/>
      <c r="G972" s="60"/>
      <c r="H972" s="55"/>
      <c r="I972" s="176">
        <f>_xlfn.XLOOKUP(enrollment_table[[#This Row],[*Teacher Name]], teachers_table[*Teacher Name], teachers_table[*Teacher ID])</f>
        <v>0</v>
      </c>
      <c r="J972" s="60"/>
      <c r="K972" s="60"/>
      <c r="L972" s="55"/>
      <c r="M972" s="60"/>
      <c r="N972" s="60"/>
      <c r="O972" s="55"/>
      <c r="P972" s="161"/>
      <c r="Q972" s="160" t="str">
        <f>IF(enrollment_table[[#This Row],[Enrollment Date]]="","",TEXT(enrollment_table[[#This Row],[Enrollment Date]],"mmmm"))</f>
        <v/>
      </c>
      <c r="R972" s="60"/>
    </row>
    <row r="973" spans="1:18" ht="15" x14ac:dyDescent="0.3">
      <c r="A973" s="129"/>
      <c r="B973" s="60"/>
      <c r="C973" s="55"/>
      <c r="D973" s="60"/>
      <c r="E973" s="103">
        <f>_xlfn.XLOOKUP(enrollment_table[[#This Row],[*Subject]], classes_table[*Subject], classes_table[Fee])</f>
        <v>0</v>
      </c>
      <c r="F973" s="58"/>
      <c r="G973" s="60"/>
      <c r="H973" s="55"/>
      <c r="I973" s="176">
        <f>_xlfn.XLOOKUP(enrollment_table[[#This Row],[*Teacher Name]], teachers_table[*Teacher Name], teachers_table[*Teacher ID])</f>
        <v>0</v>
      </c>
      <c r="J973" s="60"/>
      <c r="K973" s="60"/>
      <c r="L973" s="55"/>
      <c r="M973" s="60"/>
      <c r="N973" s="60"/>
      <c r="O973" s="55"/>
      <c r="P973" s="161"/>
      <c r="Q973" s="160" t="str">
        <f>IF(enrollment_table[[#This Row],[Enrollment Date]]="","",TEXT(enrollment_table[[#This Row],[Enrollment Date]],"mmmm"))</f>
        <v/>
      </c>
      <c r="R973" s="60"/>
    </row>
    <row r="974" spans="1:18" ht="15" x14ac:dyDescent="0.3">
      <c r="A974" s="129"/>
      <c r="B974" s="60"/>
      <c r="C974" s="55"/>
      <c r="D974" s="60"/>
      <c r="E974" s="103">
        <f>_xlfn.XLOOKUP(enrollment_table[[#This Row],[*Subject]], classes_table[*Subject], classes_table[Fee])</f>
        <v>0</v>
      </c>
      <c r="F974" s="58"/>
      <c r="G974" s="60"/>
      <c r="H974" s="55"/>
      <c r="I974" s="176">
        <f>_xlfn.XLOOKUP(enrollment_table[[#This Row],[*Teacher Name]], teachers_table[*Teacher Name], teachers_table[*Teacher ID])</f>
        <v>0</v>
      </c>
      <c r="J974" s="60"/>
      <c r="K974" s="60"/>
      <c r="L974" s="55"/>
      <c r="M974" s="60"/>
      <c r="N974" s="60"/>
      <c r="O974" s="55"/>
      <c r="P974" s="161"/>
      <c r="Q974" s="160" t="str">
        <f>IF(enrollment_table[[#This Row],[Enrollment Date]]="","",TEXT(enrollment_table[[#This Row],[Enrollment Date]],"mmmm"))</f>
        <v/>
      </c>
      <c r="R974" s="60"/>
    </row>
    <row r="975" spans="1:18" ht="15" x14ac:dyDescent="0.3">
      <c r="A975" s="129"/>
      <c r="B975" s="60"/>
      <c r="C975" s="55"/>
      <c r="D975" s="60"/>
      <c r="E975" s="103">
        <f>_xlfn.XLOOKUP(enrollment_table[[#This Row],[*Subject]], classes_table[*Subject], classes_table[Fee])</f>
        <v>0</v>
      </c>
      <c r="F975" s="58"/>
      <c r="G975" s="60"/>
      <c r="H975" s="55"/>
      <c r="I975" s="176">
        <f>_xlfn.XLOOKUP(enrollment_table[[#This Row],[*Teacher Name]], teachers_table[*Teacher Name], teachers_table[*Teacher ID])</f>
        <v>0</v>
      </c>
      <c r="J975" s="60"/>
      <c r="K975" s="60"/>
      <c r="L975" s="55"/>
      <c r="M975" s="60"/>
      <c r="N975" s="60"/>
      <c r="O975" s="55"/>
      <c r="P975" s="161"/>
      <c r="Q975" s="160" t="str">
        <f>IF(enrollment_table[[#This Row],[Enrollment Date]]="","",TEXT(enrollment_table[[#This Row],[Enrollment Date]],"mmmm"))</f>
        <v/>
      </c>
      <c r="R975" s="60"/>
    </row>
    <row r="976" spans="1:18" ht="15" x14ac:dyDescent="0.3">
      <c r="A976" s="129"/>
      <c r="B976" s="60"/>
      <c r="C976" s="55"/>
      <c r="D976" s="60"/>
      <c r="E976" s="103">
        <f>_xlfn.XLOOKUP(enrollment_table[[#This Row],[*Subject]], classes_table[*Subject], classes_table[Fee])</f>
        <v>0</v>
      </c>
      <c r="F976" s="58"/>
      <c r="G976" s="60"/>
      <c r="H976" s="55"/>
      <c r="I976" s="176">
        <f>_xlfn.XLOOKUP(enrollment_table[[#This Row],[*Teacher Name]], teachers_table[*Teacher Name], teachers_table[*Teacher ID])</f>
        <v>0</v>
      </c>
      <c r="J976" s="60"/>
      <c r="K976" s="60"/>
      <c r="L976" s="55"/>
      <c r="M976" s="60"/>
      <c r="N976" s="60"/>
      <c r="O976" s="55"/>
      <c r="P976" s="161"/>
      <c r="Q976" s="160" t="str">
        <f>IF(enrollment_table[[#This Row],[Enrollment Date]]="","",TEXT(enrollment_table[[#This Row],[Enrollment Date]],"mmmm"))</f>
        <v/>
      </c>
      <c r="R976" s="60"/>
    </row>
    <row r="977" spans="1:18" ht="15" x14ac:dyDescent="0.3">
      <c r="A977" s="129"/>
      <c r="B977" s="60"/>
      <c r="C977" s="55"/>
      <c r="D977" s="60"/>
      <c r="E977" s="103">
        <f>_xlfn.XLOOKUP(enrollment_table[[#This Row],[*Subject]], classes_table[*Subject], classes_table[Fee])</f>
        <v>0</v>
      </c>
      <c r="F977" s="58"/>
      <c r="G977" s="60"/>
      <c r="H977" s="55"/>
      <c r="I977" s="176">
        <f>_xlfn.XLOOKUP(enrollment_table[[#This Row],[*Teacher Name]], teachers_table[*Teacher Name], teachers_table[*Teacher ID])</f>
        <v>0</v>
      </c>
      <c r="J977" s="60"/>
      <c r="K977" s="60"/>
      <c r="L977" s="55"/>
      <c r="M977" s="60"/>
      <c r="N977" s="60"/>
      <c r="O977" s="55"/>
      <c r="P977" s="161"/>
      <c r="Q977" s="160" t="str">
        <f>IF(enrollment_table[[#This Row],[Enrollment Date]]="","",TEXT(enrollment_table[[#This Row],[Enrollment Date]],"mmmm"))</f>
        <v/>
      </c>
      <c r="R977" s="60"/>
    </row>
    <row r="978" spans="1:18" ht="15" x14ac:dyDescent="0.3">
      <c r="A978" s="129"/>
      <c r="B978" s="60"/>
      <c r="C978" s="55"/>
      <c r="D978" s="60"/>
      <c r="E978" s="103">
        <f>_xlfn.XLOOKUP(enrollment_table[[#This Row],[*Subject]], classes_table[*Subject], classes_table[Fee])</f>
        <v>0</v>
      </c>
      <c r="F978" s="58"/>
      <c r="G978" s="60"/>
      <c r="H978" s="55"/>
      <c r="I978" s="176">
        <f>_xlfn.XLOOKUP(enrollment_table[[#This Row],[*Teacher Name]], teachers_table[*Teacher Name], teachers_table[*Teacher ID])</f>
        <v>0</v>
      </c>
      <c r="J978" s="60"/>
      <c r="K978" s="60"/>
      <c r="L978" s="55"/>
      <c r="M978" s="60"/>
      <c r="N978" s="60"/>
      <c r="O978" s="55"/>
      <c r="P978" s="161"/>
      <c r="Q978" s="160" t="str">
        <f>IF(enrollment_table[[#This Row],[Enrollment Date]]="","",TEXT(enrollment_table[[#This Row],[Enrollment Date]],"mmmm"))</f>
        <v/>
      </c>
      <c r="R978" s="60"/>
    </row>
    <row r="979" spans="1:18" ht="15" x14ac:dyDescent="0.3">
      <c r="A979" s="129"/>
      <c r="B979" s="60"/>
      <c r="C979" s="55"/>
      <c r="D979" s="60"/>
      <c r="E979" s="103">
        <f>_xlfn.XLOOKUP(enrollment_table[[#This Row],[*Subject]], classes_table[*Subject], classes_table[Fee])</f>
        <v>0</v>
      </c>
      <c r="F979" s="58"/>
      <c r="G979" s="60"/>
      <c r="H979" s="55"/>
      <c r="I979" s="176">
        <f>_xlfn.XLOOKUP(enrollment_table[[#This Row],[*Teacher Name]], teachers_table[*Teacher Name], teachers_table[*Teacher ID])</f>
        <v>0</v>
      </c>
      <c r="J979" s="60"/>
      <c r="K979" s="60"/>
      <c r="L979" s="55"/>
      <c r="M979" s="60"/>
      <c r="N979" s="60"/>
      <c r="O979" s="55"/>
      <c r="P979" s="161"/>
      <c r="Q979" s="160" t="str">
        <f>IF(enrollment_table[[#This Row],[Enrollment Date]]="","",TEXT(enrollment_table[[#This Row],[Enrollment Date]],"mmmm"))</f>
        <v/>
      </c>
      <c r="R979" s="60"/>
    </row>
    <row r="980" spans="1:18" ht="15" x14ac:dyDescent="0.3">
      <c r="A980" s="129"/>
      <c r="B980" s="60"/>
      <c r="C980" s="55"/>
      <c r="D980" s="60"/>
      <c r="E980" s="103">
        <f>_xlfn.XLOOKUP(enrollment_table[[#This Row],[*Subject]], classes_table[*Subject], classes_table[Fee])</f>
        <v>0</v>
      </c>
      <c r="F980" s="58"/>
      <c r="G980" s="60"/>
      <c r="H980" s="55"/>
      <c r="I980" s="176">
        <f>_xlfn.XLOOKUP(enrollment_table[[#This Row],[*Teacher Name]], teachers_table[*Teacher Name], teachers_table[*Teacher ID])</f>
        <v>0</v>
      </c>
      <c r="J980" s="60"/>
      <c r="K980" s="60"/>
      <c r="L980" s="55"/>
      <c r="M980" s="60"/>
      <c r="N980" s="60"/>
      <c r="O980" s="55"/>
      <c r="P980" s="161"/>
      <c r="Q980" s="160" t="str">
        <f>IF(enrollment_table[[#This Row],[Enrollment Date]]="","",TEXT(enrollment_table[[#This Row],[Enrollment Date]],"mmmm"))</f>
        <v/>
      </c>
      <c r="R980" s="60"/>
    </row>
    <row r="981" spans="1:18" ht="15" x14ac:dyDescent="0.3">
      <c r="A981" s="129"/>
      <c r="B981" s="60"/>
      <c r="C981" s="55"/>
      <c r="D981" s="60"/>
      <c r="E981" s="103">
        <f>_xlfn.XLOOKUP(enrollment_table[[#This Row],[*Subject]], classes_table[*Subject], classes_table[Fee])</f>
        <v>0</v>
      </c>
      <c r="F981" s="58"/>
      <c r="G981" s="60"/>
      <c r="H981" s="55"/>
      <c r="I981" s="176">
        <f>_xlfn.XLOOKUP(enrollment_table[[#This Row],[*Teacher Name]], teachers_table[*Teacher Name], teachers_table[*Teacher ID])</f>
        <v>0</v>
      </c>
      <c r="J981" s="60"/>
      <c r="K981" s="60"/>
      <c r="L981" s="55"/>
      <c r="M981" s="60"/>
      <c r="N981" s="60"/>
      <c r="O981" s="55"/>
      <c r="P981" s="161"/>
      <c r="Q981" s="160" t="str">
        <f>IF(enrollment_table[[#This Row],[Enrollment Date]]="","",TEXT(enrollment_table[[#This Row],[Enrollment Date]],"mmmm"))</f>
        <v/>
      </c>
      <c r="R981" s="60"/>
    </row>
    <row r="982" spans="1:18" ht="15" x14ac:dyDescent="0.3">
      <c r="A982" s="129"/>
      <c r="B982" s="60"/>
      <c r="C982" s="55"/>
      <c r="D982" s="60"/>
      <c r="E982" s="103">
        <f>_xlfn.XLOOKUP(enrollment_table[[#This Row],[*Subject]], classes_table[*Subject], classes_table[Fee])</f>
        <v>0</v>
      </c>
      <c r="F982" s="58"/>
      <c r="G982" s="60"/>
      <c r="H982" s="55"/>
      <c r="I982" s="176">
        <f>_xlfn.XLOOKUP(enrollment_table[[#This Row],[*Teacher Name]], teachers_table[*Teacher Name], teachers_table[*Teacher ID])</f>
        <v>0</v>
      </c>
      <c r="J982" s="60"/>
      <c r="K982" s="60"/>
      <c r="L982" s="55"/>
      <c r="M982" s="60"/>
      <c r="N982" s="60"/>
      <c r="O982" s="55"/>
      <c r="P982" s="161"/>
      <c r="Q982" s="160" t="str">
        <f>IF(enrollment_table[[#This Row],[Enrollment Date]]="","",TEXT(enrollment_table[[#This Row],[Enrollment Date]],"mmmm"))</f>
        <v/>
      </c>
      <c r="R982" s="60"/>
    </row>
    <row r="983" spans="1:18" ht="15" x14ac:dyDescent="0.3">
      <c r="A983" s="129"/>
      <c r="B983" s="60"/>
      <c r="C983" s="55"/>
      <c r="D983" s="60"/>
      <c r="E983" s="103">
        <f>_xlfn.XLOOKUP(enrollment_table[[#This Row],[*Subject]], classes_table[*Subject], classes_table[Fee])</f>
        <v>0</v>
      </c>
      <c r="F983" s="58"/>
      <c r="G983" s="60"/>
      <c r="H983" s="55"/>
      <c r="I983" s="176">
        <f>_xlfn.XLOOKUP(enrollment_table[[#This Row],[*Teacher Name]], teachers_table[*Teacher Name], teachers_table[*Teacher ID])</f>
        <v>0</v>
      </c>
      <c r="J983" s="60"/>
      <c r="K983" s="60"/>
      <c r="L983" s="55"/>
      <c r="M983" s="60"/>
      <c r="N983" s="60"/>
      <c r="O983" s="55"/>
      <c r="P983" s="161"/>
      <c r="Q983" s="160" t="str">
        <f>IF(enrollment_table[[#This Row],[Enrollment Date]]="","",TEXT(enrollment_table[[#This Row],[Enrollment Date]],"mmmm"))</f>
        <v/>
      </c>
      <c r="R983" s="60"/>
    </row>
    <row r="984" spans="1:18" ht="15" x14ac:dyDescent="0.3">
      <c r="A984" s="129"/>
      <c r="B984" s="60"/>
      <c r="C984" s="55"/>
      <c r="D984" s="60"/>
      <c r="E984" s="103">
        <f>_xlfn.XLOOKUP(enrollment_table[[#This Row],[*Subject]], classes_table[*Subject], classes_table[Fee])</f>
        <v>0</v>
      </c>
      <c r="F984" s="58"/>
      <c r="G984" s="60"/>
      <c r="H984" s="55"/>
      <c r="I984" s="176">
        <f>_xlfn.XLOOKUP(enrollment_table[[#This Row],[*Teacher Name]], teachers_table[*Teacher Name], teachers_table[*Teacher ID])</f>
        <v>0</v>
      </c>
      <c r="J984" s="60"/>
      <c r="K984" s="60"/>
      <c r="L984" s="55"/>
      <c r="M984" s="60"/>
      <c r="N984" s="60"/>
      <c r="O984" s="55"/>
      <c r="P984" s="161"/>
      <c r="Q984" s="160" t="str">
        <f>IF(enrollment_table[[#This Row],[Enrollment Date]]="","",TEXT(enrollment_table[[#This Row],[Enrollment Date]],"mmmm"))</f>
        <v/>
      </c>
      <c r="R984" s="60"/>
    </row>
    <row r="985" spans="1:18" ht="15" x14ac:dyDescent="0.3">
      <c r="A985" s="129"/>
      <c r="B985" s="60"/>
      <c r="C985" s="55"/>
      <c r="D985" s="60"/>
      <c r="E985" s="103">
        <f>_xlfn.XLOOKUP(enrollment_table[[#This Row],[*Subject]], classes_table[*Subject], classes_table[Fee])</f>
        <v>0</v>
      </c>
      <c r="F985" s="58"/>
      <c r="G985" s="60"/>
      <c r="H985" s="55"/>
      <c r="I985" s="176">
        <f>_xlfn.XLOOKUP(enrollment_table[[#This Row],[*Teacher Name]], teachers_table[*Teacher Name], teachers_table[*Teacher ID])</f>
        <v>0</v>
      </c>
      <c r="J985" s="60"/>
      <c r="K985" s="60"/>
      <c r="L985" s="55"/>
      <c r="M985" s="60"/>
      <c r="N985" s="60"/>
      <c r="O985" s="55"/>
      <c r="P985" s="161"/>
      <c r="Q985" s="160" t="str">
        <f>IF(enrollment_table[[#This Row],[Enrollment Date]]="","",TEXT(enrollment_table[[#This Row],[Enrollment Date]],"mmmm"))</f>
        <v/>
      </c>
      <c r="R985" s="60"/>
    </row>
    <row r="986" spans="1:18" ht="15" x14ac:dyDescent="0.3">
      <c r="A986" s="129"/>
      <c r="B986" s="60"/>
      <c r="C986" s="55"/>
      <c r="D986" s="60"/>
      <c r="E986" s="103">
        <f>_xlfn.XLOOKUP(enrollment_table[[#This Row],[*Subject]], classes_table[*Subject], classes_table[Fee])</f>
        <v>0</v>
      </c>
      <c r="F986" s="58"/>
      <c r="G986" s="60"/>
      <c r="H986" s="55"/>
      <c r="I986" s="176">
        <f>_xlfn.XLOOKUP(enrollment_table[[#This Row],[*Teacher Name]], teachers_table[*Teacher Name], teachers_table[*Teacher ID])</f>
        <v>0</v>
      </c>
      <c r="J986" s="60"/>
      <c r="K986" s="60"/>
      <c r="L986" s="55"/>
      <c r="M986" s="60"/>
      <c r="N986" s="60"/>
      <c r="O986" s="55"/>
      <c r="P986" s="161"/>
      <c r="Q986" s="160" t="str">
        <f>IF(enrollment_table[[#This Row],[Enrollment Date]]="","",TEXT(enrollment_table[[#This Row],[Enrollment Date]],"mmmm"))</f>
        <v/>
      </c>
      <c r="R986" s="60"/>
    </row>
    <row r="987" spans="1:18" ht="15" x14ac:dyDescent="0.3">
      <c r="A987" s="129"/>
      <c r="B987" s="60"/>
      <c r="C987" s="55"/>
      <c r="D987" s="60"/>
      <c r="E987" s="103">
        <f>_xlfn.XLOOKUP(enrollment_table[[#This Row],[*Subject]], classes_table[*Subject], classes_table[Fee])</f>
        <v>0</v>
      </c>
      <c r="F987" s="58"/>
      <c r="G987" s="60"/>
      <c r="H987" s="55"/>
      <c r="I987" s="176">
        <f>_xlfn.XLOOKUP(enrollment_table[[#This Row],[*Teacher Name]], teachers_table[*Teacher Name], teachers_table[*Teacher ID])</f>
        <v>0</v>
      </c>
      <c r="J987" s="60"/>
      <c r="K987" s="60"/>
      <c r="L987" s="55"/>
      <c r="M987" s="60"/>
      <c r="N987" s="60"/>
      <c r="O987" s="55"/>
      <c r="P987" s="161"/>
      <c r="Q987" s="160" t="str">
        <f>IF(enrollment_table[[#This Row],[Enrollment Date]]="","",TEXT(enrollment_table[[#This Row],[Enrollment Date]],"mmmm"))</f>
        <v/>
      </c>
      <c r="R987" s="60"/>
    </row>
    <row r="988" spans="1:18" ht="15" x14ac:dyDescent="0.3">
      <c r="A988" s="129"/>
      <c r="B988" s="60"/>
      <c r="C988" s="55"/>
      <c r="D988" s="60"/>
      <c r="E988" s="103">
        <f>_xlfn.XLOOKUP(enrollment_table[[#This Row],[*Subject]], classes_table[*Subject], classes_table[Fee])</f>
        <v>0</v>
      </c>
      <c r="F988" s="58"/>
      <c r="G988" s="60"/>
      <c r="H988" s="55"/>
      <c r="I988" s="176">
        <f>_xlfn.XLOOKUP(enrollment_table[[#This Row],[*Teacher Name]], teachers_table[*Teacher Name], teachers_table[*Teacher ID])</f>
        <v>0</v>
      </c>
      <c r="J988" s="60"/>
      <c r="K988" s="60"/>
      <c r="L988" s="55"/>
      <c r="M988" s="60"/>
      <c r="N988" s="60"/>
      <c r="O988" s="55"/>
      <c r="P988" s="161"/>
      <c r="Q988" s="160" t="str">
        <f>IF(enrollment_table[[#This Row],[Enrollment Date]]="","",TEXT(enrollment_table[[#This Row],[Enrollment Date]],"mmmm"))</f>
        <v/>
      </c>
      <c r="R988" s="60"/>
    </row>
    <row r="989" spans="1:18" ht="15" x14ac:dyDescent="0.3">
      <c r="A989" s="129"/>
      <c r="B989" s="60"/>
      <c r="C989" s="55"/>
      <c r="D989" s="60"/>
      <c r="E989" s="103">
        <f>_xlfn.XLOOKUP(enrollment_table[[#This Row],[*Subject]], classes_table[*Subject], classes_table[Fee])</f>
        <v>0</v>
      </c>
      <c r="F989" s="58"/>
      <c r="G989" s="60"/>
      <c r="H989" s="55"/>
      <c r="I989" s="176">
        <f>_xlfn.XLOOKUP(enrollment_table[[#This Row],[*Teacher Name]], teachers_table[*Teacher Name], teachers_table[*Teacher ID])</f>
        <v>0</v>
      </c>
      <c r="J989" s="60"/>
      <c r="K989" s="60"/>
      <c r="L989" s="55"/>
      <c r="M989" s="60"/>
      <c r="N989" s="60"/>
      <c r="O989" s="55"/>
      <c r="P989" s="161"/>
      <c r="Q989" s="160" t="str">
        <f>IF(enrollment_table[[#This Row],[Enrollment Date]]="","",TEXT(enrollment_table[[#This Row],[Enrollment Date]],"mmmm"))</f>
        <v/>
      </c>
      <c r="R989" s="60"/>
    </row>
    <row r="990" spans="1:18" ht="15" x14ac:dyDescent="0.3">
      <c r="A990" s="129"/>
      <c r="B990" s="60"/>
      <c r="C990" s="55"/>
      <c r="D990" s="60"/>
      <c r="E990" s="103">
        <f>_xlfn.XLOOKUP(enrollment_table[[#This Row],[*Subject]], classes_table[*Subject], classes_table[Fee])</f>
        <v>0</v>
      </c>
      <c r="F990" s="58"/>
      <c r="G990" s="60"/>
      <c r="H990" s="55"/>
      <c r="I990" s="176">
        <f>_xlfn.XLOOKUP(enrollment_table[[#This Row],[*Teacher Name]], teachers_table[*Teacher Name], teachers_table[*Teacher ID])</f>
        <v>0</v>
      </c>
      <c r="J990" s="60"/>
      <c r="K990" s="60"/>
      <c r="L990" s="55"/>
      <c r="M990" s="60"/>
      <c r="N990" s="60"/>
      <c r="O990" s="55"/>
      <c r="P990" s="161"/>
      <c r="Q990" s="160" t="str">
        <f>IF(enrollment_table[[#This Row],[Enrollment Date]]="","",TEXT(enrollment_table[[#This Row],[Enrollment Date]],"mmmm"))</f>
        <v/>
      </c>
      <c r="R990" s="60"/>
    </row>
    <row r="991" spans="1:18" ht="15" x14ac:dyDescent="0.3">
      <c r="A991" s="129"/>
      <c r="B991" s="60"/>
      <c r="C991" s="55"/>
      <c r="D991" s="60"/>
      <c r="E991" s="103">
        <f>_xlfn.XLOOKUP(enrollment_table[[#This Row],[*Subject]], classes_table[*Subject], classes_table[Fee])</f>
        <v>0</v>
      </c>
      <c r="F991" s="58"/>
      <c r="G991" s="60"/>
      <c r="H991" s="55"/>
      <c r="I991" s="176">
        <f>_xlfn.XLOOKUP(enrollment_table[[#This Row],[*Teacher Name]], teachers_table[*Teacher Name], teachers_table[*Teacher ID])</f>
        <v>0</v>
      </c>
      <c r="J991" s="60"/>
      <c r="K991" s="60"/>
      <c r="L991" s="55"/>
      <c r="M991" s="60"/>
      <c r="N991" s="60"/>
      <c r="O991" s="55"/>
      <c r="P991" s="161"/>
      <c r="Q991" s="160" t="str">
        <f>IF(enrollment_table[[#This Row],[Enrollment Date]]="","",TEXT(enrollment_table[[#This Row],[Enrollment Date]],"mmmm"))</f>
        <v/>
      </c>
      <c r="R991" s="60"/>
    </row>
    <row r="992" spans="1:18" ht="15" x14ac:dyDescent="0.3">
      <c r="A992" s="129"/>
      <c r="B992" s="60"/>
      <c r="C992" s="55"/>
      <c r="D992" s="60"/>
      <c r="E992" s="103">
        <f>_xlfn.XLOOKUP(enrollment_table[[#This Row],[*Subject]], classes_table[*Subject], classes_table[Fee])</f>
        <v>0</v>
      </c>
      <c r="F992" s="58"/>
      <c r="G992" s="60"/>
      <c r="H992" s="55"/>
      <c r="I992" s="176">
        <f>_xlfn.XLOOKUP(enrollment_table[[#This Row],[*Teacher Name]], teachers_table[*Teacher Name], teachers_table[*Teacher ID])</f>
        <v>0</v>
      </c>
      <c r="J992" s="60"/>
      <c r="K992" s="60"/>
      <c r="L992" s="55"/>
      <c r="M992" s="60"/>
      <c r="N992" s="60"/>
      <c r="O992" s="55"/>
      <c r="P992" s="161"/>
      <c r="Q992" s="160" t="str">
        <f>IF(enrollment_table[[#This Row],[Enrollment Date]]="","",TEXT(enrollment_table[[#This Row],[Enrollment Date]],"mmmm"))</f>
        <v/>
      </c>
      <c r="R992" s="60"/>
    </row>
    <row r="993" spans="1:18" ht="15" x14ac:dyDescent="0.3">
      <c r="A993" s="129"/>
      <c r="B993" s="60"/>
      <c r="C993" s="55"/>
      <c r="D993" s="60"/>
      <c r="E993" s="103">
        <f>_xlfn.XLOOKUP(enrollment_table[[#This Row],[*Subject]], classes_table[*Subject], classes_table[Fee])</f>
        <v>0</v>
      </c>
      <c r="F993" s="58"/>
      <c r="G993" s="60"/>
      <c r="H993" s="55"/>
      <c r="I993" s="176">
        <f>_xlfn.XLOOKUP(enrollment_table[[#This Row],[*Teacher Name]], teachers_table[*Teacher Name], teachers_table[*Teacher ID])</f>
        <v>0</v>
      </c>
      <c r="J993" s="60"/>
      <c r="K993" s="60"/>
      <c r="L993" s="55"/>
      <c r="M993" s="60"/>
      <c r="N993" s="60"/>
      <c r="O993" s="55"/>
      <c r="P993" s="161"/>
      <c r="Q993" s="160" t="str">
        <f>IF(enrollment_table[[#This Row],[Enrollment Date]]="","",TEXT(enrollment_table[[#This Row],[Enrollment Date]],"mmmm"))</f>
        <v/>
      </c>
      <c r="R993" s="60"/>
    </row>
    <row r="994" spans="1:18" ht="15" x14ac:dyDescent="0.3">
      <c r="A994" s="129"/>
      <c r="B994" s="60"/>
      <c r="C994" s="55"/>
      <c r="D994" s="60"/>
      <c r="E994" s="103">
        <f>_xlfn.XLOOKUP(enrollment_table[[#This Row],[*Subject]], classes_table[*Subject], classes_table[Fee])</f>
        <v>0</v>
      </c>
      <c r="F994" s="58"/>
      <c r="G994" s="60"/>
      <c r="H994" s="55"/>
      <c r="I994" s="176">
        <f>_xlfn.XLOOKUP(enrollment_table[[#This Row],[*Teacher Name]], teachers_table[*Teacher Name], teachers_table[*Teacher ID])</f>
        <v>0</v>
      </c>
      <c r="J994" s="60"/>
      <c r="K994" s="60"/>
      <c r="L994" s="55"/>
      <c r="M994" s="60"/>
      <c r="N994" s="60"/>
      <c r="O994" s="55"/>
      <c r="P994" s="161"/>
      <c r="Q994" s="160" t="str">
        <f>IF(enrollment_table[[#This Row],[Enrollment Date]]="","",TEXT(enrollment_table[[#This Row],[Enrollment Date]],"mmmm"))</f>
        <v/>
      </c>
      <c r="R994" s="60"/>
    </row>
    <row r="995" spans="1:18" ht="15" x14ac:dyDescent="0.3">
      <c r="A995" s="129"/>
      <c r="B995" s="60"/>
      <c r="C995" s="55"/>
      <c r="D995" s="60"/>
      <c r="E995" s="103">
        <f>_xlfn.XLOOKUP(enrollment_table[[#This Row],[*Subject]], classes_table[*Subject], classes_table[Fee])</f>
        <v>0</v>
      </c>
      <c r="F995" s="58"/>
      <c r="G995" s="60"/>
      <c r="H995" s="55"/>
      <c r="I995" s="176">
        <f>_xlfn.XLOOKUP(enrollment_table[[#This Row],[*Teacher Name]], teachers_table[*Teacher Name], teachers_table[*Teacher ID])</f>
        <v>0</v>
      </c>
      <c r="J995" s="60"/>
      <c r="K995" s="60"/>
      <c r="L995" s="55"/>
      <c r="M995" s="60"/>
      <c r="N995" s="60"/>
      <c r="O995" s="55"/>
      <c r="P995" s="161"/>
      <c r="Q995" s="160" t="str">
        <f>IF(enrollment_table[[#This Row],[Enrollment Date]]="","",TEXT(enrollment_table[[#This Row],[Enrollment Date]],"mmmm"))</f>
        <v/>
      </c>
      <c r="R995" s="60"/>
    </row>
    <row r="996" spans="1:18" ht="15" x14ac:dyDescent="0.3">
      <c r="A996" s="129"/>
      <c r="B996" s="60"/>
      <c r="C996" s="55"/>
      <c r="D996" s="60"/>
      <c r="E996" s="103">
        <f>_xlfn.XLOOKUP(enrollment_table[[#This Row],[*Subject]], classes_table[*Subject], classes_table[Fee])</f>
        <v>0</v>
      </c>
      <c r="F996" s="58"/>
      <c r="G996" s="60"/>
      <c r="H996" s="55"/>
      <c r="I996" s="176">
        <f>_xlfn.XLOOKUP(enrollment_table[[#This Row],[*Teacher Name]], teachers_table[*Teacher Name], teachers_table[*Teacher ID])</f>
        <v>0</v>
      </c>
      <c r="J996" s="60"/>
      <c r="K996" s="60"/>
      <c r="L996" s="55"/>
      <c r="M996" s="60"/>
      <c r="N996" s="60"/>
      <c r="O996" s="55"/>
      <c r="P996" s="161"/>
      <c r="Q996" s="160" t="str">
        <f>IF(enrollment_table[[#This Row],[Enrollment Date]]="","",TEXT(enrollment_table[[#This Row],[Enrollment Date]],"mmmm"))</f>
        <v/>
      </c>
      <c r="R996" s="60"/>
    </row>
    <row r="997" spans="1:18" ht="15" x14ac:dyDescent="0.3">
      <c r="A997" s="129"/>
      <c r="B997" s="60"/>
      <c r="C997" s="55"/>
      <c r="D997" s="60"/>
      <c r="E997" s="103">
        <f>_xlfn.XLOOKUP(enrollment_table[[#This Row],[*Subject]], classes_table[*Subject], classes_table[Fee])</f>
        <v>0</v>
      </c>
      <c r="F997" s="58"/>
      <c r="G997" s="60"/>
      <c r="H997" s="55"/>
      <c r="I997" s="176">
        <f>_xlfn.XLOOKUP(enrollment_table[[#This Row],[*Teacher Name]], teachers_table[*Teacher Name], teachers_table[*Teacher ID])</f>
        <v>0</v>
      </c>
      <c r="J997" s="60"/>
      <c r="K997" s="60"/>
      <c r="L997" s="55"/>
      <c r="M997" s="60"/>
      <c r="N997" s="60"/>
      <c r="O997" s="55"/>
      <c r="P997" s="161"/>
      <c r="Q997" s="160" t="str">
        <f>IF(enrollment_table[[#This Row],[Enrollment Date]]="","",TEXT(enrollment_table[[#This Row],[Enrollment Date]],"mmmm"))</f>
        <v/>
      </c>
      <c r="R997" s="60"/>
    </row>
    <row r="998" spans="1:18" ht="15" x14ac:dyDescent="0.3">
      <c r="A998" s="129"/>
      <c r="B998" s="60"/>
      <c r="C998" s="55"/>
      <c r="D998" s="60"/>
      <c r="E998" s="103">
        <f>_xlfn.XLOOKUP(enrollment_table[[#This Row],[*Subject]], classes_table[*Subject], classes_table[Fee])</f>
        <v>0</v>
      </c>
      <c r="F998" s="58"/>
      <c r="G998" s="60"/>
      <c r="H998" s="55"/>
      <c r="I998" s="176">
        <f>_xlfn.XLOOKUP(enrollment_table[[#This Row],[*Teacher Name]], teachers_table[*Teacher Name], teachers_table[*Teacher ID])</f>
        <v>0</v>
      </c>
      <c r="J998" s="60"/>
      <c r="K998" s="60"/>
      <c r="L998" s="55"/>
      <c r="M998" s="60"/>
      <c r="N998" s="60"/>
      <c r="O998" s="55"/>
      <c r="P998" s="161"/>
      <c r="Q998" s="160" t="str">
        <f>IF(enrollment_table[[#This Row],[Enrollment Date]]="","",TEXT(enrollment_table[[#This Row],[Enrollment Date]],"mmmm"))</f>
        <v/>
      </c>
      <c r="R998" s="60"/>
    </row>
    <row r="999" spans="1:18" ht="15" x14ac:dyDescent="0.3">
      <c r="A999" s="129"/>
      <c r="B999" s="60"/>
      <c r="C999" s="55"/>
      <c r="D999" s="60"/>
      <c r="E999" s="103">
        <f>_xlfn.XLOOKUP(enrollment_table[[#This Row],[*Subject]], classes_table[*Subject], classes_table[Fee])</f>
        <v>0</v>
      </c>
      <c r="F999" s="58"/>
      <c r="G999" s="60"/>
      <c r="H999" s="55"/>
      <c r="I999" s="176">
        <f>_xlfn.XLOOKUP(enrollment_table[[#This Row],[*Teacher Name]], teachers_table[*Teacher Name], teachers_table[*Teacher ID])</f>
        <v>0</v>
      </c>
      <c r="J999" s="60"/>
      <c r="K999" s="60"/>
      <c r="L999" s="55"/>
      <c r="M999" s="60"/>
      <c r="N999" s="60"/>
      <c r="O999" s="55"/>
      <c r="P999" s="161"/>
      <c r="Q999" s="160" t="str">
        <f>IF(enrollment_table[[#This Row],[Enrollment Date]]="","",TEXT(enrollment_table[[#This Row],[Enrollment Date]],"mmmm"))</f>
        <v/>
      </c>
      <c r="R999" s="60"/>
    </row>
    <row r="1000" spans="1:18" ht="15" x14ac:dyDescent="0.3">
      <c r="A1000" s="129"/>
      <c r="B1000" s="60"/>
      <c r="C1000" s="55"/>
      <c r="D1000" s="60"/>
      <c r="E1000" s="103">
        <f>_xlfn.XLOOKUP(enrollment_table[[#This Row],[*Subject]], classes_table[*Subject], classes_table[Fee])</f>
        <v>0</v>
      </c>
      <c r="F1000" s="58"/>
      <c r="G1000" s="60"/>
      <c r="H1000" s="55"/>
      <c r="I1000" s="176">
        <f>_xlfn.XLOOKUP(enrollment_table[[#This Row],[*Teacher Name]], teachers_table[*Teacher Name], teachers_table[*Teacher ID])</f>
        <v>0</v>
      </c>
      <c r="J1000" s="60"/>
      <c r="K1000" s="60"/>
      <c r="L1000" s="55"/>
      <c r="M1000" s="60"/>
      <c r="N1000" s="60"/>
      <c r="O1000" s="55"/>
      <c r="P1000" s="161"/>
      <c r="Q1000" s="160" t="str">
        <f>IF(enrollment_table[[#This Row],[Enrollment Date]]="","",TEXT(enrollment_table[[#This Row],[Enrollment Date]],"mmmm"))</f>
        <v/>
      </c>
      <c r="R1000" s="60"/>
    </row>
  </sheetData>
  <mergeCells count="11">
    <mergeCell ref="X4:Z4"/>
    <mergeCell ref="AC4:AE4"/>
    <mergeCell ref="AF4:AH4"/>
    <mergeCell ref="T1:W1"/>
    <mergeCell ref="T2:U2"/>
    <mergeCell ref="V2:W2"/>
    <mergeCell ref="J1:L1"/>
    <mergeCell ref="M1:O1"/>
    <mergeCell ref="A1:C1"/>
    <mergeCell ref="E1:G1"/>
    <mergeCell ref="T4:V4"/>
  </mergeCells>
  <phoneticPr fontId="5" type="noConversion"/>
  <dataValidations count="2">
    <dataValidation type="list" allowBlank="1" showInputMessage="1" showErrorMessage="1" sqref="G3:G1000" xr:uid="{DA0AAB8F-B0A9-44A4-AC57-B5A7A32F4CB3}">
      <formula1>"male, female"</formula1>
    </dataValidation>
    <dataValidation type="custom" allowBlank="1" showInputMessage="1" showErrorMessage="1" errorTitle="invalid number entered" error="Please enter a number with 10 digits" sqref="F3:F1000" xr:uid="{5E2866A1-4BCC-4181-8F68-EB1FE2F8BC70}">
      <formula1>AND(LEN(F3)=10,ISNUMBER(--F3))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E1DFE5-2D0E-465C-B6D1-DF25BC713285}">
          <x14:formula1>
            <xm:f>Teachers!$B$2:$B$17</xm:f>
          </x14:formula1>
          <xm:sqref>H3:H1000</xm:sqref>
        </x14:dataValidation>
        <x14:dataValidation type="list" allowBlank="1" showInputMessage="1" showErrorMessage="1" xr:uid="{3E530E8C-1BBC-4789-80CF-3079D5E58526}">
          <x14:formula1>
            <xm:f>Classes!$H$3:$H$24</xm:f>
          </x14:formula1>
          <xm:sqref>C3:C1000</xm:sqref>
        </x14:dataValidation>
        <x14:dataValidation type="list" allowBlank="1" showInputMessage="1" showErrorMessage="1" xr:uid="{FAFAE6BC-95DE-44AA-B4BE-7BC9190AF8D9}">
          <x14:formula1>
            <xm:f>Hidden_Data!$A$2:$A$35</xm:f>
          </x14:formula1>
          <xm:sqref>O3:O1000 L3:L1000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42CD7-19B9-4B94-B0C6-D6FBE0C91675}">
  <sheetPr codeName="Sheet22"/>
  <dimension ref="B1:I17"/>
  <sheetViews>
    <sheetView showGridLines="0" zoomScaleNormal="100" workbookViewId="0">
      <selection activeCell="L5" sqref="L5"/>
    </sheetView>
  </sheetViews>
  <sheetFormatPr defaultRowHeight="14.4" x14ac:dyDescent="0.3"/>
  <cols>
    <col min="1" max="1" width="4.44140625" customWidth="1"/>
    <col min="2" max="2" width="20.33203125" customWidth="1"/>
    <col min="3" max="3" width="27.88671875" customWidth="1"/>
    <col min="4" max="4" width="4.33203125" customWidth="1"/>
  </cols>
  <sheetData>
    <row r="1" spans="2:9" ht="22.2" customHeight="1" x14ac:dyDescent="0.3">
      <c r="H1" s="130"/>
    </row>
    <row r="2" spans="2:9" ht="31.2" x14ac:dyDescent="0.6">
      <c r="B2" s="297"/>
      <c r="C2" s="298"/>
    </row>
    <row r="3" spans="2:9" ht="56.4" customHeight="1" x14ac:dyDescent="0.3">
      <c r="B3" s="299"/>
      <c r="C3" s="299"/>
      <c r="I3" s="122"/>
    </row>
    <row r="4" spans="2:9" ht="19.2" customHeight="1" x14ac:dyDescent="0.3">
      <c r="B4" s="300" t="s">
        <v>125</v>
      </c>
      <c r="C4" s="300"/>
    </row>
    <row r="5" spans="2:9" ht="21.6" customHeight="1" x14ac:dyDescent="0.3">
      <c r="B5" s="272" t="s">
        <v>166</v>
      </c>
      <c r="C5" s="273"/>
    </row>
    <row r="6" spans="2:9" ht="21.6" customHeight="1" x14ac:dyDescent="0.3">
      <c r="B6" s="274" t="s">
        <v>126</v>
      </c>
      <c r="C6" s="274"/>
    </row>
    <row r="7" spans="2:9" ht="21.6" customHeight="1" x14ac:dyDescent="0.3">
      <c r="B7" s="274" t="s">
        <v>127</v>
      </c>
      <c r="C7" s="274"/>
    </row>
    <row r="8" spans="2:9" ht="21.6" customHeight="1" x14ac:dyDescent="0.3">
      <c r="B8" s="274" t="s">
        <v>27</v>
      </c>
      <c r="C8" s="274"/>
    </row>
    <row r="9" spans="2:9" ht="21.6" customHeight="1" x14ac:dyDescent="0.3">
      <c r="B9" s="274" t="s">
        <v>128</v>
      </c>
      <c r="C9" s="274"/>
    </row>
    <row r="10" spans="2:9" ht="21.6" customHeight="1" x14ac:dyDescent="0.3">
      <c r="B10" s="274" t="s">
        <v>129</v>
      </c>
      <c r="C10" s="275">
        <v>0</v>
      </c>
    </row>
    <row r="11" spans="2:9" ht="21.6" customHeight="1" x14ac:dyDescent="0.3">
      <c r="B11" s="274" t="s">
        <v>130</v>
      </c>
      <c r="C11" s="276">
        <v>0</v>
      </c>
    </row>
    <row r="12" spans="2:9" ht="21.6" customHeight="1" x14ac:dyDescent="0.3">
      <c r="B12" s="274" t="s">
        <v>131</v>
      </c>
      <c r="C12" s="276">
        <v>0</v>
      </c>
    </row>
    <row r="13" spans="2:9" ht="75.599999999999994" customHeight="1" x14ac:dyDescent="0.3">
      <c r="B13" s="301" t="s">
        <v>132</v>
      </c>
      <c r="C13" s="301"/>
    </row>
    <row r="14" spans="2:9" ht="19.8" customHeight="1" x14ac:dyDescent="0.55000000000000004">
      <c r="B14" s="302" t="s">
        <v>274</v>
      </c>
      <c r="C14" s="302"/>
    </row>
    <row r="15" spans="2:9" ht="19.8" customHeight="1" x14ac:dyDescent="0.55000000000000004">
      <c r="B15" s="303" t="s">
        <v>275</v>
      </c>
      <c r="C15" s="303"/>
    </row>
    <row r="16" spans="2:9" ht="19.8" customHeight="1" x14ac:dyDescent="0.3">
      <c r="B16" s="296" t="s">
        <v>276</v>
      </c>
      <c r="C16" s="296"/>
    </row>
    <row r="17" ht="14.4" customHeight="1" x14ac:dyDescent="0.3"/>
  </sheetData>
  <mergeCells count="7">
    <mergeCell ref="B16:C16"/>
    <mergeCell ref="B2:C2"/>
    <mergeCell ref="B3:C3"/>
    <mergeCell ref="B4:C4"/>
    <mergeCell ref="B13:C13"/>
    <mergeCell ref="B14:C14"/>
    <mergeCell ref="B15:C15"/>
  </mergeCells>
  <pageMargins left="0" right="0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6C56D-2DE0-4CC8-92A3-320291BF9E64}">
  <sheetPr codeName="Sheet23">
    <tabColor rgb="FFFFB3B3"/>
  </sheetPr>
  <dimension ref="A1:B35"/>
  <sheetViews>
    <sheetView workbookViewId="0">
      <selection activeCell="D8" sqref="D8"/>
    </sheetView>
  </sheetViews>
  <sheetFormatPr defaultRowHeight="14.4" x14ac:dyDescent="0.3"/>
  <cols>
    <col min="1" max="1" width="14.6640625" customWidth="1"/>
    <col min="4" max="4" width="23.5546875" customWidth="1"/>
  </cols>
  <sheetData>
    <row r="1" spans="1:2" ht="20.399999999999999" customHeight="1" x14ac:dyDescent="0.3">
      <c r="A1" s="162" t="s">
        <v>74</v>
      </c>
      <c r="B1" s="162" t="s">
        <v>169</v>
      </c>
    </row>
    <row r="2" spans="1:2" x14ac:dyDescent="0.3">
      <c r="A2" s="165" t="s">
        <v>170</v>
      </c>
      <c r="B2" s="163">
        <v>1</v>
      </c>
    </row>
    <row r="3" spans="1:2" ht="15" customHeight="1" x14ac:dyDescent="0.3">
      <c r="A3" s="164" t="s">
        <v>171</v>
      </c>
      <c r="B3" s="166">
        <v>2</v>
      </c>
    </row>
    <row r="4" spans="1:2" x14ac:dyDescent="0.3">
      <c r="A4" s="165" t="s">
        <v>172</v>
      </c>
      <c r="B4" s="163">
        <v>3</v>
      </c>
    </row>
    <row r="5" spans="1:2" x14ac:dyDescent="0.3">
      <c r="A5" s="104" t="s">
        <v>173</v>
      </c>
      <c r="B5" s="166">
        <v>4</v>
      </c>
    </row>
    <row r="6" spans="1:2" x14ac:dyDescent="0.3">
      <c r="A6" s="165" t="s">
        <v>174</v>
      </c>
      <c r="B6" s="163">
        <v>5</v>
      </c>
    </row>
    <row r="7" spans="1:2" x14ac:dyDescent="0.3">
      <c r="A7" s="104" t="s">
        <v>175</v>
      </c>
      <c r="B7" s="166">
        <v>6</v>
      </c>
    </row>
    <row r="8" spans="1:2" x14ac:dyDescent="0.3">
      <c r="A8" s="165" t="s">
        <v>176</v>
      </c>
      <c r="B8" s="163">
        <v>7</v>
      </c>
    </row>
    <row r="9" spans="1:2" x14ac:dyDescent="0.3">
      <c r="A9" s="104" t="s">
        <v>177</v>
      </c>
      <c r="B9" s="166">
        <v>8</v>
      </c>
    </row>
    <row r="10" spans="1:2" x14ac:dyDescent="0.3">
      <c r="A10" s="165" t="s">
        <v>178</v>
      </c>
      <c r="B10" s="163">
        <v>9</v>
      </c>
    </row>
    <row r="11" spans="1:2" x14ac:dyDescent="0.3">
      <c r="A11" s="104" t="s">
        <v>179</v>
      </c>
      <c r="B11" s="166">
        <v>10</v>
      </c>
    </row>
    <row r="12" spans="1:2" x14ac:dyDescent="0.3">
      <c r="A12" s="165" t="s">
        <v>180</v>
      </c>
      <c r="B12" s="163">
        <v>11</v>
      </c>
    </row>
    <row r="13" spans="1:2" x14ac:dyDescent="0.3">
      <c r="A13" s="104" t="s">
        <v>181</v>
      </c>
      <c r="B13" s="166">
        <v>12</v>
      </c>
    </row>
    <row r="14" spans="1:2" x14ac:dyDescent="0.3">
      <c r="A14" s="165" t="s">
        <v>182</v>
      </c>
      <c r="B14" s="163">
        <v>13</v>
      </c>
    </row>
    <row r="15" spans="1:2" x14ac:dyDescent="0.3">
      <c r="A15" s="104" t="s">
        <v>183</v>
      </c>
      <c r="B15" s="166">
        <v>14</v>
      </c>
    </row>
    <row r="16" spans="1:2" x14ac:dyDescent="0.3">
      <c r="A16" s="165" t="s">
        <v>184</v>
      </c>
      <c r="B16" s="163">
        <v>15</v>
      </c>
    </row>
    <row r="17" spans="1:2" x14ac:dyDescent="0.3">
      <c r="A17" s="104" t="s">
        <v>185</v>
      </c>
      <c r="B17" s="166">
        <v>16</v>
      </c>
    </row>
    <row r="18" spans="1:2" x14ac:dyDescent="0.3">
      <c r="A18" s="165" t="s">
        <v>186</v>
      </c>
      <c r="B18" s="163">
        <v>17</v>
      </c>
    </row>
    <row r="19" spans="1:2" x14ac:dyDescent="0.3">
      <c r="A19" s="104" t="s">
        <v>187</v>
      </c>
      <c r="B19" s="166">
        <v>18</v>
      </c>
    </row>
    <row r="20" spans="1:2" x14ac:dyDescent="0.3">
      <c r="A20" s="165" t="s">
        <v>188</v>
      </c>
      <c r="B20" s="163">
        <v>19</v>
      </c>
    </row>
    <row r="21" spans="1:2" x14ac:dyDescent="0.3">
      <c r="A21" s="104" t="s">
        <v>189</v>
      </c>
      <c r="B21" s="166">
        <v>20</v>
      </c>
    </row>
    <row r="22" spans="1:2" x14ac:dyDescent="0.3">
      <c r="A22" s="165" t="s">
        <v>190</v>
      </c>
      <c r="B22" s="163">
        <v>21</v>
      </c>
    </row>
    <row r="23" spans="1:2" x14ac:dyDescent="0.3">
      <c r="A23" s="104" t="s">
        <v>191</v>
      </c>
      <c r="B23" s="166">
        <v>22</v>
      </c>
    </row>
    <row r="24" spans="1:2" x14ac:dyDescent="0.3">
      <c r="A24" s="165" t="s">
        <v>192</v>
      </c>
      <c r="B24" s="163">
        <v>23</v>
      </c>
    </row>
    <row r="25" spans="1:2" x14ac:dyDescent="0.3">
      <c r="A25" s="104" t="s">
        <v>193</v>
      </c>
      <c r="B25" s="166">
        <v>24</v>
      </c>
    </row>
    <row r="26" spans="1:2" x14ac:dyDescent="0.3">
      <c r="A26" s="165" t="s">
        <v>194</v>
      </c>
      <c r="B26" s="163">
        <v>25</v>
      </c>
    </row>
    <row r="27" spans="1:2" x14ac:dyDescent="0.3">
      <c r="A27" s="104" t="s">
        <v>195</v>
      </c>
      <c r="B27" s="166">
        <v>26</v>
      </c>
    </row>
    <row r="28" spans="1:2" x14ac:dyDescent="0.3">
      <c r="A28" s="165" t="s">
        <v>196</v>
      </c>
      <c r="B28" s="163">
        <v>27</v>
      </c>
    </row>
    <row r="29" spans="1:2" x14ac:dyDescent="0.3">
      <c r="A29" s="104" t="s">
        <v>197</v>
      </c>
      <c r="B29" s="166">
        <v>28</v>
      </c>
    </row>
    <row r="30" spans="1:2" x14ac:dyDescent="0.3">
      <c r="A30" s="165" t="s">
        <v>198</v>
      </c>
      <c r="B30" s="163">
        <v>29</v>
      </c>
    </row>
    <row r="31" spans="1:2" x14ac:dyDescent="0.3">
      <c r="A31" s="104" t="s">
        <v>199</v>
      </c>
      <c r="B31" s="166">
        <v>30</v>
      </c>
    </row>
    <row r="32" spans="1:2" x14ac:dyDescent="0.3">
      <c r="A32" s="165" t="s">
        <v>200</v>
      </c>
      <c r="B32" s="163">
        <v>31</v>
      </c>
    </row>
    <row r="33" spans="1:2" x14ac:dyDescent="0.3">
      <c r="A33" s="104" t="s">
        <v>201</v>
      </c>
      <c r="B33" s="166">
        <v>32</v>
      </c>
    </row>
    <row r="34" spans="1:2" x14ac:dyDescent="0.3">
      <c r="A34" s="165" t="s">
        <v>202</v>
      </c>
      <c r="B34" s="163">
        <v>33</v>
      </c>
    </row>
    <row r="35" spans="1:2" x14ac:dyDescent="0.3">
      <c r="A35" s="104" t="s">
        <v>203</v>
      </c>
      <c r="B35" s="166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9518-3231-4ABB-B4C7-96D096CB42E2}">
  <sheetPr codeName="Sheet4"/>
  <dimension ref="A1:AK16"/>
  <sheetViews>
    <sheetView tabSelected="1" workbookViewId="0">
      <selection activeCell="K8" sqref="K8"/>
    </sheetView>
  </sheetViews>
  <sheetFormatPr defaultRowHeight="14.4" x14ac:dyDescent="0.3"/>
  <cols>
    <col min="1" max="1" width="7.33203125" customWidth="1"/>
    <col min="2" max="2" width="7.21875" customWidth="1"/>
    <col min="3" max="3" width="8.44140625" customWidth="1"/>
    <col min="4" max="36" width="4" customWidth="1"/>
    <col min="37" max="37" width="7.109375" customWidth="1"/>
  </cols>
  <sheetData>
    <row r="1" spans="1:37" ht="31.8" customHeight="1" x14ac:dyDescent="0.3">
      <c r="A1" s="304" t="s">
        <v>61</v>
      </c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304"/>
      <c r="AH1" s="304"/>
      <c r="AI1" s="304"/>
      <c r="AJ1" s="304"/>
      <c r="AK1" s="304"/>
    </row>
    <row r="2" spans="1:37" ht="12" customHeight="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10"/>
      <c r="AJ2" s="10"/>
      <c r="AK2" s="10"/>
    </row>
    <row r="3" spans="1:37" ht="67.8" thickBot="1" x14ac:dyDescent="0.35">
      <c r="A3" s="11" t="s">
        <v>62</v>
      </c>
      <c r="B3" s="11" t="s">
        <v>12</v>
      </c>
      <c r="C3" s="11" t="s">
        <v>63</v>
      </c>
      <c r="D3" s="12">
        <v>46023</v>
      </c>
      <c r="E3" s="12">
        <v>46024</v>
      </c>
      <c r="F3" s="12">
        <v>46025</v>
      </c>
      <c r="G3" s="12">
        <v>46026</v>
      </c>
      <c r="H3" s="12">
        <v>46027</v>
      </c>
      <c r="I3" s="12">
        <v>46028</v>
      </c>
      <c r="J3" s="12">
        <v>46029</v>
      </c>
      <c r="K3" s="12">
        <v>46030</v>
      </c>
      <c r="L3" s="12">
        <v>46031</v>
      </c>
      <c r="M3" s="12">
        <v>46032</v>
      </c>
      <c r="N3" s="12">
        <v>46033</v>
      </c>
      <c r="O3" s="12">
        <v>46034</v>
      </c>
      <c r="P3" s="12">
        <v>46035</v>
      </c>
      <c r="Q3" s="12">
        <v>46036</v>
      </c>
      <c r="R3" s="12">
        <v>46037</v>
      </c>
      <c r="S3" s="12">
        <v>46038</v>
      </c>
      <c r="T3" s="12">
        <v>46039</v>
      </c>
      <c r="U3" s="12">
        <v>46040</v>
      </c>
      <c r="V3" s="12">
        <v>46041</v>
      </c>
      <c r="W3" s="12">
        <v>46042</v>
      </c>
      <c r="X3" s="12">
        <v>46043</v>
      </c>
      <c r="Y3" s="12">
        <v>46044</v>
      </c>
      <c r="Z3" s="12">
        <v>46045</v>
      </c>
      <c r="AA3" s="12">
        <v>46046</v>
      </c>
      <c r="AB3" s="12">
        <v>46047</v>
      </c>
      <c r="AC3" s="12">
        <v>46048</v>
      </c>
      <c r="AD3" s="12">
        <v>46049</v>
      </c>
      <c r="AE3" s="12">
        <v>46050</v>
      </c>
      <c r="AF3" s="12">
        <v>46051</v>
      </c>
      <c r="AG3" s="12">
        <v>46052</v>
      </c>
      <c r="AH3" s="12">
        <v>46053</v>
      </c>
      <c r="AI3" s="13" t="s">
        <v>59</v>
      </c>
      <c r="AJ3" s="13" t="s">
        <v>64</v>
      </c>
      <c r="AK3" s="13" t="s">
        <v>65</v>
      </c>
    </row>
    <row r="4" spans="1:37" ht="18.600000000000001" customHeight="1" thickBot="1" x14ac:dyDescent="0.35">
      <c r="A4" s="14" t="s">
        <v>66</v>
      </c>
      <c r="B4" s="14" t="s">
        <v>67</v>
      </c>
      <c r="C4" s="14" t="s">
        <v>68</v>
      </c>
      <c r="D4" s="48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>
        <v>0</v>
      </c>
      <c r="AE4" s="49">
        <v>1</v>
      </c>
      <c r="AF4" s="49">
        <v>1</v>
      </c>
      <c r="AG4" s="49"/>
      <c r="AH4" s="50"/>
      <c r="AI4" s="15">
        <f>COUNTIF(D4:AH4, 1)</f>
        <v>2</v>
      </c>
      <c r="AJ4" s="15">
        <f>COUNTA(D4:AH4)</f>
        <v>3</v>
      </c>
      <c r="AK4" s="16">
        <f>AI4/AJ4</f>
        <v>0.66666666666666663</v>
      </c>
    </row>
    <row r="5" spans="1:37" ht="18.600000000000001" customHeight="1" thickBot="1" x14ac:dyDescent="0.35">
      <c r="A5" s="14" t="s">
        <v>82</v>
      </c>
      <c r="B5" s="14"/>
      <c r="C5" s="14"/>
      <c r="D5" s="48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>
        <v>0</v>
      </c>
      <c r="AF5" s="49"/>
      <c r="AG5" s="49"/>
      <c r="AH5" s="50"/>
      <c r="AI5" s="15">
        <f t="shared" ref="AI5:AI16" si="0">COUNTIF(D5:AH5, 1)</f>
        <v>0</v>
      </c>
      <c r="AJ5" s="15">
        <f t="shared" ref="AJ5:AJ16" si="1">COUNTA(D5:AH5)</f>
        <v>1</v>
      </c>
      <c r="AK5" s="16">
        <f t="shared" ref="AK5:AK16" si="2">AI5/AJ5</f>
        <v>0</v>
      </c>
    </row>
    <row r="6" spans="1:37" ht="18.600000000000001" customHeight="1" thickBot="1" x14ac:dyDescent="0.35">
      <c r="A6" s="14" t="s">
        <v>83</v>
      </c>
      <c r="B6" s="14"/>
      <c r="C6" s="14"/>
      <c r="D6" s="48"/>
      <c r="E6" s="49"/>
      <c r="F6" s="49"/>
      <c r="G6" s="49"/>
      <c r="H6" s="49"/>
      <c r="I6" s="49"/>
      <c r="J6" s="49">
        <v>1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50"/>
      <c r="AI6" s="15">
        <f t="shared" si="0"/>
        <v>1</v>
      </c>
      <c r="AJ6" s="15">
        <f t="shared" si="1"/>
        <v>1</v>
      </c>
      <c r="AK6" s="16">
        <f t="shared" si="2"/>
        <v>1</v>
      </c>
    </row>
    <row r="7" spans="1:37" ht="18.600000000000001" customHeight="1" thickBot="1" x14ac:dyDescent="0.35">
      <c r="A7" s="14" t="s">
        <v>84</v>
      </c>
      <c r="B7" s="14"/>
      <c r="C7" s="14"/>
      <c r="D7" s="48"/>
      <c r="E7" s="49"/>
      <c r="F7" s="49"/>
      <c r="G7" s="49"/>
      <c r="H7" s="49"/>
      <c r="I7" s="49"/>
      <c r="J7" s="49">
        <v>1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50"/>
      <c r="AI7" s="15">
        <f t="shared" si="0"/>
        <v>1</v>
      </c>
      <c r="AJ7" s="15">
        <f t="shared" si="1"/>
        <v>1</v>
      </c>
      <c r="AK7" s="16">
        <f t="shared" si="2"/>
        <v>1</v>
      </c>
    </row>
    <row r="8" spans="1:37" ht="18.600000000000001" customHeight="1" thickBot="1" x14ac:dyDescent="0.35">
      <c r="A8" s="14" t="s">
        <v>85</v>
      </c>
      <c r="B8" s="14"/>
      <c r="C8" s="14"/>
      <c r="D8" s="48"/>
      <c r="E8" s="49"/>
      <c r="F8" s="49"/>
      <c r="G8" s="49"/>
      <c r="H8" s="49"/>
      <c r="I8" s="49"/>
      <c r="J8" s="49">
        <v>0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>
        <v>0</v>
      </c>
      <c r="Y8" s="49"/>
      <c r="Z8" s="49"/>
      <c r="AA8" s="49"/>
      <c r="AB8" s="49"/>
      <c r="AC8" s="49"/>
      <c r="AD8" s="49"/>
      <c r="AE8" s="49"/>
      <c r="AF8" s="49"/>
      <c r="AG8" s="49"/>
      <c r="AH8" s="50"/>
      <c r="AI8" s="15">
        <f t="shared" si="0"/>
        <v>0</v>
      </c>
      <c r="AJ8" s="15">
        <f t="shared" si="1"/>
        <v>2</v>
      </c>
      <c r="AK8" s="16">
        <f t="shared" si="2"/>
        <v>0</v>
      </c>
    </row>
    <row r="9" spans="1:37" ht="18.600000000000001" customHeight="1" thickBot="1" x14ac:dyDescent="0.35">
      <c r="A9" s="14" t="s">
        <v>86</v>
      </c>
      <c r="B9" s="14"/>
      <c r="C9" s="14"/>
      <c r="D9" s="48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>
        <v>1</v>
      </c>
      <c r="Y9" s="49"/>
      <c r="Z9" s="49"/>
      <c r="AA9" s="49"/>
      <c r="AB9" s="49"/>
      <c r="AC9" s="49"/>
      <c r="AD9" s="49"/>
      <c r="AE9" s="49"/>
      <c r="AF9" s="49"/>
      <c r="AG9" s="49"/>
      <c r="AH9" s="50"/>
      <c r="AI9" s="15">
        <f t="shared" si="0"/>
        <v>1</v>
      </c>
      <c r="AJ9" s="15">
        <f t="shared" si="1"/>
        <v>1</v>
      </c>
      <c r="AK9" s="16">
        <f t="shared" si="2"/>
        <v>1</v>
      </c>
    </row>
    <row r="10" spans="1:37" ht="18.600000000000001" customHeight="1" thickBot="1" x14ac:dyDescent="0.35">
      <c r="A10" s="14" t="s">
        <v>87</v>
      </c>
      <c r="B10" s="14"/>
      <c r="C10" s="14"/>
      <c r="D10" s="48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>
        <v>1</v>
      </c>
      <c r="Y10" s="49">
        <v>0</v>
      </c>
      <c r="Z10" s="49"/>
      <c r="AA10" s="49"/>
      <c r="AB10" s="49"/>
      <c r="AC10" s="49"/>
      <c r="AD10" s="49"/>
      <c r="AE10" s="49"/>
      <c r="AF10" s="49"/>
      <c r="AG10" s="49"/>
      <c r="AH10" s="50"/>
      <c r="AI10" s="15">
        <f t="shared" si="0"/>
        <v>1</v>
      </c>
      <c r="AJ10" s="15">
        <f t="shared" si="1"/>
        <v>2</v>
      </c>
      <c r="AK10" s="16">
        <f t="shared" si="2"/>
        <v>0.5</v>
      </c>
    </row>
    <row r="11" spans="1:37" ht="18.600000000000001" customHeight="1" thickBot="1" x14ac:dyDescent="0.35">
      <c r="A11" s="14" t="s">
        <v>88</v>
      </c>
      <c r="B11" s="14"/>
      <c r="C11" s="14"/>
      <c r="D11" s="48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>
        <v>1</v>
      </c>
      <c r="Y11" s="49">
        <v>1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50">
        <v>0</v>
      </c>
      <c r="AI11" s="15">
        <f t="shared" si="0"/>
        <v>2</v>
      </c>
      <c r="AJ11" s="15">
        <f t="shared" si="1"/>
        <v>11</v>
      </c>
      <c r="AK11" s="16">
        <f t="shared" si="2"/>
        <v>0.18181818181818182</v>
      </c>
    </row>
    <row r="12" spans="1:37" ht="18.600000000000001" customHeight="1" thickBot="1" x14ac:dyDescent="0.35">
      <c r="A12" s="14" t="s">
        <v>89</v>
      </c>
      <c r="B12" s="14"/>
      <c r="C12" s="14"/>
      <c r="D12" s="48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>
        <v>0</v>
      </c>
      <c r="AE12" s="49">
        <v>1</v>
      </c>
      <c r="AF12" s="49">
        <v>1</v>
      </c>
      <c r="AG12" s="49"/>
      <c r="AH12" s="50"/>
      <c r="AI12" s="15">
        <f t="shared" si="0"/>
        <v>2</v>
      </c>
      <c r="AJ12" s="15">
        <f t="shared" si="1"/>
        <v>3</v>
      </c>
      <c r="AK12" s="16">
        <f t="shared" si="2"/>
        <v>0.66666666666666663</v>
      </c>
    </row>
    <row r="13" spans="1:37" ht="18.600000000000001" customHeight="1" thickBot="1" x14ac:dyDescent="0.35">
      <c r="A13" s="14" t="s">
        <v>90</v>
      </c>
      <c r="B13" s="14"/>
      <c r="C13" s="14"/>
      <c r="D13" s="48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>
        <v>1</v>
      </c>
      <c r="AF13" s="49"/>
      <c r="AG13" s="49"/>
      <c r="AH13" s="50"/>
      <c r="AI13" s="15">
        <f t="shared" si="0"/>
        <v>1</v>
      </c>
      <c r="AJ13" s="15">
        <f t="shared" si="1"/>
        <v>1</v>
      </c>
      <c r="AK13" s="16">
        <f t="shared" si="2"/>
        <v>1</v>
      </c>
    </row>
    <row r="14" spans="1:37" ht="18.600000000000001" customHeight="1" thickBot="1" x14ac:dyDescent="0.35">
      <c r="A14" s="14" t="s">
        <v>91</v>
      </c>
      <c r="B14" s="14"/>
      <c r="C14" s="14"/>
      <c r="D14" s="48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>
        <v>0</v>
      </c>
      <c r="AD14" s="49">
        <v>1</v>
      </c>
      <c r="AE14" s="49">
        <v>1</v>
      </c>
      <c r="AF14" s="49"/>
      <c r="AG14" s="49"/>
      <c r="AH14" s="50"/>
      <c r="AI14" s="15">
        <f t="shared" si="0"/>
        <v>2</v>
      </c>
      <c r="AJ14" s="15">
        <f t="shared" si="1"/>
        <v>3</v>
      </c>
      <c r="AK14" s="16">
        <f t="shared" si="2"/>
        <v>0.66666666666666663</v>
      </c>
    </row>
    <row r="15" spans="1:37" ht="18.600000000000001" customHeight="1" thickBot="1" x14ac:dyDescent="0.35">
      <c r="A15" s="14" t="s">
        <v>92</v>
      </c>
      <c r="B15" s="14"/>
      <c r="C15" s="14"/>
      <c r="D15" s="48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>
        <v>0</v>
      </c>
      <c r="AF15" s="49"/>
      <c r="AG15" s="49"/>
      <c r="AH15" s="50"/>
      <c r="AI15" s="15">
        <f t="shared" si="0"/>
        <v>0</v>
      </c>
      <c r="AJ15" s="15">
        <f t="shared" si="1"/>
        <v>1</v>
      </c>
      <c r="AK15" s="16">
        <f t="shared" si="2"/>
        <v>0</v>
      </c>
    </row>
    <row r="16" spans="1:37" ht="18.600000000000001" customHeight="1" thickBot="1" x14ac:dyDescent="0.35">
      <c r="A16" s="14" t="s">
        <v>93</v>
      </c>
      <c r="B16" s="14"/>
      <c r="C16" s="14"/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>
        <v>1</v>
      </c>
      <c r="AF16" s="49"/>
      <c r="AG16" s="49"/>
      <c r="AH16" s="50"/>
      <c r="AI16" s="15">
        <f t="shared" si="0"/>
        <v>1</v>
      </c>
      <c r="AJ16" s="15">
        <f t="shared" si="1"/>
        <v>1</v>
      </c>
      <c r="AK16" s="16">
        <f t="shared" si="2"/>
        <v>1</v>
      </c>
    </row>
  </sheetData>
  <mergeCells count="1">
    <mergeCell ref="A1:AK1"/>
  </mergeCells>
  <phoneticPr fontId="5" type="noConversion"/>
  <conditionalFormatting sqref="AK4:AK16">
    <cfRule type="dataBar" priority="1">
      <dataBar>
        <cfvo type="num" val="0"/>
        <cfvo type="num" val="1"/>
        <color theme="3" tint="0.749992370372631"/>
      </dataBar>
      <extLst>
        <ext xmlns:x14="http://schemas.microsoft.com/office/spreadsheetml/2009/9/main" uri="{B025F937-C7B1-47D3-B67F-A62EFF666E3E}">
          <x14:id>{584652DE-D894-4BCD-A7E1-72D73B61FDF5}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4652DE-D894-4BCD-A7E1-72D73B61FDF5}">
            <x14:dataBar minLength="0" maxLength="100" border="1" gradient="0" direction="leftToRight">
              <x14:cfvo type="num">
                <xm:f>0</xm:f>
              </x14:cfvo>
              <x14:cfvo type="num">
                <xm:f>1</xm:f>
              </x14:cfvo>
              <x14:borderColor theme="3" tint="0.499984740745262"/>
              <x14:negativeFillColor rgb="FFFF0000"/>
              <x14:axisColor rgb="FF000000"/>
            </x14:dataBar>
          </x14:cfRule>
          <xm:sqref>AK4:AK16</xm:sqref>
        </x14:conditionalFormatting>
        <x14:conditionalFormatting xmlns:xm="http://schemas.microsoft.com/office/excel/2006/main">
          <x14:cfRule type="iconSet" priority="2" id="{B41A41BB-33D4-49B2-9120-031B00172CC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14:cfRule type="iconSet" priority="3" id="{A9E11B91-5161-4CF0-B893-E87BDABBAE0D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D4:AH16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607AF-6E1A-4747-B195-3F531CE436AF}">
  <sheetPr codeName="Sheet11"/>
  <dimension ref="A1:H17"/>
  <sheetViews>
    <sheetView workbookViewId="0">
      <selection activeCell="G14" sqref="G14"/>
    </sheetView>
  </sheetViews>
  <sheetFormatPr defaultRowHeight="14.4" x14ac:dyDescent="0.3"/>
  <cols>
    <col min="1" max="1" width="13.77734375" customWidth="1"/>
    <col min="2" max="2" width="17.44140625" bestFit="1" customWidth="1"/>
    <col min="3" max="3" width="15.5546875" customWidth="1"/>
    <col min="4" max="4" width="15.33203125" customWidth="1"/>
    <col min="5" max="5" width="29" customWidth="1"/>
    <col min="6" max="6" width="16.77734375" customWidth="1"/>
    <col min="7" max="7" width="15.6640625" customWidth="1"/>
    <col min="8" max="8" width="16.109375" customWidth="1"/>
  </cols>
  <sheetData>
    <row r="1" spans="1:8" ht="19.2" customHeight="1" x14ac:dyDescent="0.3">
      <c r="A1" s="1" t="s">
        <v>147</v>
      </c>
      <c r="B1" s="1" t="s">
        <v>140</v>
      </c>
      <c r="C1" s="1" t="s">
        <v>138</v>
      </c>
      <c r="D1" s="1" t="s">
        <v>148</v>
      </c>
      <c r="E1" s="1" t="s">
        <v>149</v>
      </c>
      <c r="F1" s="1" t="s">
        <v>150</v>
      </c>
      <c r="G1" s="1" t="s">
        <v>163</v>
      </c>
      <c r="H1" s="1" t="s">
        <v>151</v>
      </c>
    </row>
    <row r="2" spans="1:8" ht="16.2" customHeight="1" x14ac:dyDescent="0.3">
      <c r="A2" s="2" t="s">
        <v>28</v>
      </c>
      <c r="B2" s="2" t="s">
        <v>23</v>
      </c>
      <c r="C2" s="110"/>
      <c r="D2" s="110"/>
      <c r="E2" s="2"/>
      <c r="F2" s="157"/>
      <c r="G2" s="157"/>
      <c r="H2" s="124">
        <v>0.9</v>
      </c>
    </row>
    <row r="3" spans="1:8" ht="16.2" customHeight="1" x14ac:dyDescent="0.3">
      <c r="A3" s="2" t="s">
        <v>30</v>
      </c>
      <c r="B3" s="2" t="s">
        <v>13</v>
      </c>
      <c r="C3" s="110" t="s">
        <v>160</v>
      </c>
      <c r="D3" s="110" t="s">
        <v>160</v>
      </c>
      <c r="E3" s="4" t="s">
        <v>16</v>
      </c>
      <c r="F3" s="157"/>
      <c r="G3" s="157"/>
      <c r="H3" s="125">
        <v>0.8</v>
      </c>
    </row>
    <row r="4" spans="1:8" ht="16.2" customHeight="1" x14ac:dyDescent="0.3">
      <c r="A4" s="2" t="s">
        <v>31</v>
      </c>
      <c r="B4" s="2" t="s">
        <v>98</v>
      </c>
      <c r="C4" s="110"/>
      <c r="D4" s="110"/>
      <c r="E4" s="2"/>
      <c r="F4" s="157"/>
      <c r="G4" s="157"/>
      <c r="H4" s="124">
        <v>0.7</v>
      </c>
    </row>
    <row r="5" spans="1:8" ht="16.2" customHeight="1" x14ac:dyDescent="0.3">
      <c r="A5" s="2" t="s">
        <v>32</v>
      </c>
      <c r="B5" s="2" t="s">
        <v>118</v>
      </c>
      <c r="C5" s="110"/>
      <c r="D5" s="110"/>
      <c r="E5" s="2"/>
      <c r="F5" s="157"/>
      <c r="G5" s="157"/>
      <c r="H5" s="125">
        <v>0.6</v>
      </c>
    </row>
    <row r="6" spans="1:8" ht="16.2" customHeight="1" x14ac:dyDescent="0.3">
      <c r="A6" s="2" t="s">
        <v>33</v>
      </c>
      <c r="B6" s="2" t="s">
        <v>122</v>
      </c>
      <c r="C6" s="110"/>
      <c r="D6" s="110"/>
      <c r="E6" s="2"/>
      <c r="F6" s="157"/>
      <c r="G6" s="157"/>
      <c r="H6" s="124">
        <v>0.5</v>
      </c>
    </row>
    <row r="7" spans="1:8" ht="16.2" customHeight="1" x14ac:dyDescent="0.3">
      <c r="A7" s="2" t="s">
        <v>34</v>
      </c>
      <c r="B7" s="2" t="s">
        <v>119</v>
      </c>
      <c r="C7" s="110"/>
      <c r="D7" s="110"/>
      <c r="E7" s="2"/>
      <c r="F7" s="157"/>
      <c r="G7" s="157"/>
      <c r="H7" s="125">
        <v>0.4</v>
      </c>
    </row>
    <row r="8" spans="1:8" ht="16.2" customHeight="1" x14ac:dyDescent="0.3">
      <c r="A8" s="2" t="s">
        <v>35</v>
      </c>
      <c r="B8" s="2" t="s">
        <v>120</v>
      </c>
      <c r="C8" s="110"/>
      <c r="D8" s="110"/>
      <c r="E8" s="2"/>
      <c r="F8" s="157"/>
      <c r="G8" s="157"/>
      <c r="H8" s="124">
        <v>0.3</v>
      </c>
    </row>
    <row r="9" spans="1:8" ht="16.2" customHeight="1" x14ac:dyDescent="0.3">
      <c r="A9" s="2" t="s">
        <v>123</v>
      </c>
      <c r="B9" s="2" t="s">
        <v>121</v>
      </c>
      <c r="C9" s="110"/>
      <c r="D9" s="110"/>
      <c r="E9" s="2"/>
      <c r="F9" s="157"/>
      <c r="G9" s="157"/>
      <c r="H9" s="125">
        <v>0.2</v>
      </c>
    </row>
    <row r="10" spans="1:8" ht="16.2" customHeight="1" x14ac:dyDescent="0.3">
      <c r="A10" s="2"/>
      <c r="B10" s="2"/>
      <c r="C10" s="110"/>
      <c r="D10" s="110"/>
      <c r="E10" s="2"/>
      <c r="F10" s="157"/>
      <c r="G10" s="157"/>
      <c r="H10" s="124"/>
    </row>
    <row r="11" spans="1:8" ht="16.2" customHeight="1" x14ac:dyDescent="0.3">
      <c r="A11" s="2"/>
      <c r="B11" s="2"/>
      <c r="C11" s="110"/>
      <c r="D11" s="110"/>
      <c r="E11" s="2"/>
      <c r="F11" s="157"/>
      <c r="G11" s="157"/>
      <c r="H11" s="125"/>
    </row>
    <row r="12" spans="1:8" ht="16.2" customHeight="1" x14ac:dyDescent="0.3">
      <c r="A12" s="2"/>
      <c r="B12" s="2"/>
      <c r="C12" s="110"/>
      <c r="D12" s="110"/>
      <c r="E12" s="2"/>
      <c r="F12" s="157"/>
      <c r="G12" s="157"/>
      <c r="H12" s="124"/>
    </row>
    <row r="13" spans="1:8" ht="16.2" customHeight="1" x14ac:dyDescent="0.3">
      <c r="A13" s="2"/>
      <c r="B13" s="2"/>
      <c r="C13" s="110"/>
      <c r="D13" s="110"/>
      <c r="E13" s="2"/>
      <c r="F13" s="157"/>
      <c r="G13" s="157"/>
      <c r="H13" s="125"/>
    </row>
    <row r="14" spans="1:8" ht="16.2" customHeight="1" x14ac:dyDescent="0.3">
      <c r="A14" s="2"/>
      <c r="B14" s="2"/>
      <c r="C14" s="110"/>
      <c r="D14" s="110"/>
      <c r="E14" s="2"/>
      <c r="F14" s="157"/>
      <c r="G14" s="157"/>
      <c r="H14" s="124"/>
    </row>
    <row r="15" spans="1:8" ht="16.2" customHeight="1" x14ac:dyDescent="0.3">
      <c r="A15" s="2"/>
      <c r="B15" s="2"/>
      <c r="C15" s="110"/>
      <c r="D15" s="110"/>
      <c r="E15" s="2"/>
      <c r="F15" s="157"/>
      <c r="G15" s="157"/>
      <c r="H15" s="125"/>
    </row>
    <row r="16" spans="1:8" ht="16.2" customHeight="1" x14ac:dyDescent="0.3">
      <c r="A16" s="2"/>
      <c r="B16" s="2"/>
      <c r="C16" s="110"/>
      <c r="D16" s="110"/>
      <c r="E16" s="2"/>
      <c r="F16" s="157"/>
      <c r="G16" s="157"/>
      <c r="H16" s="124"/>
    </row>
    <row r="17" spans="1:8" ht="16.2" customHeight="1" x14ac:dyDescent="0.3">
      <c r="A17" s="2"/>
      <c r="B17" s="2"/>
      <c r="C17" s="110"/>
      <c r="D17" s="110"/>
      <c r="E17" s="2"/>
      <c r="F17" s="157"/>
      <c r="G17" s="157"/>
      <c r="H17" s="125"/>
    </row>
  </sheetData>
  <phoneticPr fontId="5" type="noConversion"/>
  <conditionalFormatting sqref="H2:H17">
    <cfRule type="dataBar" priority="1">
      <dataBar>
        <cfvo type="num" val="0"/>
        <cfvo type="num" val="1"/>
        <color theme="4" tint="0.59999389629810485"/>
      </dataBar>
      <extLst>
        <ext xmlns:x14="http://schemas.microsoft.com/office/spreadsheetml/2009/9/main" uri="{B025F937-C7B1-47D3-B67F-A62EFF666E3E}">
          <x14:id>{9A86FDE3-6EE8-4B12-9B4A-9F9F0E1826FB}</x14:id>
        </ext>
      </extLst>
    </cfRule>
  </conditionalFormatting>
  <dataValidations count="1">
    <dataValidation type="custom" allowBlank="1" showInputMessage="1" showErrorMessage="1" sqref="C2:D17" xr:uid="{C39BDC5B-A5FB-473E-A3D0-F454C757562E}">
      <formula1>AND(LEN(C2)=10,ISNUMBER(--C2))</formula1>
    </dataValidation>
  </dataValidations>
  <hyperlinks>
    <hyperlink ref="E3" r:id="rId1" xr:uid="{EC94FFEB-35D8-4545-8FF9-39E48FE4F126}"/>
  </hyperlink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86FDE3-6EE8-4B12-9B4A-9F9F0E1826FB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H2:H17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33BEE-E8C7-415F-82F8-58D7DF149C4E}">
  <sheetPr codeName="Sheet13"/>
  <dimension ref="A1:I51"/>
  <sheetViews>
    <sheetView workbookViewId="0">
      <selection sqref="A1:F1"/>
    </sheetView>
  </sheetViews>
  <sheetFormatPr defaultRowHeight="14.4" x14ac:dyDescent="0.3"/>
  <cols>
    <col min="1" max="3" width="15.88671875" customWidth="1"/>
    <col min="4" max="4" width="17.21875" customWidth="1"/>
    <col min="5" max="5" width="15.109375" customWidth="1"/>
    <col min="6" max="6" width="15.88671875" customWidth="1"/>
    <col min="8" max="8" width="16.6640625" customWidth="1"/>
    <col min="9" max="9" width="15.109375" customWidth="1"/>
  </cols>
  <sheetData>
    <row r="1" spans="1:9" ht="23.4" customHeight="1" x14ac:dyDescent="0.3">
      <c r="A1" s="305" t="s">
        <v>156</v>
      </c>
      <c r="B1" s="305"/>
      <c r="C1" s="305"/>
      <c r="D1" s="305"/>
      <c r="E1" s="305"/>
      <c r="F1" s="305"/>
      <c r="H1" s="306" t="s">
        <v>161</v>
      </c>
      <c r="I1" s="306"/>
    </row>
    <row r="2" spans="1:9" ht="16.8" customHeight="1" x14ac:dyDescent="0.3">
      <c r="A2" s="1" t="s">
        <v>137</v>
      </c>
      <c r="B2" s="1" t="s">
        <v>153</v>
      </c>
      <c r="C2" s="1" t="s">
        <v>152</v>
      </c>
      <c r="D2" s="1" t="s">
        <v>140</v>
      </c>
      <c r="E2" s="1" t="s">
        <v>26</v>
      </c>
      <c r="F2" s="1" t="s">
        <v>38</v>
      </c>
      <c r="H2" s="107" t="s">
        <v>137</v>
      </c>
      <c r="I2" s="106" t="s">
        <v>155</v>
      </c>
    </row>
    <row r="3" spans="1:9" ht="16.8" customHeight="1" x14ac:dyDescent="0.3">
      <c r="A3" s="99" t="s">
        <v>71</v>
      </c>
      <c r="B3" s="100" t="s">
        <v>154</v>
      </c>
      <c r="C3" s="2"/>
      <c r="D3" s="2" t="s">
        <v>13</v>
      </c>
      <c r="E3" s="2" t="str">
        <f>_xlfn.XLOOKUP(classes_table[[#This Row],[*Teacher Name]], teachers_table[*Teacher Name], teachers_table[*Teacher ID])</f>
        <v>T-002</v>
      </c>
      <c r="F3" s="111">
        <f>_xlfn.XLOOKUP(classes_table[[#This Row],[*Subject]], distinctClasses_table[*Subject], distinctClasses_table[*Fee])</f>
        <v>1500</v>
      </c>
      <c r="H3" s="3" t="s">
        <v>71</v>
      </c>
      <c r="I3" s="123">
        <v>1500</v>
      </c>
    </row>
    <row r="4" spans="1:9" ht="16.8" customHeight="1" x14ac:dyDescent="0.3">
      <c r="A4" s="101" t="s">
        <v>101</v>
      </c>
      <c r="B4" s="3"/>
      <c r="C4" s="2"/>
      <c r="D4" s="2"/>
      <c r="E4" s="3">
        <f>_xlfn.XLOOKUP(classes_table[[#This Row],[*Teacher Name]], teachers_table[*Teacher Name], teachers_table[*Teacher ID])</f>
        <v>0</v>
      </c>
      <c r="F4" s="112">
        <f>_xlfn.XLOOKUP(classes_table[[#This Row],[*Subject]], distinctClasses_table[*Subject], distinctClasses_table[*Fee])</f>
        <v>1000</v>
      </c>
      <c r="H4" s="3" t="s">
        <v>101</v>
      </c>
      <c r="I4" s="112">
        <v>1000</v>
      </c>
    </row>
    <row r="5" spans="1:9" ht="16.8" customHeight="1" x14ac:dyDescent="0.3">
      <c r="A5" s="101" t="s">
        <v>102</v>
      </c>
      <c r="B5" s="3"/>
      <c r="C5" s="105"/>
      <c r="D5" s="2"/>
      <c r="E5" s="3">
        <f>_xlfn.XLOOKUP(classes_table[[#This Row],[*Teacher Name]], teachers_table[*Teacher Name], teachers_table[*Teacher ID])</f>
        <v>0</v>
      </c>
      <c r="F5" s="112">
        <f>_xlfn.XLOOKUP(classes_table[[#This Row],[*Subject]], distinctClasses_table[*Subject], distinctClasses_table[*Fee])</f>
        <v>1000</v>
      </c>
      <c r="H5" s="3" t="s">
        <v>102</v>
      </c>
      <c r="I5" s="112">
        <v>1000</v>
      </c>
    </row>
    <row r="6" spans="1:9" ht="16.8" customHeight="1" x14ac:dyDescent="0.3">
      <c r="A6" s="101" t="s">
        <v>103</v>
      </c>
      <c r="B6" s="3"/>
      <c r="C6" s="2"/>
      <c r="D6" s="2"/>
      <c r="E6" s="3">
        <f>_xlfn.XLOOKUP(classes_table[[#This Row],[*Teacher Name]], teachers_table[*Teacher Name], teachers_table[*Teacher ID])</f>
        <v>0</v>
      </c>
      <c r="F6" s="112">
        <f>_xlfn.XLOOKUP(classes_table[[#This Row],[*Subject]], distinctClasses_table[*Subject], distinctClasses_table[*Fee])</f>
        <v>500</v>
      </c>
      <c r="H6" s="3" t="s">
        <v>103</v>
      </c>
      <c r="I6" s="112">
        <v>500</v>
      </c>
    </row>
    <row r="7" spans="1:9" ht="16.8" customHeight="1" x14ac:dyDescent="0.3">
      <c r="A7" s="101"/>
      <c r="B7" s="3"/>
      <c r="C7" s="2"/>
      <c r="D7" s="2"/>
      <c r="E7" s="3">
        <f>_xlfn.XLOOKUP(classes_table[[#This Row],[*Teacher Name]], teachers_table[*Teacher Name], teachers_table[*Teacher ID])</f>
        <v>0</v>
      </c>
      <c r="F7" s="112">
        <f>_xlfn.XLOOKUP(classes_table[[#This Row],[*Subject]], distinctClasses_table[*Subject], distinctClasses_table[*Fee])</f>
        <v>0</v>
      </c>
      <c r="H7" s="3"/>
      <c r="I7" s="112"/>
    </row>
    <row r="8" spans="1:9" ht="16.8" customHeight="1" x14ac:dyDescent="0.3">
      <c r="A8" s="101"/>
      <c r="B8" s="3"/>
      <c r="C8" s="2"/>
      <c r="D8" s="2"/>
      <c r="E8" s="3">
        <f>_xlfn.XLOOKUP(classes_table[[#This Row],[*Teacher Name]], teachers_table[*Teacher Name], teachers_table[*Teacher ID])</f>
        <v>0</v>
      </c>
      <c r="F8" s="112">
        <f>_xlfn.XLOOKUP(classes_table[[#This Row],[*Subject]], distinctClasses_table[*Subject], distinctClasses_table[*Fee])</f>
        <v>0</v>
      </c>
      <c r="H8" s="3"/>
      <c r="I8" s="112"/>
    </row>
    <row r="9" spans="1:9" ht="16.8" customHeight="1" x14ac:dyDescent="0.3">
      <c r="A9" s="101"/>
      <c r="B9" s="3"/>
      <c r="C9" s="2"/>
      <c r="D9" s="2"/>
      <c r="E9" s="3">
        <f>_xlfn.XLOOKUP(classes_table[[#This Row],[*Teacher Name]], teachers_table[*Teacher Name], teachers_table[*Teacher ID])</f>
        <v>0</v>
      </c>
      <c r="F9" s="112">
        <f>_xlfn.XLOOKUP(classes_table[[#This Row],[*Subject]], distinctClasses_table[*Subject], distinctClasses_table[*Fee])</f>
        <v>0</v>
      </c>
      <c r="H9" s="3"/>
      <c r="I9" s="112"/>
    </row>
    <row r="10" spans="1:9" ht="16.8" customHeight="1" x14ac:dyDescent="0.3">
      <c r="A10" s="101"/>
      <c r="B10" s="3"/>
      <c r="C10" s="2"/>
      <c r="D10" s="2"/>
      <c r="E10" s="3">
        <f>_xlfn.XLOOKUP(classes_table[[#This Row],[*Teacher Name]], teachers_table[*Teacher Name], teachers_table[*Teacher ID])</f>
        <v>0</v>
      </c>
      <c r="F10" s="112">
        <f>_xlfn.XLOOKUP(classes_table[[#This Row],[*Subject]], distinctClasses_table[*Subject], distinctClasses_table[*Fee])</f>
        <v>0</v>
      </c>
      <c r="H10" s="3"/>
      <c r="I10" s="112"/>
    </row>
    <row r="11" spans="1:9" ht="16.8" customHeight="1" x14ac:dyDescent="0.3">
      <c r="A11" s="101"/>
      <c r="B11" s="3"/>
      <c r="C11" s="2"/>
      <c r="D11" s="2"/>
      <c r="E11" s="3">
        <f>_xlfn.XLOOKUP(classes_table[[#This Row],[*Teacher Name]], teachers_table[*Teacher Name], teachers_table[*Teacher ID])</f>
        <v>0</v>
      </c>
      <c r="F11" s="112">
        <f>_xlfn.XLOOKUP(classes_table[[#This Row],[*Subject]], distinctClasses_table[*Subject], distinctClasses_table[*Fee])</f>
        <v>0</v>
      </c>
      <c r="H11" s="3"/>
      <c r="I11" s="112"/>
    </row>
    <row r="12" spans="1:9" ht="16.8" customHeight="1" x14ac:dyDescent="0.3">
      <c r="A12" s="101"/>
      <c r="B12" s="3"/>
      <c r="C12" s="2"/>
      <c r="D12" s="2"/>
      <c r="E12" s="3">
        <f>_xlfn.XLOOKUP(classes_table[[#This Row],[*Teacher Name]], teachers_table[*Teacher Name], teachers_table[*Teacher ID])</f>
        <v>0</v>
      </c>
      <c r="F12" s="112">
        <f>_xlfn.XLOOKUP(classes_table[[#This Row],[*Subject]], distinctClasses_table[*Subject], distinctClasses_table[*Fee])</f>
        <v>0</v>
      </c>
      <c r="H12" s="3"/>
      <c r="I12" s="112"/>
    </row>
    <row r="13" spans="1:9" ht="16.8" customHeight="1" x14ac:dyDescent="0.3">
      <c r="A13" s="101"/>
      <c r="B13" s="3"/>
      <c r="C13" s="2"/>
      <c r="D13" s="2"/>
      <c r="E13" s="3">
        <f>_xlfn.XLOOKUP(classes_table[[#This Row],[*Teacher Name]], teachers_table[*Teacher Name], teachers_table[*Teacher ID])</f>
        <v>0</v>
      </c>
      <c r="F13" s="112">
        <f>_xlfn.XLOOKUP(classes_table[[#This Row],[*Subject]], distinctClasses_table[*Subject], distinctClasses_table[*Fee])</f>
        <v>0</v>
      </c>
      <c r="H13" s="3"/>
      <c r="I13" s="112"/>
    </row>
    <row r="14" spans="1:9" ht="16.8" customHeight="1" x14ac:dyDescent="0.3">
      <c r="A14" s="101"/>
      <c r="B14" s="3"/>
      <c r="C14" s="2"/>
      <c r="D14" s="2"/>
      <c r="E14" s="3">
        <f>_xlfn.XLOOKUP(classes_table[[#This Row],[*Teacher Name]], teachers_table[*Teacher Name], teachers_table[*Teacher ID])</f>
        <v>0</v>
      </c>
      <c r="F14" s="112">
        <f>_xlfn.XLOOKUP(classes_table[[#This Row],[*Subject]], distinctClasses_table[*Subject], distinctClasses_table[*Fee])</f>
        <v>0</v>
      </c>
      <c r="H14" s="3"/>
      <c r="I14" s="112"/>
    </row>
    <row r="15" spans="1:9" ht="16.8" customHeight="1" x14ac:dyDescent="0.3">
      <c r="A15" s="101"/>
      <c r="B15" s="3"/>
      <c r="C15" s="2"/>
      <c r="D15" s="2"/>
      <c r="E15" s="3">
        <f>_xlfn.XLOOKUP(classes_table[[#This Row],[*Teacher Name]], teachers_table[*Teacher Name], teachers_table[*Teacher ID])</f>
        <v>0</v>
      </c>
      <c r="F15" s="112">
        <f>_xlfn.XLOOKUP(classes_table[[#This Row],[*Subject]], distinctClasses_table[*Subject], distinctClasses_table[*Fee])</f>
        <v>0</v>
      </c>
      <c r="H15" s="3"/>
      <c r="I15" s="112"/>
    </row>
    <row r="16" spans="1:9" ht="16.8" customHeight="1" x14ac:dyDescent="0.3">
      <c r="A16" s="101"/>
      <c r="B16" s="3"/>
      <c r="C16" s="2"/>
      <c r="D16" s="2"/>
      <c r="E16" s="3">
        <f>_xlfn.XLOOKUP(classes_table[[#This Row],[*Teacher Name]], teachers_table[*Teacher Name], teachers_table[*Teacher ID])</f>
        <v>0</v>
      </c>
      <c r="F16" s="112">
        <f>_xlfn.XLOOKUP(classes_table[[#This Row],[*Subject]], distinctClasses_table[*Subject], distinctClasses_table[*Fee])</f>
        <v>0</v>
      </c>
      <c r="H16" s="3"/>
      <c r="I16" s="112"/>
    </row>
    <row r="17" spans="1:9" ht="16.8" customHeight="1" x14ac:dyDescent="0.3">
      <c r="A17" s="101"/>
      <c r="B17" s="3"/>
      <c r="C17" s="2"/>
      <c r="D17" s="2"/>
      <c r="E17" s="3">
        <f>_xlfn.XLOOKUP(classes_table[[#This Row],[*Teacher Name]], teachers_table[*Teacher Name], teachers_table[*Teacher ID])</f>
        <v>0</v>
      </c>
      <c r="F17" s="112">
        <f>_xlfn.XLOOKUP(classes_table[[#This Row],[*Subject]], distinctClasses_table[*Subject], distinctClasses_table[*Fee])</f>
        <v>0</v>
      </c>
      <c r="H17" s="3"/>
      <c r="I17" s="112"/>
    </row>
    <row r="18" spans="1:9" ht="16.8" customHeight="1" x14ac:dyDescent="0.3">
      <c r="A18" s="101"/>
      <c r="B18" s="3"/>
      <c r="C18" s="2"/>
      <c r="D18" s="2"/>
      <c r="E18" s="3">
        <f>_xlfn.XLOOKUP(classes_table[[#This Row],[*Teacher Name]], teachers_table[*Teacher Name], teachers_table[*Teacher ID])</f>
        <v>0</v>
      </c>
      <c r="F18" s="112">
        <f>_xlfn.XLOOKUP(classes_table[[#This Row],[*Subject]], distinctClasses_table[*Subject], distinctClasses_table[*Fee])</f>
        <v>0</v>
      </c>
      <c r="H18" s="3"/>
      <c r="I18" s="112"/>
    </row>
    <row r="19" spans="1:9" ht="16.8" customHeight="1" x14ac:dyDescent="0.3">
      <c r="A19" s="101"/>
      <c r="B19" s="3"/>
      <c r="C19" s="2"/>
      <c r="D19" s="2"/>
      <c r="E19" s="3">
        <f>_xlfn.XLOOKUP(classes_table[[#This Row],[*Teacher Name]], teachers_table[*Teacher Name], teachers_table[*Teacher ID])</f>
        <v>0</v>
      </c>
      <c r="F19" s="112">
        <f>_xlfn.XLOOKUP(classes_table[[#This Row],[*Subject]], distinctClasses_table[*Subject], distinctClasses_table[*Fee])</f>
        <v>0</v>
      </c>
      <c r="H19" s="3"/>
      <c r="I19" s="112"/>
    </row>
    <row r="20" spans="1:9" ht="16.8" customHeight="1" x14ac:dyDescent="0.3">
      <c r="A20" s="101"/>
      <c r="B20" s="3"/>
      <c r="C20" s="2"/>
      <c r="D20" s="2"/>
      <c r="E20" s="3">
        <f>_xlfn.XLOOKUP(classes_table[[#This Row],[*Teacher Name]], teachers_table[*Teacher Name], teachers_table[*Teacher ID])</f>
        <v>0</v>
      </c>
      <c r="F20" s="112">
        <f>_xlfn.XLOOKUP(classes_table[[#This Row],[*Subject]], distinctClasses_table[*Subject], distinctClasses_table[*Fee])</f>
        <v>0</v>
      </c>
      <c r="H20" s="3"/>
      <c r="I20" s="112"/>
    </row>
    <row r="21" spans="1:9" ht="16.8" customHeight="1" x14ac:dyDescent="0.3">
      <c r="A21" s="101"/>
      <c r="B21" s="3"/>
      <c r="C21" s="2"/>
      <c r="D21" s="2"/>
      <c r="E21" s="3">
        <f>_xlfn.XLOOKUP(classes_table[[#This Row],[*Teacher Name]], teachers_table[*Teacher Name], teachers_table[*Teacher ID])</f>
        <v>0</v>
      </c>
      <c r="F21" s="112">
        <f>_xlfn.XLOOKUP(classes_table[[#This Row],[*Subject]], distinctClasses_table[*Subject], distinctClasses_table[*Fee])</f>
        <v>0</v>
      </c>
      <c r="H21" s="3"/>
      <c r="I21" s="112"/>
    </row>
    <row r="22" spans="1:9" x14ac:dyDescent="0.3">
      <c r="A22" s="101"/>
      <c r="B22" s="3"/>
      <c r="C22" s="2"/>
      <c r="D22" s="2"/>
      <c r="E22" s="3">
        <f>_xlfn.XLOOKUP(classes_table[[#This Row],[*Teacher Name]], teachers_table[*Teacher Name], teachers_table[*Teacher ID])</f>
        <v>0</v>
      </c>
      <c r="F22" s="112">
        <f>_xlfn.XLOOKUP(classes_table[[#This Row],[*Subject]], distinctClasses_table[*Subject], distinctClasses_table[*Fee])</f>
        <v>0</v>
      </c>
      <c r="H22" s="3"/>
      <c r="I22" s="112"/>
    </row>
    <row r="23" spans="1:9" x14ac:dyDescent="0.3">
      <c r="A23" s="101"/>
      <c r="B23" s="3"/>
      <c r="C23" s="2"/>
      <c r="D23" s="2"/>
      <c r="E23" s="3">
        <f>_xlfn.XLOOKUP(classes_table[[#This Row],[*Teacher Name]], teachers_table[*Teacher Name], teachers_table[*Teacher ID])</f>
        <v>0</v>
      </c>
      <c r="F23" s="112">
        <f>_xlfn.XLOOKUP(classes_table[[#This Row],[*Subject]], distinctClasses_table[*Subject], distinctClasses_table[*Fee])</f>
        <v>0</v>
      </c>
      <c r="H23" s="3"/>
      <c r="I23" s="112"/>
    </row>
    <row r="24" spans="1:9" x14ac:dyDescent="0.3">
      <c r="A24" s="101"/>
      <c r="B24" s="3"/>
      <c r="C24" s="2"/>
      <c r="D24" s="2"/>
      <c r="E24" s="3">
        <f>_xlfn.XLOOKUP(classes_table[[#This Row],[*Teacher Name]], teachers_table[*Teacher Name], teachers_table[*Teacher ID])</f>
        <v>0</v>
      </c>
      <c r="F24" s="112">
        <f>_xlfn.XLOOKUP(classes_table[[#This Row],[*Subject]], distinctClasses_table[*Subject], distinctClasses_table[*Fee])</f>
        <v>0</v>
      </c>
      <c r="H24" s="3"/>
      <c r="I24" s="112"/>
    </row>
    <row r="25" spans="1:9" x14ac:dyDescent="0.3">
      <c r="A25" s="101"/>
      <c r="B25" s="3"/>
      <c r="C25" s="2"/>
      <c r="D25" s="2"/>
      <c r="E25" s="3">
        <f>_xlfn.XLOOKUP(classes_table[[#This Row],[*Teacher Name]], teachers_table[*Teacher Name], teachers_table[*Teacher ID])</f>
        <v>0</v>
      </c>
      <c r="F25" s="112">
        <f>_xlfn.XLOOKUP(classes_table[[#This Row],[*Subject]], distinctClasses_table[*Subject], distinctClasses_table[*Fee])</f>
        <v>0</v>
      </c>
    </row>
    <row r="26" spans="1:9" x14ac:dyDescent="0.3">
      <c r="A26" s="101"/>
      <c r="B26" s="3"/>
      <c r="C26" s="2"/>
      <c r="D26" s="2"/>
      <c r="E26" s="3">
        <f>_xlfn.XLOOKUP(classes_table[[#This Row],[*Teacher Name]], teachers_table[*Teacher Name], teachers_table[*Teacher ID])</f>
        <v>0</v>
      </c>
      <c r="F26" s="112">
        <f>_xlfn.XLOOKUP(classes_table[[#This Row],[*Subject]], distinctClasses_table[*Subject], distinctClasses_table[*Fee])</f>
        <v>0</v>
      </c>
    </row>
    <row r="27" spans="1:9" x14ac:dyDescent="0.3">
      <c r="A27" s="101"/>
      <c r="B27" s="3"/>
      <c r="C27" s="2"/>
      <c r="D27" s="2"/>
      <c r="E27" s="3">
        <f>_xlfn.XLOOKUP(classes_table[[#This Row],[*Teacher Name]], teachers_table[*Teacher Name], teachers_table[*Teacher ID])</f>
        <v>0</v>
      </c>
      <c r="F27" s="112">
        <f>_xlfn.XLOOKUP(classes_table[[#This Row],[*Subject]], distinctClasses_table[*Subject], distinctClasses_table[*Fee])</f>
        <v>0</v>
      </c>
    </row>
    <row r="28" spans="1:9" x14ac:dyDescent="0.3">
      <c r="A28" s="101"/>
      <c r="B28" s="3"/>
      <c r="C28" s="2"/>
      <c r="D28" s="2"/>
      <c r="E28" s="3">
        <f>_xlfn.XLOOKUP(classes_table[[#This Row],[*Teacher Name]], teachers_table[*Teacher Name], teachers_table[*Teacher ID])</f>
        <v>0</v>
      </c>
      <c r="F28" s="112">
        <f>_xlfn.XLOOKUP(classes_table[[#This Row],[*Subject]], distinctClasses_table[*Subject], distinctClasses_table[*Fee])</f>
        <v>0</v>
      </c>
    </row>
    <row r="29" spans="1:9" x14ac:dyDescent="0.3">
      <c r="A29" s="101"/>
      <c r="B29" s="3"/>
      <c r="C29" s="2"/>
      <c r="D29" s="2"/>
      <c r="E29" s="3">
        <f>_xlfn.XLOOKUP(classes_table[[#This Row],[*Teacher Name]], teachers_table[*Teacher Name], teachers_table[*Teacher ID])</f>
        <v>0</v>
      </c>
      <c r="F29" s="112">
        <f>_xlfn.XLOOKUP(classes_table[[#This Row],[*Subject]], distinctClasses_table[*Subject], distinctClasses_table[*Fee])</f>
        <v>0</v>
      </c>
    </row>
    <row r="30" spans="1:9" x14ac:dyDescent="0.3">
      <c r="A30" s="101"/>
      <c r="B30" s="3"/>
      <c r="C30" s="2"/>
      <c r="D30" s="2"/>
      <c r="E30" s="3">
        <f>_xlfn.XLOOKUP(classes_table[[#This Row],[*Teacher Name]], teachers_table[*Teacher Name], teachers_table[*Teacher ID])</f>
        <v>0</v>
      </c>
      <c r="F30" s="112">
        <f>_xlfn.XLOOKUP(classes_table[[#This Row],[*Subject]], distinctClasses_table[*Subject], distinctClasses_table[*Fee])</f>
        <v>0</v>
      </c>
    </row>
    <row r="31" spans="1:9" x14ac:dyDescent="0.3">
      <c r="A31" s="101"/>
      <c r="B31" s="3"/>
      <c r="C31" s="2"/>
      <c r="D31" s="2"/>
      <c r="E31" s="3">
        <f>_xlfn.XLOOKUP(classes_table[[#This Row],[*Teacher Name]], teachers_table[*Teacher Name], teachers_table[*Teacher ID])</f>
        <v>0</v>
      </c>
      <c r="F31" s="112">
        <f>_xlfn.XLOOKUP(classes_table[[#This Row],[*Subject]], distinctClasses_table[*Subject], distinctClasses_table[*Fee])</f>
        <v>0</v>
      </c>
    </row>
    <row r="32" spans="1:9" x14ac:dyDescent="0.3">
      <c r="A32" s="101"/>
      <c r="B32" s="3"/>
      <c r="C32" s="2"/>
      <c r="D32" s="2"/>
      <c r="E32" s="3">
        <f>_xlfn.XLOOKUP(classes_table[[#This Row],[*Teacher Name]], teachers_table[*Teacher Name], teachers_table[*Teacher ID])</f>
        <v>0</v>
      </c>
      <c r="F32" s="112">
        <f>_xlfn.XLOOKUP(classes_table[[#This Row],[*Subject]], distinctClasses_table[*Subject], distinctClasses_table[*Fee])</f>
        <v>0</v>
      </c>
    </row>
    <row r="33" spans="1:6" x14ac:dyDescent="0.3">
      <c r="A33" s="101"/>
      <c r="B33" s="3"/>
      <c r="C33" s="2"/>
      <c r="D33" s="2"/>
      <c r="E33" s="3">
        <f>_xlfn.XLOOKUP(classes_table[[#This Row],[*Teacher Name]], teachers_table[*Teacher Name], teachers_table[*Teacher ID])</f>
        <v>0</v>
      </c>
      <c r="F33" s="112">
        <f>_xlfn.XLOOKUP(classes_table[[#This Row],[*Subject]], distinctClasses_table[*Subject], distinctClasses_table[*Fee])</f>
        <v>0</v>
      </c>
    </row>
    <row r="34" spans="1:6" x14ac:dyDescent="0.3">
      <c r="A34" s="101"/>
      <c r="B34" s="3"/>
      <c r="C34" s="2"/>
      <c r="D34" s="2"/>
      <c r="E34" s="3">
        <f>_xlfn.XLOOKUP(classes_table[[#This Row],[*Teacher Name]], teachers_table[*Teacher Name], teachers_table[*Teacher ID])</f>
        <v>0</v>
      </c>
      <c r="F34" s="112">
        <f>_xlfn.XLOOKUP(classes_table[[#This Row],[*Subject]], distinctClasses_table[*Subject], distinctClasses_table[*Fee])</f>
        <v>0</v>
      </c>
    </row>
    <row r="35" spans="1:6" x14ac:dyDescent="0.3">
      <c r="A35" s="101"/>
      <c r="B35" s="3"/>
      <c r="C35" s="2"/>
      <c r="D35" s="2"/>
      <c r="E35" s="3">
        <f>_xlfn.XLOOKUP(classes_table[[#This Row],[*Teacher Name]], teachers_table[*Teacher Name], teachers_table[*Teacher ID])</f>
        <v>0</v>
      </c>
      <c r="F35" s="112">
        <f>_xlfn.XLOOKUP(classes_table[[#This Row],[*Subject]], distinctClasses_table[*Subject], distinctClasses_table[*Fee])</f>
        <v>0</v>
      </c>
    </row>
    <row r="36" spans="1:6" x14ac:dyDescent="0.3">
      <c r="A36" s="101"/>
      <c r="B36" s="3"/>
      <c r="C36" s="2"/>
      <c r="D36" s="2"/>
      <c r="E36" s="3">
        <f>_xlfn.XLOOKUP(classes_table[[#This Row],[*Teacher Name]], teachers_table[*Teacher Name], teachers_table[*Teacher ID])</f>
        <v>0</v>
      </c>
      <c r="F36" s="112">
        <f>_xlfn.XLOOKUP(classes_table[[#This Row],[*Subject]], distinctClasses_table[*Subject], distinctClasses_table[*Fee])</f>
        <v>0</v>
      </c>
    </row>
    <row r="37" spans="1:6" x14ac:dyDescent="0.3">
      <c r="A37" s="101"/>
      <c r="B37" s="3"/>
      <c r="C37" s="2"/>
      <c r="D37" s="2"/>
      <c r="E37" s="3">
        <f>_xlfn.XLOOKUP(classes_table[[#This Row],[*Teacher Name]], teachers_table[*Teacher Name], teachers_table[*Teacher ID])</f>
        <v>0</v>
      </c>
      <c r="F37" s="112">
        <f>_xlfn.XLOOKUP(classes_table[[#This Row],[*Subject]], distinctClasses_table[*Subject], distinctClasses_table[*Fee])</f>
        <v>0</v>
      </c>
    </row>
    <row r="38" spans="1:6" x14ac:dyDescent="0.3">
      <c r="A38" s="101"/>
      <c r="B38" s="3"/>
      <c r="C38" s="2"/>
      <c r="D38" s="2"/>
      <c r="E38" s="3">
        <f>_xlfn.XLOOKUP(classes_table[[#This Row],[*Teacher Name]], teachers_table[*Teacher Name], teachers_table[*Teacher ID])</f>
        <v>0</v>
      </c>
      <c r="F38" s="112">
        <f>_xlfn.XLOOKUP(classes_table[[#This Row],[*Subject]], distinctClasses_table[*Subject], distinctClasses_table[*Fee])</f>
        <v>0</v>
      </c>
    </row>
    <row r="39" spans="1:6" x14ac:dyDescent="0.3">
      <c r="A39" s="101"/>
      <c r="B39" s="3"/>
      <c r="C39" s="2"/>
      <c r="D39" s="2"/>
      <c r="E39" s="3">
        <f>_xlfn.XLOOKUP(classes_table[[#This Row],[*Teacher Name]], teachers_table[*Teacher Name], teachers_table[*Teacher ID])</f>
        <v>0</v>
      </c>
      <c r="F39" s="112">
        <f>_xlfn.XLOOKUP(classes_table[[#This Row],[*Subject]], distinctClasses_table[*Subject], distinctClasses_table[*Fee])</f>
        <v>0</v>
      </c>
    </row>
    <row r="40" spans="1:6" x14ac:dyDescent="0.3">
      <c r="A40" s="101"/>
      <c r="B40" s="3"/>
      <c r="C40" s="2"/>
      <c r="D40" s="2"/>
      <c r="E40" s="3">
        <f>_xlfn.XLOOKUP(classes_table[[#This Row],[*Teacher Name]], teachers_table[*Teacher Name], teachers_table[*Teacher ID])</f>
        <v>0</v>
      </c>
      <c r="F40" s="112">
        <f>_xlfn.XLOOKUP(classes_table[[#This Row],[*Subject]], distinctClasses_table[*Subject], distinctClasses_table[*Fee])</f>
        <v>0</v>
      </c>
    </row>
    <row r="41" spans="1:6" x14ac:dyDescent="0.3">
      <c r="A41" s="101"/>
      <c r="B41" s="3"/>
      <c r="C41" s="2"/>
      <c r="D41" s="2"/>
      <c r="E41" s="3">
        <f>_xlfn.XLOOKUP(classes_table[[#This Row],[*Teacher Name]], teachers_table[*Teacher Name], teachers_table[*Teacher ID])</f>
        <v>0</v>
      </c>
      <c r="F41" s="112">
        <f>_xlfn.XLOOKUP(classes_table[[#This Row],[*Subject]], distinctClasses_table[*Subject], distinctClasses_table[*Fee])</f>
        <v>0</v>
      </c>
    </row>
    <row r="42" spans="1:6" x14ac:dyDescent="0.3">
      <c r="A42" s="101"/>
      <c r="B42" s="3"/>
      <c r="C42" s="2"/>
      <c r="D42" s="2"/>
      <c r="E42" s="3">
        <f>_xlfn.XLOOKUP(classes_table[[#This Row],[*Teacher Name]], teachers_table[*Teacher Name], teachers_table[*Teacher ID])</f>
        <v>0</v>
      </c>
      <c r="F42" s="112">
        <f>_xlfn.XLOOKUP(classes_table[[#This Row],[*Subject]], distinctClasses_table[*Subject], distinctClasses_table[*Fee])</f>
        <v>0</v>
      </c>
    </row>
    <row r="43" spans="1:6" x14ac:dyDescent="0.3">
      <c r="A43" s="101"/>
      <c r="B43" s="3"/>
      <c r="C43" s="2"/>
      <c r="D43" s="2"/>
      <c r="E43" s="3">
        <f>_xlfn.XLOOKUP(classes_table[[#This Row],[*Teacher Name]], teachers_table[*Teacher Name], teachers_table[*Teacher ID])</f>
        <v>0</v>
      </c>
      <c r="F43" s="112">
        <f>_xlfn.XLOOKUP(classes_table[[#This Row],[*Subject]], distinctClasses_table[*Subject], distinctClasses_table[*Fee])</f>
        <v>0</v>
      </c>
    </row>
    <row r="44" spans="1:6" x14ac:dyDescent="0.3">
      <c r="A44" s="101"/>
      <c r="B44" s="3"/>
      <c r="C44" s="2"/>
      <c r="D44" s="2"/>
      <c r="E44" s="3">
        <f>_xlfn.XLOOKUP(classes_table[[#This Row],[*Teacher Name]], teachers_table[*Teacher Name], teachers_table[*Teacher ID])</f>
        <v>0</v>
      </c>
      <c r="F44" s="112">
        <f>_xlfn.XLOOKUP(classes_table[[#This Row],[*Subject]], distinctClasses_table[*Subject], distinctClasses_table[*Fee])</f>
        <v>0</v>
      </c>
    </row>
    <row r="45" spans="1:6" x14ac:dyDescent="0.3">
      <c r="A45" s="101"/>
      <c r="B45" s="3"/>
      <c r="C45" s="2"/>
      <c r="D45" s="2"/>
      <c r="E45" s="3">
        <f>_xlfn.XLOOKUP(classes_table[[#This Row],[*Teacher Name]], teachers_table[*Teacher Name], teachers_table[*Teacher ID])</f>
        <v>0</v>
      </c>
      <c r="F45" s="112">
        <f>_xlfn.XLOOKUP(classes_table[[#This Row],[*Subject]], distinctClasses_table[*Subject], distinctClasses_table[*Fee])</f>
        <v>0</v>
      </c>
    </row>
    <row r="46" spans="1:6" x14ac:dyDescent="0.3">
      <c r="A46" s="101"/>
      <c r="B46" s="3"/>
      <c r="C46" s="2"/>
      <c r="D46" s="2"/>
      <c r="E46" s="3">
        <f>_xlfn.XLOOKUP(classes_table[[#This Row],[*Teacher Name]], teachers_table[*Teacher Name], teachers_table[*Teacher ID])</f>
        <v>0</v>
      </c>
      <c r="F46" s="112">
        <f>_xlfn.XLOOKUP(classes_table[[#This Row],[*Subject]], distinctClasses_table[*Subject], distinctClasses_table[*Fee])</f>
        <v>0</v>
      </c>
    </row>
    <row r="47" spans="1:6" x14ac:dyDescent="0.3">
      <c r="A47" s="101"/>
      <c r="B47" s="3"/>
      <c r="C47" s="2"/>
      <c r="D47" s="2"/>
      <c r="E47" s="3">
        <f>_xlfn.XLOOKUP(classes_table[[#This Row],[*Teacher Name]], teachers_table[*Teacher Name], teachers_table[*Teacher ID])</f>
        <v>0</v>
      </c>
      <c r="F47" s="112">
        <f>_xlfn.XLOOKUP(classes_table[[#This Row],[*Subject]], distinctClasses_table[*Subject], distinctClasses_table[*Fee])</f>
        <v>0</v>
      </c>
    </row>
    <row r="48" spans="1:6" x14ac:dyDescent="0.3">
      <c r="A48" s="101"/>
      <c r="B48" s="3"/>
      <c r="C48" s="2"/>
      <c r="D48" s="2"/>
      <c r="E48" s="3">
        <f>_xlfn.XLOOKUP(classes_table[[#This Row],[*Teacher Name]], teachers_table[*Teacher Name], teachers_table[*Teacher ID])</f>
        <v>0</v>
      </c>
      <c r="F48" s="112">
        <f>_xlfn.XLOOKUP(classes_table[[#This Row],[*Subject]], distinctClasses_table[*Subject], distinctClasses_table[*Fee])</f>
        <v>0</v>
      </c>
    </row>
    <row r="49" spans="1:6" x14ac:dyDescent="0.3">
      <c r="A49" s="101"/>
      <c r="B49" s="3"/>
      <c r="C49" s="2"/>
      <c r="D49" s="2"/>
      <c r="E49" s="3">
        <f>_xlfn.XLOOKUP(classes_table[[#This Row],[*Teacher Name]], teachers_table[*Teacher Name], teachers_table[*Teacher ID])</f>
        <v>0</v>
      </c>
      <c r="F49" s="112">
        <f>_xlfn.XLOOKUP(classes_table[[#This Row],[*Subject]], distinctClasses_table[*Subject], distinctClasses_table[*Fee])</f>
        <v>0</v>
      </c>
    </row>
    <row r="50" spans="1:6" x14ac:dyDescent="0.3">
      <c r="A50" s="101"/>
      <c r="B50" s="3"/>
      <c r="C50" s="2"/>
      <c r="D50" s="2"/>
      <c r="E50" s="3">
        <f>_xlfn.XLOOKUP(classes_table[[#This Row],[*Teacher Name]], teachers_table[*Teacher Name], teachers_table[*Teacher ID])</f>
        <v>0</v>
      </c>
      <c r="F50" s="112">
        <f>_xlfn.XLOOKUP(classes_table[[#This Row],[*Subject]], distinctClasses_table[*Subject], distinctClasses_table[*Fee])</f>
        <v>0</v>
      </c>
    </row>
    <row r="51" spans="1:6" x14ac:dyDescent="0.3">
      <c r="A51" s="101"/>
      <c r="B51" s="3"/>
      <c r="C51" s="2"/>
      <c r="D51" s="2"/>
      <c r="E51" s="3">
        <f>_xlfn.XLOOKUP(classes_table[[#This Row],[*Teacher Name]], teachers_table[*Teacher Name], teachers_table[*Teacher ID])</f>
        <v>0</v>
      </c>
      <c r="F51" s="112">
        <f>_xlfn.XLOOKUP(classes_table[[#This Row],[*Subject]], distinctClasses_table[*Subject], distinctClasses_table[*Fee])</f>
        <v>0</v>
      </c>
    </row>
  </sheetData>
  <mergeCells count="2">
    <mergeCell ref="A1:F1"/>
    <mergeCell ref="H1:I1"/>
  </mergeCells>
  <phoneticPr fontId="5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26ECC5-B785-4DF2-B52B-739AD5838F7A}">
          <x14:formula1>
            <xm:f>Teachers!$B$2:$B$17</xm:f>
          </x14:formula1>
          <xm:sqref>D3:D51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5F2F-BF6B-45E1-B3B1-5AB2C0202C3F}">
  <sheetPr codeName="Sheet3"/>
  <dimension ref="A1:BK2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8" sqref="C18"/>
    </sheetView>
  </sheetViews>
  <sheetFormatPr defaultRowHeight="14.4" x14ac:dyDescent="0.3"/>
  <cols>
    <col min="1" max="1" width="22.44140625" customWidth="1"/>
    <col min="2" max="2" width="16.33203125" customWidth="1"/>
    <col min="4" max="4" width="17.77734375" customWidth="1"/>
    <col min="5" max="5" width="16.21875" customWidth="1"/>
    <col min="6" max="6" width="14.5546875" customWidth="1"/>
    <col min="7" max="7" width="14.5546875" style="139" customWidth="1"/>
    <col min="8" max="8" width="12.88671875" customWidth="1"/>
    <col min="9" max="9" width="16.6640625" style="7" customWidth="1"/>
    <col min="10" max="10" width="10.77734375" customWidth="1"/>
    <col min="11" max="11" width="18.109375" style="7" customWidth="1"/>
    <col min="12" max="12" width="13.77734375" style="7" customWidth="1"/>
    <col min="13" max="18" width="12.33203125" style="151" customWidth="1"/>
    <col min="19" max="19" width="18.88671875" customWidth="1"/>
    <col min="20" max="20" width="20.21875" customWidth="1"/>
    <col min="21" max="21" width="23.33203125" customWidth="1"/>
    <col min="22" max="60" width="12.33203125" customWidth="1"/>
  </cols>
  <sheetData>
    <row r="1" spans="1:63" ht="15.6" customHeight="1" x14ac:dyDescent="0.3">
      <c r="A1" s="310" t="s">
        <v>105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 t="str">
        <f>teachers_table[[#This Row],[*Teacher ID]]</f>
        <v>T-001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str">
        <f>_xlfn.XLOOKUP(B2, teachers_table[*Teacher ID], teachers_table[*Teacher Name])</f>
        <v>Ramin Rezaiee</v>
      </c>
      <c r="C3" s="26"/>
      <c r="D3" s="62" t="str" cm="1">
        <f t="array" ref="D3">IF(B7 = "All", _xlfn._xlws.FILTER(enrollment_table[], enrollment_table[*Teacher Name] = T_Ramin_Rezaiee!B3, "No Students Found"), _xlfn._xlws.FILTER(enrollment_table[], (enrollment_table[*Teacher Name] = T_Ramin_Rezaiee!B3 ) * (enrollment_table[Enrollment Month] = B7), "No Students Found"))</f>
        <v>No Students Found</v>
      </c>
      <c r="E3" s="53"/>
      <c r="F3" s="53"/>
      <c r="G3" s="131"/>
      <c r="H3" s="115"/>
      <c r="I3" s="64"/>
      <c r="J3" s="64"/>
      <c r="K3" s="64"/>
      <c r="L3" s="64"/>
      <c r="M3" s="184"/>
      <c r="N3" s="184"/>
      <c r="O3" s="184"/>
      <c r="P3" s="184"/>
      <c r="Q3" s="184"/>
      <c r="R3" s="184"/>
      <c r="S3" s="177"/>
      <c r="T3" s="64"/>
      <c r="U3" s="183"/>
    </row>
    <row r="4" spans="1:63" ht="15.6" customHeight="1" x14ac:dyDescent="0.3">
      <c r="A4" s="88" t="s">
        <v>29</v>
      </c>
      <c r="B4" s="87">
        <f>_xlfn.XLOOKUP(B2, teachers_table[*Teacher ID], teachers_table[*Income Rate])</f>
        <v>0.9</v>
      </c>
      <c r="C4" s="27"/>
      <c r="D4" s="69"/>
      <c r="E4" s="54"/>
      <c r="F4" s="54"/>
      <c r="G4" s="132"/>
      <c r="H4" s="114"/>
      <c r="I4" s="71"/>
      <c r="J4" s="71"/>
      <c r="K4" s="140"/>
      <c r="L4" s="145"/>
      <c r="M4" s="146"/>
      <c r="N4" s="146"/>
      <c r="O4" s="146"/>
      <c r="P4" s="146"/>
      <c r="Q4" s="146"/>
      <c r="R4" s="146"/>
      <c r="S4" s="178"/>
      <c r="T4" s="152"/>
      <c r="U4" s="134"/>
    </row>
    <row r="5" spans="1:63" ht="15.6" customHeight="1" x14ac:dyDescent="0.3">
      <c r="C5" s="28"/>
      <c r="D5" s="62"/>
      <c r="E5" s="53"/>
      <c r="F5" s="53"/>
      <c r="G5" s="133"/>
      <c r="H5" s="115"/>
      <c r="I5" s="65"/>
      <c r="J5" s="64"/>
      <c r="K5" s="141"/>
      <c r="L5" s="141"/>
      <c r="M5" s="147"/>
      <c r="N5" s="147"/>
      <c r="O5" s="147"/>
      <c r="P5" s="147"/>
      <c r="Q5" s="147"/>
      <c r="R5" s="147"/>
      <c r="S5" s="179"/>
      <c r="T5" s="153"/>
      <c r="U5" s="135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132"/>
      <c r="H6" s="116"/>
      <c r="I6" s="71"/>
      <c r="J6" s="71"/>
      <c r="K6" s="140"/>
      <c r="L6" s="140"/>
      <c r="M6" s="146"/>
      <c r="N6" s="146"/>
      <c r="O6" s="146"/>
      <c r="P6" s="146"/>
      <c r="Q6" s="146"/>
      <c r="R6" s="146"/>
      <c r="S6" s="178"/>
      <c r="T6" s="152"/>
      <c r="U6" s="134"/>
    </row>
    <row r="7" spans="1:63" ht="15.6" customHeight="1" x14ac:dyDescent="0.3">
      <c r="A7" s="47" t="s">
        <v>157</v>
      </c>
      <c r="B7" s="24" t="s">
        <v>100</v>
      </c>
      <c r="D7" s="62"/>
      <c r="E7" s="53"/>
      <c r="F7" s="53"/>
      <c r="G7" s="133"/>
      <c r="H7" s="117"/>
      <c r="I7" s="65"/>
      <c r="J7" s="64"/>
      <c r="K7" s="141"/>
      <c r="L7" s="141"/>
      <c r="M7" s="147"/>
      <c r="N7" s="147"/>
      <c r="O7" s="147"/>
      <c r="P7" s="147"/>
      <c r="Q7" s="147"/>
      <c r="R7" s="147"/>
      <c r="S7" s="179"/>
      <c r="T7" s="153"/>
      <c r="U7" s="135"/>
    </row>
    <row r="8" spans="1:63" ht="15.6" customHeight="1" x14ac:dyDescent="0.3">
      <c r="A8" s="84" t="s">
        <v>52</v>
      </c>
      <c r="B8" s="86">
        <f>IF(D3 = "No Students Found", 0, COUNTA(D3:D200))</f>
        <v>0</v>
      </c>
      <c r="C8" s="30"/>
      <c r="D8" s="69"/>
      <c r="E8" s="54"/>
      <c r="F8" s="54"/>
      <c r="G8" s="132"/>
      <c r="H8" s="116"/>
      <c r="I8" s="71"/>
      <c r="J8" s="71"/>
      <c r="K8" s="140"/>
      <c r="L8" s="140"/>
      <c r="M8" s="146"/>
      <c r="N8" s="146"/>
      <c r="O8" s="146"/>
      <c r="P8" s="146"/>
      <c r="Q8" s="146"/>
      <c r="R8" s="146"/>
      <c r="S8" s="178"/>
      <c r="T8" s="152"/>
      <c r="U8" s="134"/>
    </row>
    <row r="9" spans="1:63" ht="15.6" customHeight="1" x14ac:dyDescent="0.3">
      <c r="A9" s="47" t="s">
        <v>106</v>
      </c>
      <c r="B9" s="154">
        <f>SUM(H3:H200)</f>
        <v>0</v>
      </c>
      <c r="C9" s="31"/>
      <c r="D9" s="62"/>
      <c r="E9" s="53"/>
      <c r="F9" s="53"/>
      <c r="G9" s="133"/>
      <c r="H9" s="117"/>
      <c r="I9" s="65"/>
      <c r="J9" s="64"/>
      <c r="K9" s="141"/>
      <c r="L9" s="141"/>
      <c r="M9" s="147"/>
      <c r="N9" s="147"/>
      <c r="O9" s="147"/>
      <c r="P9" s="147"/>
      <c r="Q9" s="147"/>
      <c r="R9" s="147"/>
      <c r="S9" s="179"/>
      <c r="T9" s="153"/>
      <c r="U9" s="135"/>
    </row>
    <row r="10" spans="1:63" ht="15.6" customHeight="1" x14ac:dyDescent="0.3">
      <c r="A10" s="85" t="s">
        <v>44</v>
      </c>
      <c r="B10" s="155">
        <f>B9*B4</f>
        <v>0</v>
      </c>
      <c r="C10" s="31"/>
      <c r="D10" s="69"/>
      <c r="E10" s="54"/>
      <c r="F10" s="54"/>
      <c r="G10" s="134"/>
      <c r="H10" s="116"/>
      <c r="I10" s="71"/>
      <c r="J10" s="71"/>
      <c r="K10" s="140"/>
      <c r="L10" s="140"/>
      <c r="M10" s="146"/>
      <c r="N10" s="146"/>
      <c r="O10" s="146"/>
      <c r="P10" s="146"/>
      <c r="Q10" s="146"/>
      <c r="R10" s="146"/>
      <c r="S10" s="178"/>
      <c r="T10" s="152"/>
      <c r="U10" s="134"/>
    </row>
    <row r="11" spans="1:63" ht="15.6" customHeight="1" x14ac:dyDescent="0.3">
      <c r="B11" s="7"/>
      <c r="C11" s="31"/>
      <c r="D11" s="62"/>
      <c r="E11" s="53"/>
      <c r="F11" s="53"/>
      <c r="G11" s="135"/>
      <c r="H11" s="117"/>
      <c r="I11" s="65"/>
      <c r="J11" s="64"/>
      <c r="K11" s="141"/>
      <c r="L11" s="141"/>
      <c r="M11" s="147"/>
      <c r="N11" s="147"/>
      <c r="O11" s="147"/>
      <c r="P11" s="147"/>
      <c r="Q11" s="147"/>
      <c r="R11" s="147"/>
      <c r="S11" s="179"/>
      <c r="T11" s="153"/>
      <c r="U11" s="135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134"/>
      <c r="H12" s="116"/>
      <c r="I12" s="71"/>
      <c r="J12" s="71"/>
      <c r="K12" s="140"/>
      <c r="L12" s="140"/>
      <c r="M12" s="146"/>
      <c r="N12" s="146"/>
      <c r="O12" s="146"/>
      <c r="P12" s="146"/>
      <c r="Q12" s="146"/>
      <c r="R12" s="146"/>
      <c r="S12" s="178"/>
      <c r="T12" s="152"/>
      <c r="U12" s="13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135"/>
      <c r="H13" s="117"/>
      <c r="I13" s="65"/>
      <c r="J13" s="64"/>
      <c r="K13" s="141"/>
      <c r="L13" s="141"/>
      <c r="M13" s="147"/>
      <c r="N13" s="147"/>
      <c r="O13" s="147"/>
      <c r="P13" s="147"/>
      <c r="Q13" s="147"/>
      <c r="R13" s="147"/>
      <c r="S13" s="179"/>
      <c r="T13" s="153"/>
      <c r="U13" s="135"/>
    </row>
    <row r="14" spans="1:63" ht="15.6" customHeight="1" x14ac:dyDescent="0.3">
      <c r="A14" s="307" t="s">
        <v>104</v>
      </c>
      <c r="B14" s="307"/>
      <c r="D14" s="69"/>
      <c r="E14" s="54"/>
      <c r="F14" s="54"/>
      <c r="G14" s="134"/>
      <c r="H14" s="116"/>
      <c r="I14" s="71"/>
      <c r="J14" s="71"/>
      <c r="K14" s="140"/>
      <c r="L14" s="140"/>
      <c r="M14" s="146"/>
      <c r="N14" s="146"/>
      <c r="O14" s="146"/>
      <c r="P14" s="146"/>
      <c r="Q14" s="146"/>
      <c r="R14" s="146"/>
      <c r="S14" s="178"/>
      <c r="T14" s="152"/>
      <c r="U14" s="13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135"/>
      <c r="H15" s="118"/>
      <c r="I15" s="141"/>
      <c r="J15" s="64"/>
      <c r="K15" s="141"/>
      <c r="L15" s="141"/>
      <c r="M15" s="147"/>
      <c r="N15" s="147"/>
      <c r="O15" s="147"/>
      <c r="P15" s="147"/>
      <c r="Q15" s="147"/>
      <c r="R15" s="147"/>
      <c r="S15" s="180"/>
      <c r="T15" s="53"/>
      <c r="U15" s="135"/>
    </row>
    <row r="16" spans="1:63" ht="15.6" customHeight="1" x14ac:dyDescent="0.3">
      <c r="A16" s="307" t="s">
        <v>57</v>
      </c>
      <c r="B16" s="307"/>
      <c r="D16" s="69"/>
      <c r="E16" s="54"/>
      <c r="F16" s="54"/>
      <c r="G16" s="134"/>
      <c r="H16" s="119"/>
      <c r="I16" s="140"/>
      <c r="J16" s="71"/>
      <c r="K16" s="140"/>
      <c r="L16" s="140"/>
      <c r="M16" s="146"/>
      <c r="N16" s="146"/>
      <c r="O16" s="146"/>
      <c r="P16" s="146"/>
      <c r="Q16" s="146"/>
      <c r="R16" s="146"/>
      <c r="S16" s="181"/>
      <c r="T16" s="54"/>
      <c r="U16" s="134"/>
    </row>
    <row r="17" spans="1:21" ht="15.6" customHeight="1" x14ac:dyDescent="0.3">
      <c r="A17" s="308" t="s">
        <v>58</v>
      </c>
      <c r="B17" s="308"/>
      <c r="D17" s="62"/>
      <c r="E17" s="53"/>
      <c r="F17" s="53"/>
      <c r="G17" s="135"/>
      <c r="H17" s="118"/>
      <c r="I17" s="141"/>
      <c r="J17" s="64"/>
      <c r="K17" s="141"/>
      <c r="L17" s="141"/>
      <c r="M17" s="147"/>
      <c r="N17" s="147"/>
      <c r="O17" s="147"/>
      <c r="P17" s="147"/>
      <c r="Q17" s="147"/>
      <c r="R17" s="147"/>
      <c r="S17" s="180"/>
      <c r="T17" s="53"/>
      <c r="U17" s="135"/>
    </row>
    <row r="18" spans="1:21" ht="15.6" customHeight="1" x14ac:dyDescent="0.3">
      <c r="A18" s="309" t="s">
        <v>124</v>
      </c>
      <c r="B18" s="309"/>
      <c r="D18" s="69"/>
      <c r="E18" s="54"/>
      <c r="F18" s="54"/>
      <c r="G18" s="134"/>
      <c r="H18" s="119"/>
      <c r="I18" s="140"/>
      <c r="J18" s="71"/>
      <c r="K18" s="140"/>
      <c r="L18" s="140"/>
      <c r="M18" s="146"/>
      <c r="N18" s="146"/>
      <c r="O18" s="146"/>
      <c r="P18" s="146"/>
      <c r="Q18" s="146"/>
      <c r="R18" s="146"/>
      <c r="S18" s="181"/>
      <c r="T18" s="54"/>
      <c r="U18" s="134"/>
    </row>
    <row r="19" spans="1:21" ht="15.6" customHeight="1" x14ac:dyDescent="0.3">
      <c r="D19" s="62"/>
      <c r="E19" s="53"/>
      <c r="F19" s="53"/>
      <c r="G19" s="135"/>
      <c r="H19" s="118"/>
      <c r="I19" s="141"/>
      <c r="J19" s="64"/>
      <c r="K19" s="141"/>
      <c r="L19" s="141"/>
      <c r="M19" s="147"/>
      <c r="N19" s="147"/>
      <c r="O19" s="147"/>
      <c r="P19" s="147"/>
      <c r="Q19" s="147"/>
      <c r="R19" s="147"/>
      <c r="S19" s="180"/>
      <c r="T19" s="53"/>
      <c r="U19" s="135"/>
    </row>
    <row r="20" spans="1:21" ht="15.6" customHeight="1" x14ac:dyDescent="0.3">
      <c r="D20" s="69"/>
      <c r="E20" s="54"/>
      <c r="F20" s="54"/>
      <c r="G20" s="134"/>
      <c r="H20" s="119"/>
      <c r="I20" s="140"/>
      <c r="J20" s="71"/>
      <c r="K20" s="140"/>
      <c r="L20" s="140"/>
      <c r="M20" s="146"/>
      <c r="N20" s="146"/>
      <c r="O20" s="146"/>
      <c r="P20" s="146"/>
      <c r="Q20" s="146"/>
      <c r="R20" s="146"/>
      <c r="S20" s="181"/>
      <c r="T20" s="54"/>
      <c r="U20" s="134"/>
    </row>
    <row r="21" spans="1:21" ht="15.6" customHeight="1" x14ac:dyDescent="0.3">
      <c r="D21" s="62"/>
      <c r="E21" s="53"/>
      <c r="F21" s="53"/>
      <c r="G21" s="135"/>
      <c r="H21" s="118"/>
      <c r="I21" s="141"/>
      <c r="J21" s="64"/>
      <c r="K21" s="141"/>
      <c r="L21" s="141"/>
      <c r="M21" s="147"/>
      <c r="N21" s="147"/>
      <c r="O21" s="147"/>
      <c r="P21" s="147"/>
      <c r="Q21" s="147"/>
      <c r="R21" s="147"/>
      <c r="S21" s="180"/>
      <c r="T21" s="53"/>
      <c r="U21" s="135"/>
    </row>
    <row r="22" spans="1:21" ht="15.6" customHeight="1" x14ac:dyDescent="0.3">
      <c r="D22" s="69"/>
      <c r="E22" s="54"/>
      <c r="F22" s="54"/>
      <c r="G22" s="134"/>
      <c r="H22" s="119"/>
      <c r="I22" s="140"/>
      <c r="J22" s="71"/>
      <c r="K22" s="140"/>
      <c r="L22" s="140"/>
      <c r="M22" s="146"/>
      <c r="N22" s="146"/>
      <c r="O22" s="146"/>
      <c r="P22" s="146"/>
      <c r="Q22" s="146"/>
      <c r="R22" s="146"/>
      <c r="S22" s="181"/>
      <c r="T22" s="54"/>
      <c r="U22" s="134"/>
    </row>
    <row r="23" spans="1:21" ht="15.6" customHeight="1" x14ac:dyDescent="0.3">
      <c r="D23" s="62"/>
      <c r="E23" s="53"/>
      <c r="F23" s="53"/>
      <c r="G23" s="135"/>
      <c r="H23" s="118"/>
      <c r="I23" s="141"/>
      <c r="J23" s="64"/>
      <c r="K23" s="141"/>
      <c r="L23" s="141"/>
      <c r="M23" s="147"/>
      <c r="N23" s="147"/>
      <c r="O23" s="147"/>
      <c r="P23" s="147"/>
      <c r="Q23" s="147"/>
      <c r="R23" s="147"/>
      <c r="S23" s="180"/>
      <c r="T23" s="53"/>
      <c r="U23" s="135"/>
    </row>
    <row r="24" spans="1:21" ht="15.6" customHeight="1" x14ac:dyDescent="0.3">
      <c r="D24" s="69"/>
      <c r="E24" s="54"/>
      <c r="F24" s="54"/>
      <c r="G24" s="134"/>
      <c r="H24" s="119"/>
      <c r="I24" s="140"/>
      <c r="J24" s="71"/>
      <c r="K24" s="140"/>
      <c r="L24" s="140"/>
      <c r="M24" s="146"/>
      <c r="N24" s="146"/>
      <c r="O24" s="146"/>
      <c r="P24" s="146"/>
      <c r="Q24" s="146"/>
      <c r="R24" s="146"/>
      <c r="S24" s="181"/>
      <c r="T24" s="54"/>
      <c r="U24" s="134"/>
    </row>
    <row r="25" spans="1:21" x14ac:dyDescent="0.3">
      <c r="D25" s="62"/>
      <c r="E25" s="53"/>
      <c r="F25" s="53"/>
      <c r="G25" s="135"/>
      <c r="H25" s="118"/>
      <c r="I25" s="141"/>
      <c r="J25" s="64"/>
      <c r="K25" s="141"/>
      <c r="L25" s="141"/>
      <c r="M25" s="147"/>
      <c r="N25" s="147"/>
      <c r="O25" s="147"/>
      <c r="P25" s="147"/>
      <c r="Q25" s="147"/>
      <c r="R25" s="147"/>
      <c r="S25" s="180"/>
      <c r="T25" s="53"/>
      <c r="U25" s="135"/>
    </row>
    <row r="26" spans="1:21" x14ac:dyDescent="0.3">
      <c r="D26" s="69"/>
      <c r="E26" s="54"/>
      <c r="F26" s="54"/>
      <c r="G26" s="134"/>
      <c r="H26" s="119"/>
      <c r="I26" s="140"/>
      <c r="J26" s="71"/>
      <c r="K26" s="140"/>
      <c r="L26" s="140"/>
      <c r="M26" s="146"/>
      <c r="N26" s="146"/>
      <c r="O26" s="146"/>
      <c r="P26" s="146"/>
      <c r="Q26" s="146"/>
      <c r="R26" s="146"/>
      <c r="S26" s="181"/>
      <c r="T26" s="54"/>
      <c r="U26" s="134"/>
    </row>
    <row r="27" spans="1:21" x14ac:dyDescent="0.3">
      <c r="D27" s="62"/>
      <c r="E27" s="53"/>
      <c r="F27" s="53"/>
      <c r="G27" s="135"/>
      <c r="H27" s="118"/>
      <c r="I27" s="141"/>
      <c r="J27" s="64"/>
      <c r="K27" s="141"/>
      <c r="L27" s="141"/>
      <c r="M27" s="147"/>
      <c r="N27" s="147"/>
      <c r="O27" s="147"/>
      <c r="P27" s="147"/>
      <c r="Q27" s="147"/>
      <c r="R27" s="147"/>
      <c r="S27" s="180"/>
      <c r="T27" s="53"/>
      <c r="U27" s="135"/>
    </row>
    <row r="28" spans="1:21" x14ac:dyDescent="0.3">
      <c r="D28" s="69"/>
      <c r="E28" s="54"/>
      <c r="F28" s="54"/>
      <c r="G28" s="134"/>
      <c r="H28" s="119"/>
      <c r="I28" s="140"/>
      <c r="J28" s="71"/>
      <c r="K28" s="140"/>
      <c r="L28" s="140"/>
      <c r="M28" s="146"/>
      <c r="N28" s="146"/>
      <c r="O28" s="146"/>
      <c r="P28" s="146"/>
      <c r="Q28" s="146"/>
      <c r="R28" s="146"/>
      <c r="S28" s="181"/>
      <c r="T28" s="54"/>
      <c r="U28" s="134"/>
    </row>
    <row r="29" spans="1:21" x14ac:dyDescent="0.3">
      <c r="D29" s="62"/>
      <c r="E29" s="53"/>
      <c r="F29" s="53"/>
      <c r="G29" s="135"/>
      <c r="H29" s="118"/>
      <c r="I29" s="141"/>
      <c r="J29" s="64"/>
      <c r="K29" s="141"/>
      <c r="L29" s="141"/>
      <c r="M29" s="147"/>
      <c r="N29" s="147"/>
      <c r="O29" s="147"/>
      <c r="P29" s="147"/>
      <c r="Q29" s="147"/>
      <c r="R29" s="147"/>
      <c r="S29" s="180"/>
      <c r="T29" s="53"/>
      <c r="U29" s="135"/>
    </row>
    <row r="30" spans="1:21" x14ac:dyDescent="0.3">
      <c r="D30" s="69"/>
      <c r="E30" s="54"/>
      <c r="F30" s="54"/>
      <c r="G30" s="134"/>
      <c r="H30" s="119"/>
      <c r="I30" s="140"/>
      <c r="J30" s="71"/>
      <c r="K30" s="140"/>
      <c r="L30" s="140"/>
      <c r="M30" s="146"/>
      <c r="N30" s="146"/>
      <c r="O30" s="146"/>
      <c r="P30" s="146"/>
      <c r="Q30" s="146"/>
      <c r="R30" s="146"/>
      <c r="S30" s="181"/>
      <c r="T30" s="54"/>
      <c r="U30" s="134"/>
    </row>
    <row r="31" spans="1:21" x14ac:dyDescent="0.3">
      <c r="D31" s="62"/>
      <c r="E31" s="53"/>
      <c r="F31" s="53"/>
      <c r="G31" s="135"/>
      <c r="H31" s="118"/>
      <c r="I31" s="141"/>
      <c r="J31" s="64"/>
      <c r="K31" s="141"/>
      <c r="L31" s="141"/>
      <c r="M31" s="147"/>
      <c r="N31" s="147"/>
      <c r="O31" s="147"/>
      <c r="P31" s="147"/>
      <c r="Q31" s="147"/>
      <c r="R31" s="147"/>
      <c r="S31" s="180"/>
      <c r="T31" s="53"/>
      <c r="U31" s="135"/>
    </row>
    <row r="32" spans="1:21" x14ac:dyDescent="0.3">
      <c r="D32" s="69"/>
      <c r="E32" s="54"/>
      <c r="F32" s="54"/>
      <c r="G32" s="134"/>
      <c r="H32" s="119"/>
      <c r="I32" s="140"/>
      <c r="J32" s="71"/>
      <c r="K32" s="140"/>
      <c r="L32" s="140"/>
      <c r="M32" s="146"/>
      <c r="N32" s="146"/>
      <c r="O32" s="146"/>
      <c r="P32" s="146"/>
      <c r="Q32" s="146"/>
      <c r="R32" s="146"/>
      <c r="S32" s="181"/>
      <c r="T32" s="54"/>
      <c r="U32" s="134"/>
    </row>
    <row r="33" spans="4:21" x14ac:dyDescent="0.3">
      <c r="D33" s="62"/>
      <c r="E33" s="53"/>
      <c r="F33" s="53"/>
      <c r="G33" s="135"/>
      <c r="H33" s="118"/>
      <c r="I33" s="141"/>
      <c r="J33" s="64"/>
      <c r="K33" s="141"/>
      <c r="L33" s="141"/>
      <c r="M33" s="147"/>
      <c r="N33" s="147"/>
      <c r="O33" s="147"/>
      <c r="P33" s="147"/>
      <c r="Q33" s="147"/>
      <c r="R33" s="147"/>
      <c r="S33" s="180"/>
      <c r="T33" s="53"/>
      <c r="U33" s="135"/>
    </row>
    <row r="34" spans="4:21" x14ac:dyDescent="0.3">
      <c r="D34" s="69"/>
      <c r="E34" s="54"/>
      <c r="F34" s="54"/>
      <c r="G34" s="134"/>
      <c r="H34" s="119"/>
      <c r="I34" s="140"/>
      <c r="J34" s="71"/>
      <c r="K34" s="140"/>
      <c r="L34" s="140"/>
      <c r="M34" s="146"/>
      <c r="N34" s="146"/>
      <c r="O34" s="146"/>
      <c r="P34" s="146"/>
      <c r="Q34" s="146"/>
      <c r="R34" s="146"/>
      <c r="S34" s="181"/>
      <c r="T34" s="54"/>
      <c r="U34" s="134"/>
    </row>
    <row r="35" spans="4:21" x14ac:dyDescent="0.3">
      <c r="D35" s="62"/>
      <c r="E35" s="53"/>
      <c r="F35" s="53"/>
      <c r="G35" s="135"/>
      <c r="H35" s="118"/>
      <c r="I35" s="141"/>
      <c r="J35" s="64"/>
      <c r="K35" s="141"/>
      <c r="L35" s="141"/>
      <c r="M35" s="147"/>
      <c r="N35" s="147"/>
      <c r="O35" s="147"/>
      <c r="P35" s="147"/>
      <c r="Q35" s="147"/>
      <c r="R35" s="147"/>
      <c r="S35" s="180"/>
      <c r="T35" s="53"/>
      <c r="U35" s="135"/>
    </row>
    <row r="36" spans="4:21" x14ac:dyDescent="0.3">
      <c r="D36" s="69"/>
      <c r="E36" s="54"/>
      <c r="F36" s="54"/>
      <c r="G36" s="134"/>
      <c r="H36" s="119"/>
      <c r="I36" s="140"/>
      <c r="J36" s="71"/>
      <c r="K36" s="140"/>
      <c r="L36" s="140"/>
      <c r="M36" s="146"/>
      <c r="N36" s="146"/>
      <c r="O36" s="146"/>
      <c r="P36" s="146"/>
      <c r="Q36" s="146"/>
      <c r="R36" s="146"/>
      <c r="S36" s="181"/>
      <c r="T36" s="54"/>
      <c r="U36" s="134"/>
    </row>
    <row r="37" spans="4:21" x14ac:dyDescent="0.3">
      <c r="D37" s="62"/>
      <c r="E37" s="53"/>
      <c r="F37" s="53"/>
      <c r="G37" s="135"/>
      <c r="H37" s="118"/>
      <c r="I37" s="141"/>
      <c r="J37" s="64"/>
      <c r="K37" s="141"/>
      <c r="L37" s="141"/>
      <c r="M37" s="147"/>
      <c r="N37" s="147"/>
      <c r="O37" s="147"/>
      <c r="P37" s="147"/>
      <c r="Q37" s="147"/>
      <c r="R37" s="147"/>
      <c r="S37" s="180"/>
      <c r="T37" s="53"/>
      <c r="U37" s="135"/>
    </row>
    <row r="38" spans="4:21" x14ac:dyDescent="0.3">
      <c r="D38" s="69"/>
      <c r="E38" s="54"/>
      <c r="F38" s="54"/>
      <c r="G38" s="134"/>
      <c r="H38" s="119"/>
      <c r="I38" s="140"/>
      <c r="J38" s="71"/>
      <c r="K38" s="140"/>
      <c r="L38" s="140"/>
      <c r="M38" s="146"/>
      <c r="N38" s="146"/>
      <c r="O38" s="146"/>
      <c r="P38" s="146"/>
      <c r="Q38" s="146"/>
      <c r="R38" s="146"/>
      <c r="S38" s="181"/>
      <c r="T38" s="54"/>
      <c r="U38" s="134"/>
    </row>
    <row r="39" spans="4:21" x14ac:dyDescent="0.3">
      <c r="D39" s="62"/>
      <c r="E39" s="53"/>
      <c r="F39" s="53"/>
      <c r="G39" s="135"/>
      <c r="H39" s="118"/>
      <c r="I39" s="141"/>
      <c r="J39" s="64"/>
      <c r="K39" s="141"/>
      <c r="L39" s="141"/>
      <c r="M39" s="147"/>
      <c r="N39" s="147"/>
      <c r="O39" s="147"/>
      <c r="P39" s="147"/>
      <c r="Q39" s="147"/>
      <c r="R39" s="147"/>
      <c r="S39" s="180"/>
      <c r="T39" s="53"/>
      <c r="U39" s="135"/>
    </row>
    <row r="40" spans="4:21" x14ac:dyDescent="0.3">
      <c r="D40" s="69"/>
      <c r="E40" s="54"/>
      <c r="F40" s="54"/>
      <c r="G40" s="134"/>
      <c r="H40" s="119"/>
      <c r="I40" s="140"/>
      <c r="J40" s="71"/>
      <c r="K40" s="140"/>
      <c r="L40" s="140"/>
      <c r="M40" s="146"/>
      <c r="N40" s="146"/>
      <c r="O40" s="146"/>
      <c r="P40" s="146"/>
      <c r="Q40" s="146"/>
      <c r="R40" s="146"/>
      <c r="S40" s="181"/>
      <c r="T40" s="54"/>
      <c r="U40" s="134"/>
    </row>
    <row r="41" spans="4:21" x14ac:dyDescent="0.3">
      <c r="D41" s="62"/>
      <c r="E41" s="53"/>
      <c r="F41" s="53"/>
      <c r="G41" s="135"/>
      <c r="H41" s="118"/>
      <c r="I41" s="141"/>
      <c r="J41" s="64"/>
      <c r="K41" s="141"/>
      <c r="L41" s="141"/>
      <c r="M41" s="147"/>
      <c r="N41" s="147"/>
      <c r="O41" s="147"/>
      <c r="P41" s="147"/>
      <c r="Q41" s="147"/>
      <c r="R41" s="147"/>
      <c r="S41" s="180"/>
      <c r="T41" s="53"/>
      <c r="U41" s="135"/>
    </row>
    <row r="42" spans="4:21" x14ac:dyDescent="0.3">
      <c r="D42" s="69"/>
      <c r="E42" s="54"/>
      <c r="F42" s="54"/>
      <c r="G42" s="134"/>
      <c r="H42" s="119"/>
      <c r="I42" s="140"/>
      <c r="J42" s="71"/>
      <c r="K42" s="140"/>
      <c r="L42" s="140"/>
      <c r="M42" s="146"/>
      <c r="N42" s="146"/>
      <c r="O42" s="146"/>
      <c r="P42" s="146"/>
      <c r="Q42" s="146"/>
      <c r="R42" s="146"/>
      <c r="S42" s="181"/>
      <c r="T42" s="54"/>
      <c r="U42" s="134"/>
    </row>
    <row r="43" spans="4:21" x14ac:dyDescent="0.3">
      <c r="D43" s="62"/>
      <c r="E43" s="53"/>
      <c r="F43" s="53"/>
      <c r="G43" s="135"/>
      <c r="H43" s="118"/>
      <c r="I43" s="141"/>
      <c r="J43" s="64"/>
      <c r="K43" s="141"/>
      <c r="L43" s="141"/>
      <c r="M43" s="147"/>
      <c r="N43" s="147"/>
      <c r="O43" s="147"/>
      <c r="P43" s="147"/>
      <c r="Q43" s="147"/>
      <c r="R43" s="147"/>
      <c r="S43" s="180"/>
      <c r="T43" s="53"/>
      <c r="U43" s="135"/>
    </row>
    <row r="44" spans="4:21" x14ac:dyDescent="0.3">
      <c r="D44" s="69"/>
      <c r="E44" s="54"/>
      <c r="F44" s="54"/>
      <c r="G44" s="134"/>
      <c r="H44" s="119"/>
      <c r="I44" s="140"/>
      <c r="J44" s="71"/>
      <c r="K44" s="140"/>
      <c r="L44" s="140"/>
      <c r="M44" s="146"/>
      <c r="N44" s="146"/>
      <c r="O44" s="146"/>
      <c r="P44" s="146"/>
      <c r="Q44" s="146"/>
      <c r="R44" s="146"/>
      <c r="S44" s="181"/>
      <c r="T44" s="54"/>
      <c r="U44" s="134"/>
    </row>
    <row r="45" spans="4:21" x14ac:dyDescent="0.3">
      <c r="D45" s="62"/>
      <c r="E45" s="53"/>
      <c r="F45" s="53"/>
      <c r="G45" s="135"/>
      <c r="H45" s="118"/>
      <c r="I45" s="141"/>
      <c r="J45" s="64"/>
      <c r="K45" s="141"/>
      <c r="L45" s="141"/>
      <c r="M45" s="147"/>
      <c r="N45" s="147"/>
      <c r="O45" s="147"/>
      <c r="P45" s="147"/>
      <c r="Q45" s="147"/>
      <c r="R45" s="147"/>
      <c r="S45" s="180"/>
      <c r="T45" s="53"/>
      <c r="U45" s="135"/>
    </row>
    <row r="46" spans="4:21" x14ac:dyDescent="0.3">
      <c r="D46" s="69"/>
      <c r="E46" s="54"/>
      <c r="F46" s="54"/>
      <c r="G46" s="134"/>
      <c r="H46" s="119"/>
      <c r="I46" s="140"/>
      <c r="J46" s="71"/>
      <c r="K46" s="140"/>
      <c r="L46" s="140"/>
      <c r="M46" s="146"/>
      <c r="N46" s="146"/>
      <c r="O46" s="146"/>
      <c r="P46" s="146"/>
      <c r="Q46" s="146"/>
      <c r="R46" s="146"/>
      <c r="S46" s="181"/>
      <c r="T46" s="54"/>
      <c r="U46" s="134"/>
    </row>
    <row r="47" spans="4:21" x14ac:dyDescent="0.3">
      <c r="D47" s="62"/>
      <c r="E47" s="53"/>
      <c r="F47" s="53"/>
      <c r="G47" s="135"/>
      <c r="H47" s="118"/>
      <c r="I47" s="141"/>
      <c r="J47" s="64"/>
      <c r="K47" s="141"/>
      <c r="L47" s="141"/>
      <c r="M47" s="147"/>
      <c r="N47" s="147"/>
      <c r="O47" s="147"/>
      <c r="P47" s="147"/>
      <c r="Q47" s="147"/>
      <c r="R47" s="147"/>
      <c r="S47" s="180"/>
      <c r="T47" s="53"/>
      <c r="U47" s="135"/>
    </row>
    <row r="48" spans="4:21" x14ac:dyDescent="0.3">
      <c r="D48" s="69"/>
      <c r="E48" s="54"/>
      <c r="F48" s="54"/>
      <c r="G48" s="134"/>
      <c r="H48" s="119"/>
      <c r="I48" s="140"/>
      <c r="J48" s="71"/>
      <c r="K48" s="140"/>
      <c r="L48" s="140"/>
      <c r="M48" s="146"/>
      <c r="N48" s="146"/>
      <c r="O48" s="146"/>
      <c r="P48" s="146"/>
      <c r="Q48" s="146"/>
      <c r="R48" s="146"/>
      <c r="S48" s="181"/>
      <c r="T48" s="54"/>
      <c r="U48" s="134"/>
    </row>
    <row r="49" spans="4:21" x14ac:dyDescent="0.3">
      <c r="D49" s="62"/>
      <c r="E49" s="53"/>
      <c r="F49" s="53"/>
      <c r="G49" s="135"/>
      <c r="H49" s="118"/>
      <c r="I49" s="141"/>
      <c r="J49" s="64"/>
      <c r="K49" s="141"/>
      <c r="L49" s="141"/>
      <c r="M49" s="147"/>
      <c r="N49" s="147"/>
      <c r="O49" s="147"/>
      <c r="P49" s="147"/>
      <c r="Q49" s="147"/>
      <c r="R49" s="147"/>
      <c r="S49" s="180"/>
      <c r="T49" s="53"/>
      <c r="U49" s="135"/>
    </row>
    <row r="50" spans="4:21" x14ac:dyDescent="0.3">
      <c r="D50" s="69"/>
      <c r="E50" s="54"/>
      <c r="F50" s="54"/>
      <c r="G50" s="134"/>
      <c r="H50" s="119"/>
      <c r="I50" s="140"/>
      <c r="J50" s="71"/>
      <c r="K50" s="140"/>
      <c r="L50" s="140"/>
      <c r="M50" s="146"/>
      <c r="N50" s="146"/>
      <c r="O50" s="146"/>
      <c r="P50" s="146"/>
      <c r="Q50" s="146"/>
      <c r="R50" s="146"/>
      <c r="S50" s="181"/>
      <c r="T50" s="54"/>
      <c r="U50" s="134"/>
    </row>
    <row r="51" spans="4:21" x14ac:dyDescent="0.3">
      <c r="D51" s="62"/>
      <c r="E51" s="53"/>
      <c r="F51" s="53"/>
      <c r="G51" s="135"/>
      <c r="H51" s="118"/>
      <c r="I51" s="141"/>
      <c r="J51" s="64"/>
      <c r="K51" s="141"/>
      <c r="L51" s="141"/>
      <c r="M51" s="147"/>
      <c r="N51" s="147"/>
      <c r="O51" s="147"/>
      <c r="P51" s="147"/>
      <c r="Q51" s="147"/>
      <c r="R51" s="147"/>
      <c r="S51" s="180"/>
      <c r="T51" s="53"/>
      <c r="U51" s="135"/>
    </row>
    <row r="52" spans="4:21" x14ac:dyDescent="0.3">
      <c r="D52" s="69"/>
      <c r="E52" s="54"/>
      <c r="F52" s="54"/>
      <c r="G52" s="134"/>
      <c r="H52" s="119"/>
      <c r="I52" s="140"/>
      <c r="J52" s="71"/>
      <c r="K52" s="140"/>
      <c r="L52" s="140"/>
      <c r="M52" s="146"/>
      <c r="N52" s="146"/>
      <c r="O52" s="146"/>
      <c r="P52" s="146"/>
      <c r="Q52" s="146"/>
      <c r="R52" s="146"/>
      <c r="S52" s="181"/>
      <c r="T52" s="54"/>
      <c r="U52" s="134"/>
    </row>
    <row r="53" spans="4:21" x14ac:dyDescent="0.3">
      <c r="D53" s="62"/>
      <c r="E53" s="53"/>
      <c r="F53" s="53"/>
      <c r="G53" s="135"/>
      <c r="H53" s="118"/>
      <c r="I53" s="141"/>
      <c r="J53" s="64"/>
      <c r="K53" s="141"/>
      <c r="L53" s="141"/>
      <c r="M53" s="147"/>
      <c r="N53" s="147"/>
      <c r="O53" s="147"/>
      <c r="P53" s="147"/>
      <c r="Q53" s="147"/>
      <c r="R53" s="147"/>
      <c r="S53" s="180"/>
      <c r="T53" s="53"/>
      <c r="U53" s="135"/>
    </row>
    <row r="54" spans="4:21" x14ac:dyDescent="0.3">
      <c r="D54" s="69"/>
      <c r="E54" s="54"/>
      <c r="F54" s="54"/>
      <c r="G54" s="134"/>
      <c r="H54" s="119"/>
      <c r="I54" s="140"/>
      <c r="J54" s="71"/>
      <c r="K54" s="140"/>
      <c r="L54" s="140"/>
      <c r="M54" s="146"/>
      <c r="N54" s="146"/>
      <c r="O54" s="146"/>
      <c r="P54" s="146"/>
      <c r="Q54" s="146"/>
      <c r="R54" s="146"/>
      <c r="S54" s="181"/>
      <c r="T54" s="54"/>
      <c r="U54" s="134"/>
    </row>
    <row r="55" spans="4:21" x14ac:dyDescent="0.3">
      <c r="D55" s="62"/>
      <c r="E55" s="53"/>
      <c r="F55" s="53"/>
      <c r="G55" s="135"/>
      <c r="H55" s="118"/>
      <c r="I55" s="141"/>
      <c r="J55" s="64"/>
      <c r="K55" s="141"/>
      <c r="L55" s="141"/>
      <c r="M55" s="147"/>
      <c r="N55" s="147"/>
      <c r="O55" s="147"/>
      <c r="P55" s="147"/>
      <c r="Q55" s="147"/>
      <c r="R55" s="147"/>
      <c r="S55" s="180"/>
      <c r="T55" s="53"/>
      <c r="U55" s="135"/>
    </row>
    <row r="56" spans="4:21" x14ac:dyDescent="0.3">
      <c r="D56" s="69"/>
      <c r="E56" s="54"/>
      <c r="F56" s="54"/>
      <c r="G56" s="134"/>
      <c r="H56" s="119"/>
      <c r="I56" s="140"/>
      <c r="J56" s="71"/>
      <c r="K56" s="140"/>
      <c r="L56" s="140"/>
      <c r="M56" s="146"/>
      <c r="N56" s="146"/>
      <c r="O56" s="146"/>
      <c r="P56" s="146"/>
      <c r="Q56" s="146"/>
      <c r="R56" s="146"/>
      <c r="S56" s="181"/>
      <c r="T56" s="54"/>
      <c r="U56" s="134"/>
    </row>
    <row r="57" spans="4:21" x14ac:dyDescent="0.3">
      <c r="D57" s="62"/>
      <c r="E57" s="53"/>
      <c r="F57" s="53"/>
      <c r="G57" s="135"/>
      <c r="H57" s="118"/>
      <c r="I57" s="141"/>
      <c r="J57" s="64"/>
      <c r="K57" s="141"/>
      <c r="L57" s="141"/>
      <c r="M57" s="147"/>
      <c r="N57" s="147"/>
      <c r="O57" s="147"/>
      <c r="P57" s="147"/>
      <c r="Q57" s="147"/>
      <c r="R57" s="147"/>
      <c r="S57" s="180"/>
      <c r="T57" s="53"/>
      <c r="U57" s="135"/>
    </row>
    <row r="58" spans="4:21" x14ac:dyDescent="0.3">
      <c r="D58" s="69"/>
      <c r="E58" s="54"/>
      <c r="F58" s="54"/>
      <c r="G58" s="134"/>
      <c r="H58" s="119"/>
      <c r="I58" s="140"/>
      <c r="J58" s="71"/>
      <c r="K58" s="140"/>
      <c r="L58" s="140"/>
      <c r="M58" s="146"/>
      <c r="N58" s="146"/>
      <c r="O58" s="146"/>
      <c r="P58" s="146"/>
      <c r="Q58" s="146"/>
      <c r="R58" s="146"/>
      <c r="S58" s="181"/>
      <c r="T58" s="54"/>
      <c r="U58" s="134"/>
    </row>
    <row r="59" spans="4:21" x14ac:dyDescent="0.3">
      <c r="D59" s="62"/>
      <c r="E59" s="53"/>
      <c r="F59" s="53"/>
      <c r="G59" s="135"/>
      <c r="H59" s="118"/>
      <c r="I59" s="141"/>
      <c r="J59" s="64"/>
      <c r="K59" s="141"/>
      <c r="L59" s="141"/>
      <c r="M59" s="147"/>
      <c r="N59" s="147"/>
      <c r="O59" s="147"/>
      <c r="P59" s="147"/>
      <c r="Q59" s="147"/>
      <c r="R59" s="147"/>
      <c r="S59" s="180"/>
      <c r="T59" s="53"/>
      <c r="U59" s="135"/>
    </row>
    <row r="60" spans="4:21" x14ac:dyDescent="0.3">
      <c r="D60" s="69"/>
      <c r="E60" s="54"/>
      <c r="F60" s="54"/>
      <c r="G60" s="134"/>
      <c r="H60" s="119"/>
      <c r="I60" s="140"/>
      <c r="J60" s="71"/>
      <c r="K60" s="140"/>
      <c r="L60" s="140"/>
      <c r="M60" s="146"/>
      <c r="N60" s="146"/>
      <c r="O60" s="146"/>
      <c r="P60" s="146"/>
      <c r="Q60" s="146"/>
      <c r="R60" s="146"/>
      <c r="S60" s="181"/>
      <c r="T60" s="54"/>
      <c r="U60" s="134"/>
    </row>
    <row r="61" spans="4:21" x14ac:dyDescent="0.3">
      <c r="D61" s="62"/>
      <c r="E61" s="53"/>
      <c r="F61" s="53"/>
      <c r="G61" s="135"/>
      <c r="H61" s="118"/>
      <c r="I61" s="141"/>
      <c r="J61" s="64"/>
      <c r="K61" s="141"/>
      <c r="L61" s="141"/>
      <c r="M61" s="147"/>
      <c r="N61" s="147"/>
      <c r="O61" s="147"/>
      <c r="P61" s="147"/>
      <c r="Q61" s="147"/>
      <c r="R61" s="147"/>
      <c r="S61" s="180"/>
      <c r="T61" s="53"/>
      <c r="U61" s="135"/>
    </row>
    <row r="62" spans="4:21" x14ac:dyDescent="0.3">
      <c r="D62" s="69"/>
      <c r="E62" s="54"/>
      <c r="F62" s="54"/>
      <c r="G62" s="134"/>
      <c r="H62" s="119"/>
      <c r="I62" s="140"/>
      <c r="J62" s="71"/>
      <c r="K62" s="140"/>
      <c r="L62" s="140"/>
      <c r="M62" s="146"/>
      <c r="N62" s="146"/>
      <c r="O62" s="146"/>
      <c r="P62" s="146"/>
      <c r="Q62" s="146"/>
      <c r="R62" s="146"/>
      <c r="S62" s="181"/>
      <c r="T62" s="54"/>
      <c r="U62" s="134"/>
    </row>
    <row r="63" spans="4:21" x14ac:dyDescent="0.3">
      <c r="D63" s="62"/>
      <c r="E63" s="53"/>
      <c r="F63" s="53"/>
      <c r="G63" s="135"/>
      <c r="H63" s="118"/>
      <c r="I63" s="141"/>
      <c r="J63" s="64"/>
      <c r="K63" s="141"/>
      <c r="L63" s="141"/>
      <c r="M63" s="147"/>
      <c r="N63" s="147"/>
      <c r="O63" s="147"/>
      <c r="P63" s="147"/>
      <c r="Q63" s="147"/>
      <c r="R63" s="147"/>
      <c r="S63" s="180"/>
      <c r="T63" s="53"/>
      <c r="U63" s="135"/>
    </row>
    <row r="64" spans="4:21" x14ac:dyDescent="0.3">
      <c r="D64" s="69"/>
      <c r="E64" s="54"/>
      <c r="F64" s="54"/>
      <c r="G64" s="134"/>
      <c r="H64" s="119"/>
      <c r="I64" s="140"/>
      <c r="J64" s="71"/>
      <c r="K64" s="140"/>
      <c r="L64" s="140"/>
      <c r="M64" s="146"/>
      <c r="N64" s="146"/>
      <c r="O64" s="146"/>
      <c r="P64" s="146"/>
      <c r="Q64" s="146"/>
      <c r="R64" s="146"/>
      <c r="S64" s="181"/>
      <c r="T64" s="54"/>
      <c r="U64" s="134"/>
    </row>
    <row r="65" spans="4:21" x14ac:dyDescent="0.3">
      <c r="D65" s="62"/>
      <c r="E65" s="53"/>
      <c r="F65" s="53"/>
      <c r="G65" s="135"/>
      <c r="H65" s="118"/>
      <c r="I65" s="141"/>
      <c r="J65" s="64"/>
      <c r="K65" s="141"/>
      <c r="L65" s="141"/>
      <c r="M65" s="147"/>
      <c r="N65" s="147"/>
      <c r="O65" s="147"/>
      <c r="P65" s="147"/>
      <c r="Q65" s="147"/>
      <c r="R65" s="147"/>
      <c r="S65" s="180"/>
      <c r="T65" s="53"/>
      <c r="U65" s="135"/>
    </row>
    <row r="66" spans="4:21" x14ac:dyDescent="0.3">
      <c r="D66" s="69"/>
      <c r="E66" s="54"/>
      <c r="F66" s="54"/>
      <c r="G66" s="134"/>
      <c r="H66" s="119"/>
      <c r="I66" s="140"/>
      <c r="J66" s="71"/>
      <c r="K66" s="140"/>
      <c r="L66" s="140"/>
      <c r="M66" s="146"/>
      <c r="N66" s="146"/>
      <c r="O66" s="146"/>
      <c r="P66" s="146"/>
      <c r="Q66" s="146"/>
      <c r="R66" s="146"/>
      <c r="S66" s="181"/>
      <c r="T66" s="54"/>
      <c r="U66" s="134"/>
    </row>
    <row r="67" spans="4:21" x14ac:dyDescent="0.3">
      <c r="D67" s="62"/>
      <c r="E67" s="53"/>
      <c r="F67" s="53"/>
      <c r="G67" s="135"/>
      <c r="H67" s="118"/>
      <c r="I67" s="141"/>
      <c r="J67" s="64"/>
      <c r="K67" s="141"/>
      <c r="L67" s="141"/>
      <c r="M67" s="147"/>
      <c r="N67" s="147"/>
      <c r="O67" s="147"/>
      <c r="P67" s="147"/>
      <c r="Q67" s="147"/>
      <c r="R67" s="147"/>
      <c r="S67" s="180"/>
      <c r="T67" s="53"/>
      <c r="U67" s="135"/>
    </row>
    <row r="68" spans="4:21" x14ac:dyDescent="0.3">
      <c r="D68" s="69"/>
      <c r="E68" s="54"/>
      <c r="F68" s="54"/>
      <c r="G68" s="134"/>
      <c r="H68" s="119"/>
      <c r="I68" s="140"/>
      <c r="J68" s="71"/>
      <c r="K68" s="140"/>
      <c r="L68" s="140"/>
      <c r="M68" s="146"/>
      <c r="N68" s="146"/>
      <c r="O68" s="146"/>
      <c r="P68" s="146"/>
      <c r="Q68" s="146"/>
      <c r="R68" s="146"/>
      <c r="S68" s="181"/>
      <c r="T68" s="54"/>
      <c r="U68" s="134"/>
    </row>
    <row r="69" spans="4:21" x14ac:dyDescent="0.3">
      <c r="D69" s="62"/>
      <c r="E69" s="53"/>
      <c r="F69" s="53"/>
      <c r="G69" s="135"/>
      <c r="H69" s="118"/>
      <c r="I69" s="141"/>
      <c r="J69" s="64"/>
      <c r="K69" s="141"/>
      <c r="L69" s="141"/>
      <c r="M69" s="147"/>
      <c r="N69" s="147"/>
      <c r="O69" s="147"/>
      <c r="P69" s="147"/>
      <c r="Q69" s="147"/>
      <c r="R69" s="147"/>
      <c r="S69" s="180"/>
      <c r="T69" s="53"/>
      <c r="U69" s="135"/>
    </row>
    <row r="70" spans="4:21" x14ac:dyDescent="0.3">
      <c r="D70" s="69"/>
      <c r="E70" s="54"/>
      <c r="F70" s="54"/>
      <c r="G70" s="134"/>
      <c r="H70" s="119"/>
      <c r="I70" s="140"/>
      <c r="J70" s="71"/>
      <c r="K70" s="140"/>
      <c r="L70" s="140"/>
      <c r="M70" s="146"/>
      <c r="N70" s="146"/>
      <c r="O70" s="146"/>
      <c r="P70" s="146"/>
      <c r="Q70" s="146"/>
      <c r="R70" s="146"/>
      <c r="S70" s="181"/>
      <c r="T70" s="54"/>
      <c r="U70" s="134"/>
    </row>
    <row r="71" spans="4:21" x14ac:dyDescent="0.3">
      <c r="D71" s="62"/>
      <c r="E71" s="53"/>
      <c r="F71" s="53"/>
      <c r="G71" s="135"/>
      <c r="H71" s="118"/>
      <c r="I71" s="141"/>
      <c r="J71" s="64"/>
      <c r="K71" s="141"/>
      <c r="L71" s="141"/>
      <c r="M71" s="147"/>
      <c r="N71" s="147"/>
      <c r="O71" s="147"/>
      <c r="P71" s="147"/>
      <c r="Q71" s="147"/>
      <c r="R71" s="147"/>
      <c r="S71" s="180"/>
      <c r="T71" s="53"/>
      <c r="U71" s="135"/>
    </row>
    <row r="72" spans="4:21" x14ac:dyDescent="0.3">
      <c r="D72" s="69"/>
      <c r="E72" s="54"/>
      <c r="F72" s="54"/>
      <c r="G72" s="134"/>
      <c r="H72" s="119"/>
      <c r="I72" s="140"/>
      <c r="J72" s="71"/>
      <c r="K72" s="140"/>
      <c r="L72" s="140"/>
      <c r="M72" s="146"/>
      <c r="N72" s="146"/>
      <c r="O72" s="146"/>
      <c r="P72" s="146"/>
      <c r="Q72" s="146"/>
      <c r="R72" s="146"/>
      <c r="S72" s="181"/>
      <c r="T72" s="54"/>
      <c r="U72" s="134"/>
    </row>
    <row r="73" spans="4:21" x14ac:dyDescent="0.3">
      <c r="D73" s="62"/>
      <c r="E73" s="53"/>
      <c r="F73" s="53"/>
      <c r="G73" s="135"/>
      <c r="H73" s="118"/>
      <c r="I73" s="141"/>
      <c r="J73" s="64"/>
      <c r="K73" s="141"/>
      <c r="L73" s="141"/>
      <c r="M73" s="147"/>
      <c r="N73" s="147"/>
      <c r="O73" s="147"/>
      <c r="P73" s="147"/>
      <c r="Q73" s="147"/>
      <c r="R73" s="147"/>
      <c r="S73" s="180"/>
      <c r="T73" s="53"/>
      <c r="U73" s="135"/>
    </row>
    <row r="74" spans="4:21" x14ac:dyDescent="0.3">
      <c r="D74" s="69"/>
      <c r="E74" s="54"/>
      <c r="F74" s="54"/>
      <c r="G74" s="134"/>
      <c r="H74" s="119"/>
      <c r="I74" s="140"/>
      <c r="J74" s="71"/>
      <c r="K74" s="140"/>
      <c r="L74" s="140"/>
      <c r="M74" s="146"/>
      <c r="N74" s="146"/>
      <c r="O74" s="146"/>
      <c r="P74" s="146"/>
      <c r="Q74" s="146"/>
      <c r="R74" s="146"/>
      <c r="S74" s="181"/>
      <c r="T74" s="54"/>
      <c r="U74" s="134"/>
    </row>
    <row r="75" spans="4:21" x14ac:dyDescent="0.3">
      <c r="D75" s="62"/>
      <c r="E75" s="53"/>
      <c r="F75" s="53"/>
      <c r="G75" s="135"/>
      <c r="H75" s="118"/>
      <c r="I75" s="141"/>
      <c r="J75" s="64"/>
      <c r="K75" s="141"/>
      <c r="L75" s="141"/>
      <c r="M75" s="147"/>
      <c r="N75" s="147"/>
      <c r="O75" s="147"/>
      <c r="P75" s="147"/>
      <c r="Q75" s="147"/>
      <c r="R75" s="147"/>
      <c r="S75" s="180"/>
      <c r="T75" s="53"/>
      <c r="U75" s="135"/>
    </row>
    <row r="76" spans="4:21" x14ac:dyDescent="0.3">
      <c r="D76" s="69"/>
      <c r="E76" s="54"/>
      <c r="F76" s="54"/>
      <c r="G76" s="134"/>
      <c r="H76" s="119"/>
      <c r="I76" s="140"/>
      <c r="J76" s="71"/>
      <c r="K76" s="140"/>
      <c r="L76" s="140"/>
      <c r="M76" s="146"/>
      <c r="N76" s="146"/>
      <c r="O76" s="146"/>
      <c r="P76" s="146"/>
      <c r="Q76" s="146"/>
      <c r="R76" s="146"/>
      <c r="S76" s="181"/>
      <c r="T76" s="54"/>
      <c r="U76" s="134"/>
    </row>
    <row r="77" spans="4:21" x14ac:dyDescent="0.3">
      <c r="D77" s="62"/>
      <c r="E77" s="53"/>
      <c r="F77" s="53"/>
      <c r="G77" s="135"/>
      <c r="H77" s="118"/>
      <c r="I77" s="141"/>
      <c r="J77" s="64"/>
      <c r="K77" s="141"/>
      <c r="L77" s="141"/>
      <c r="M77" s="147"/>
      <c r="N77" s="147"/>
      <c r="O77" s="147"/>
      <c r="P77" s="147"/>
      <c r="Q77" s="147"/>
      <c r="R77" s="147"/>
      <c r="S77" s="180"/>
      <c r="T77" s="53"/>
      <c r="U77" s="135"/>
    </row>
    <row r="78" spans="4:21" x14ac:dyDescent="0.3">
      <c r="D78" s="69"/>
      <c r="E78" s="54"/>
      <c r="F78" s="54"/>
      <c r="G78" s="134"/>
      <c r="H78" s="119"/>
      <c r="I78" s="140"/>
      <c r="J78" s="71"/>
      <c r="K78" s="140"/>
      <c r="L78" s="140"/>
      <c r="M78" s="146"/>
      <c r="N78" s="146"/>
      <c r="O78" s="146"/>
      <c r="P78" s="146"/>
      <c r="Q78" s="146"/>
      <c r="R78" s="146"/>
      <c r="S78" s="181"/>
      <c r="T78" s="54"/>
      <c r="U78" s="134"/>
    </row>
    <row r="79" spans="4:21" x14ac:dyDescent="0.3">
      <c r="D79" s="62"/>
      <c r="E79" s="53"/>
      <c r="F79" s="53"/>
      <c r="G79" s="135"/>
      <c r="H79" s="118"/>
      <c r="I79" s="141"/>
      <c r="J79" s="64"/>
      <c r="K79" s="141"/>
      <c r="L79" s="141"/>
      <c r="M79" s="147"/>
      <c r="N79" s="147"/>
      <c r="O79" s="147"/>
      <c r="P79" s="147"/>
      <c r="Q79" s="147"/>
      <c r="R79" s="147"/>
      <c r="S79" s="180"/>
      <c r="T79" s="53"/>
      <c r="U79" s="135"/>
    </row>
    <row r="80" spans="4:21" x14ac:dyDescent="0.3">
      <c r="D80" s="69"/>
      <c r="E80" s="54"/>
      <c r="F80" s="54"/>
      <c r="G80" s="134"/>
      <c r="H80" s="119"/>
      <c r="I80" s="140"/>
      <c r="J80" s="71"/>
      <c r="K80" s="140"/>
      <c r="L80" s="140"/>
      <c r="M80" s="146"/>
      <c r="N80" s="146"/>
      <c r="O80" s="146"/>
      <c r="P80" s="146"/>
      <c r="Q80" s="146"/>
      <c r="R80" s="146"/>
      <c r="S80" s="181"/>
      <c r="T80" s="54"/>
      <c r="U80" s="134"/>
    </row>
    <row r="81" spans="4:21" x14ac:dyDescent="0.3">
      <c r="D81" s="62"/>
      <c r="E81" s="53"/>
      <c r="F81" s="53"/>
      <c r="G81" s="135"/>
      <c r="H81" s="118"/>
      <c r="I81" s="141"/>
      <c r="J81" s="64"/>
      <c r="K81" s="141"/>
      <c r="L81" s="141"/>
      <c r="M81" s="147"/>
      <c r="N81" s="147"/>
      <c r="O81" s="147"/>
      <c r="P81" s="147"/>
      <c r="Q81" s="147"/>
      <c r="R81" s="147"/>
      <c r="S81" s="180"/>
      <c r="T81" s="53"/>
      <c r="U81" s="135"/>
    </row>
    <row r="82" spans="4:21" x14ac:dyDescent="0.3">
      <c r="D82" s="69"/>
      <c r="E82" s="54"/>
      <c r="F82" s="54"/>
      <c r="G82" s="134"/>
      <c r="H82" s="119"/>
      <c r="I82" s="140"/>
      <c r="J82" s="71"/>
      <c r="K82" s="140"/>
      <c r="L82" s="140"/>
      <c r="M82" s="146"/>
      <c r="N82" s="146"/>
      <c r="O82" s="146"/>
      <c r="P82" s="146"/>
      <c r="Q82" s="146"/>
      <c r="R82" s="146"/>
      <c r="S82" s="181"/>
      <c r="T82" s="54"/>
      <c r="U82" s="134"/>
    </row>
    <row r="83" spans="4:21" x14ac:dyDescent="0.3">
      <c r="D83" s="62"/>
      <c r="E83" s="53"/>
      <c r="F83" s="53"/>
      <c r="G83" s="135"/>
      <c r="H83" s="118"/>
      <c r="I83" s="141"/>
      <c r="J83" s="64"/>
      <c r="K83" s="141"/>
      <c r="L83" s="141"/>
      <c r="M83" s="147"/>
      <c r="N83" s="147"/>
      <c r="O83" s="147"/>
      <c r="P83" s="147"/>
      <c r="Q83" s="147"/>
      <c r="R83" s="147"/>
      <c r="S83" s="180"/>
      <c r="T83" s="53"/>
      <c r="U83" s="135"/>
    </row>
    <row r="84" spans="4:21" x14ac:dyDescent="0.3">
      <c r="D84" s="69"/>
      <c r="E84" s="54"/>
      <c r="F84" s="54"/>
      <c r="G84" s="134"/>
      <c r="H84" s="119"/>
      <c r="I84" s="140"/>
      <c r="J84" s="71"/>
      <c r="K84" s="140"/>
      <c r="L84" s="140"/>
      <c r="M84" s="146"/>
      <c r="N84" s="146"/>
      <c r="O84" s="146"/>
      <c r="P84" s="146"/>
      <c r="Q84" s="146"/>
      <c r="R84" s="146"/>
      <c r="S84" s="181"/>
      <c r="T84" s="54"/>
      <c r="U84" s="134"/>
    </row>
    <row r="85" spans="4:21" x14ac:dyDescent="0.3">
      <c r="D85" s="62"/>
      <c r="E85" s="53"/>
      <c r="F85" s="53"/>
      <c r="G85" s="135"/>
      <c r="H85" s="118"/>
      <c r="I85" s="141"/>
      <c r="J85" s="64"/>
      <c r="K85" s="141"/>
      <c r="L85" s="141"/>
      <c r="M85" s="147"/>
      <c r="N85" s="147"/>
      <c r="O85" s="147"/>
      <c r="P85" s="147"/>
      <c r="Q85" s="147"/>
      <c r="R85" s="147"/>
      <c r="S85" s="180"/>
      <c r="T85" s="53"/>
      <c r="U85" s="135"/>
    </row>
    <row r="86" spans="4:21" x14ac:dyDescent="0.3">
      <c r="D86" s="69"/>
      <c r="E86" s="54"/>
      <c r="F86" s="54"/>
      <c r="G86" s="134"/>
      <c r="H86" s="119"/>
      <c r="I86" s="140"/>
      <c r="J86" s="71"/>
      <c r="K86" s="140"/>
      <c r="L86" s="140"/>
      <c r="M86" s="146"/>
      <c r="N86" s="146"/>
      <c r="O86" s="146"/>
      <c r="P86" s="146"/>
      <c r="Q86" s="146"/>
      <c r="R86" s="146"/>
      <c r="S86" s="181"/>
      <c r="T86" s="54"/>
      <c r="U86" s="134"/>
    </row>
    <row r="87" spans="4:21" x14ac:dyDescent="0.3">
      <c r="D87" s="62"/>
      <c r="E87" s="53"/>
      <c r="F87" s="53"/>
      <c r="G87" s="135"/>
      <c r="H87" s="118"/>
      <c r="I87" s="141"/>
      <c r="J87" s="64"/>
      <c r="K87" s="141"/>
      <c r="L87" s="141"/>
      <c r="M87" s="147"/>
      <c r="N87" s="147"/>
      <c r="O87" s="147"/>
      <c r="P87" s="147"/>
      <c r="Q87" s="147"/>
      <c r="R87" s="147"/>
      <c r="S87" s="180"/>
      <c r="T87" s="53"/>
      <c r="U87" s="135"/>
    </row>
    <row r="88" spans="4:21" x14ac:dyDescent="0.3">
      <c r="D88" s="69"/>
      <c r="E88" s="54"/>
      <c r="F88" s="54"/>
      <c r="G88" s="134"/>
      <c r="H88" s="119"/>
      <c r="I88" s="140"/>
      <c r="J88" s="71"/>
      <c r="K88" s="140"/>
      <c r="L88" s="140"/>
      <c r="M88" s="146"/>
      <c r="N88" s="146"/>
      <c r="O88" s="146"/>
      <c r="P88" s="146"/>
      <c r="Q88" s="146"/>
      <c r="R88" s="146"/>
      <c r="S88" s="181"/>
      <c r="T88" s="54"/>
      <c r="U88" s="134"/>
    </row>
    <row r="89" spans="4:21" x14ac:dyDescent="0.3">
      <c r="D89" s="62"/>
      <c r="E89" s="53"/>
      <c r="F89" s="53"/>
      <c r="G89" s="135"/>
      <c r="H89" s="118"/>
      <c r="I89" s="141"/>
      <c r="J89" s="64"/>
      <c r="K89" s="141"/>
      <c r="L89" s="141"/>
      <c r="M89" s="147"/>
      <c r="N89" s="147"/>
      <c r="O89" s="147"/>
      <c r="P89" s="147"/>
      <c r="Q89" s="147"/>
      <c r="R89" s="147"/>
      <c r="S89" s="180"/>
      <c r="T89" s="53"/>
      <c r="U89" s="135"/>
    </row>
    <row r="90" spans="4:21" x14ac:dyDescent="0.3">
      <c r="D90" s="69"/>
      <c r="E90" s="54"/>
      <c r="F90" s="54"/>
      <c r="G90" s="134"/>
      <c r="H90" s="119"/>
      <c r="I90" s="140"/>
      <c r="J90" s="71"/>
      <c r="K90" s="140"/>
      <c r="L90" s="140"/>
      <c r="M90" s="146"/>
      <c r="N90" s="146"/>
      <c r="O90" s="146"/>
      <c r="P90" s="146"/>
      <c r="Q90" s="146"/>
      <c r="R90" s="146"/>
      <c r="S90" s="181"/>
      <c r="T90" s="54"/>
      <c r="U90" s="134"/>
    </row>
    <row r="91" spans="4:21" x14ac:dyDescent="0.3">
      <c r="D91" s="62"/>
      <c r="E91" s="53"/>
      <c r="F91" s="53"/>
      <c r="G91" s="135"/>
      <c r="H91" s="118"/>
      <c r="I91" s="141"/>
      <c r="J91" s="64"/>
      <c r="K91" s="141"/>
      <c r="L91" s="141"/>
      <c r="M91" s="147"/>
      <c r="N91" s="147"/>
      <c r="O91" s="147"/>
      <c r="P91" s="147"/>
      <c r="Q91" s="147"/>
      <c r="R91" s="147"/>
      <c r="S91" s="180"/>
      <c r="T91" s="53"/>
      <c r="U91" s="135"/>
    </row>
    <row r="92" spans="4:21" x14ac:dyDescent="0.3">
      <c r="D92" s="69"/>
      <c r="E92" s="54"/>
      <c r="F92" s="54"/>
      <c r="G92" s="134"/>
      <c r="H92" s="119"/>
      <c r="I92" s="140"/>
      <c r="J92" s="71"/>
      <c r="K92" s="140"/>
      <c r="L92" s="140"/>
      <c r="M92" s="146"/>
      <c r="N92" s="146"/>
      <c r="O92" s="146"/>
      <c r="P92" s="146"/>
      <c r="Q92" s="146"/>
      <c r="R92" s="146"/>
      <c r="S92" s="181"/>
      <c r="T92" s="54"/>
      <c r="U92" s="134"/>
    </row>
    <row r="93" spans="4:21" x14ac:dyDescent="0.3">
      <c r="D93" s="62"/>
      <c r="E93" s="53"/>
      <c r="F93" s="53"/>
      <c r="G93" s="135"/>
      <c r="H93" s="118"/>
      <c r="I93" s="141"/>
      <c r="J93" s="64"/>
      <c r="K93" s="141"/>
      <c r="L93" s="141"/>
      <c r="M93" s="147"/>
      <c r="N93" s="147"/>
      <c r="O93" s="147"/>
      <c r="P93" s="147"/>
      <c r="Q93" s="147"/>
      <c r="R93" s="147"/>
      <c r="S93" s="180"/>
      <c r="T93" s="53"/>
      <c r="U93" s="135"/>
    </row>
    <row r="94" spans="4:21" x14ac:dyDescent="0.3">
      <c r="D94" s="69"/>
      <c r="E94" s="54"/>
      <c r="F94" s="54"/>
      <c r="G94" s="134"/>
      <c r="H94" s="119"/>
      <c r="I94" s="140"/>
      <c r="J94" s="71"/>
      <c r="K94" s="140"/>
      <c r="L94" s="140"/>
      <c r="M94" s="146"/>
      <c r="N94" s="146"/>
      <c r="O94" s="146"/>
      <c r="P94" s="146"/>
      <c r="Q94" s="146"/>
      <c r="R94" s="146"/>
      <c r="S94" s="181"/>
      <c r="T94" s="54"/>
      <c r="U94" s="134"/>
    </row>
    <row r="95" spans="4:21" x14ac:dyDescent="0.3">
      <c r="D95" s="62"/>
      <c r="E95" s="53"/>
      <c r="F95" s="53"/>
      <c r="G95" s="135"/>
      <c r="H95" s="118"/>
      <c r="I95" s="141"/>
      <c r="J95" s="64"/>
      <c r="K95" s="141"/>
      <c r="L95" s="141"/>
      <c r="M95" s="147"/>
      <c r="N95" s="147"/>
      <c r="O95" s="147"/>
      <c r="P95" s="147"/>
      <c r="Q95" s="147"/>
      <c r="R95" s="147"/>
      <c r="S95" s="180"/>
      <c r="T95" s="53"/>
      <c r="U95" s="135"/>
    </row>
    <row r="96" spans="4:21" x14ac:dyDescent="0.3">
      <c r="D96" s="69"/>
      <c r="E96" s="54"/>
      <c r="F96" s="54"/>
      <c r="G96" s="134"/>
      <c r="H96" s="119"/>
      <c r="I96" s="140"/>
      <c r="J96" s="71"/>
      <c r="K96" s="140"/>
      <c r="L96" s="140"/>
      <c r="M96" s="146"/>
      <c r="N96" s="146"/>
      <c r="O96" s="146"/>
      <c r="P96" s="146"/>
      <c r="Q96" s="146"/>
      <c r="R96" s="146"/>
      <c r="S96" s="181"/>
      <c r="T96" s="54"/>
      <c r="U96" s="134"/>
    </row>
    <row r="97" spans="4:21" x14ac:dyDescent="0.3">
      <c r="D97" s="62"/>
      <c r="E97" s="53"/>
      <c r="F97" s="53"/>
      <c r="G97" s="135"/>
      <c r="H97" s="118"/>
      <c r="I97" s="141"/>
      <c r="J97" s="64"/>
      <c r="K97" s="141"/>
      <c r="L97" s="141"/>
      <c r="M97" s="147"/>
      <c r="N97" s="147"/>
      <c r="O97" s="147"/>
      <c r="P97" s="147"/>
      <c r="Q97" s="147"/>
      <c r="R97" s="147"/>
      <c r="S97" s="180"/>
      <c r="T97" s="53"/>
      <c r="U97" s="135"/>
    </row>
    <row r="98" spans="4:21" x14ac:dyDescent="0.3">
      <c r="D98" s="69"/>
      <c r="E98" s="54"/>
      <c r="F98" s="54"/>
      <c r="G98" s="134"/>
      <c r="H98" s="119"/>
      <c r="I98" s="140"/>
      <c r="J98" s="71"/>
      <c r="K98" s="140"/>
      <c r="L98" s="140"/>
      <c r="M98" s="146"/>
      <c r="N98" s="146"/>
      <c r="O98" s="146"/>
      <c r="P98" s="146"/>
      <c r="Q98" s="146"/>
      <c r="R98" s="146"/>
      <c r="S98" s="181"/>
      <c r="T98" s="54"/>
      <c r="U98" s="134"/>
    </row>
    <row r="99" spans="4:21" x14ac:dyDescent="0.3">
      <c r="D99" s="62"/>
      <c r="E99" s="53"/>
      <c r="F99" s="53"/>
      <c r="G99" s="135"/>
      <c r="H99" s="118"/>
      <c r="I99" s="141"/>
      <c r="J99" s="64"/>
      <c r="K99" s="141"/>
      <c r="L99" s="141"/>
      <c r="M99" s="147"/>
      <c r="N99" s="147"/>
      <c r="O99" s="147"/>
      <c r="P99" s="147"/>
      <c r="Q99" s="147"/>
      <c r="R99" s="147"/>
      <c r="S99" s="180"/>
      <c r="T99" s="53"/>
      <c r="U99" s="135"/>
    </row>
    <row r="100" spans="4:21" x14ac:dyDescent="0.3">
      <c r="D100" s="69"/>
      <c r="E100" s="54"/>
      <c r="F100" s="54"/>
      <c r="G100" s="134"/>
      <c r="H100" s="119"/>
      <c r="I100" s="140"/>
      <c r="J100" s="71"/>
      <c r="K100" s="140"/>
      <c r="L100" s="140"/>
      <c r="M100" s="146"/>
      <c r="N100" s="146"/>
      <c r="O100" s="146"/>
      <c r="P100" s="146"/>
      <c r="Q100" s="146"/>
      <c r="R100" s="146"/>
      <c r="S100" s="181"/>
      <c r="T100" s="54"/>
      <c r="U100" s="134"/>
    </row>
    <row r="101" spans="4:21" x14ac:dyDescent="0.3">
      <c r="D101" s="62"/>
      <c r="E101" s="53"/>
      <c r="F101" s="53"/>
      <c r="G101" s="135"/>
      <c r="H101" s="118"/>
      <c r="I101" s="141"/>
      <c r="J101" s="64"/>
      <c r="K101" s="141"/>
      <c r="L101" s="141"/>
      <c r="M101" s="147"/>
      <c r="N101" s="147"/>
      <c r="O101" s="147"/>
      <c r="P101" s="147"/>
      <c r="Q101" s="147"/>
      <c r="R101" s="147"/>
      <c r="S101" s="180"/>
      <c r="T101" s="53"/>
      <c r="U101" s="135"/>
    </row>
    <row r="102" spans="4:21" x14ac:dyDescent="0.3">
      <c r="D102" s="69"/>
      <c r="E102" s="54"/>
      <c r="F102" s="54"/>
      <c r="G102" s="134"/>
      <c r="H102" s="119"/>
      <c r="I102" s="140"/>
      <c r="J102" s="71"/>
      <c r="K102" s="140"/>
      <c r="L102" s="140"/>
      <c r="M102" s="146"/>
      <c r="N102" s="146"/>
      <c r="O102" s="146"/>
      <c r="P102" s="146"/>
      <c r="Q102" s="146"/>
      <c r="R102" s="146"/>
      <c r="S102" s="181"/>
      <c r="T102" s="54"/>
      <c r="U102" s="134"/>
    </row>
    <row r="103" spans="4:21" x14ac:dyDescent="0.3">
      <c r="D103" s="62"/>
      <c r="E103" s="53"/>
      <c r="F103" s="53"/>
      <c r="G103" s="135"/>
      <c r="H103" s="118"/>
      <c r="I103" s="141"/>
      <c r="J103" s="64"/>
      <c r="K103" s="141"/>
      <c r="L103" s="141"/>
      <c r="M103" s="147"/>
      <c r="N103" s="147"/>
      <c r="O103" s="147"/>
      <c r="P103" s="147"/>
      <c r="Q103" s="147"/>
      <c r="R103" s="147"/>
      <c r="S103" s="180"/>
      <c r="T103" s="53"/>
      <c r="U103" s="135"/>
    </row>
    <row r="104" spans="4:21" x14ac:dyDescent="0.3">
      <c r="D104" s="69"/>
      <c r="E104" s="54"/>
      <c r="F104" s="54"/>
      <c r="G104" s="134"/>
      <c r="H104" s="119"/>
      <c r="I104" s="140"/>
      <c r="J104" s="71"/>
      <c r="K104" s="140"/>
      <c r="L104" s="140"/>
      <c r="M104" s="146"/>
      <c r="N104" s="146"/>
      <c r="O104" s="146"/>
      <c r="P104" s="146"/>
      <c r="Q104" s="146"/>
      <c r="R104" s="146"/>
      <c r="S104" s="181"/>
      <c r="T104" s="54"/>
      <c r="U104" s="134"/>
    </row>
    <row r="105" spans="4:21" x14ac:dyDescent="0.3">
      <c r="D105" s="62"/>
      <c r="E105" s="53"/>
      <c r="F105" s="53"/>
      <c r="G105" s="135"/>
      <c r="H105" s="118"/>
      <c r="I105" s="141"/>
      <c r="J105" s="64"/>
      <c r="K105" s="141"/>
      <c r="L105" s="141"/>
      <c r="M105" s="147"/>
      <c r="N105" s="147"/>
      <c r="O105" s="147"/>
      <c r="P105" s="147"/>
      <c r="Q105" s="147"/>
      <c r="R105" s="147"/>
      <c r="S105" s="180"/>
      <c r="T105" s="53"/>
      <c r="U105" s="135"/>
    </row>
    <row r="106" spans="4:21" x14ac:dyDescent="0.3">
      <c r="D106" s="69"/>
      <c r="E106" s="54"/>
      <c r="F106" s="54"/>
      <c r="G106" s="134"/>
      <c r="H106" s="119"/>
      <c r="I106" s="140"/>
      <c r="J106" s="71"/>
      <c r="K106" s="140"/>
      <c r="L106" s="140"/>
      <c r="M106" s="146"/>
      <c r="N106" s="146"/>
      <c r="O106" s="146"/>
      <c r="P106" s="146"/>
      <c r="Q106" s="146"/>
      <c r="R106" s="146"/>
      <c r="S106" s="181"/>
      <c r="T106" s="54"/>
      <c r="U106" s="134"/>
    </row>
    <row r="107" spans="4:21" x14ac:dyDescent="0.3">
      <c r="D107" s="62"/>
      <c r="E107" s="53"/>
      <c r="F107" s="53"/>
      <c r="G107" s="135"/>
      <c r="H107" s="118"/>
      <c r="I107" s="141"/>
      <c r="J107" s="64"/>
      <c r="K107" s="141"/>
      <c r="L107" s="141"/>
      <c r="M107" s="147"/>
      <c r="N107" s="147"/>
      <c r="O107" s="147"/>
      <c r="P107" s="147"/>
      <c r="Q107" s="147"/>
      <c r="R107" s="147"/>
      <c r="S107" s="180"/>
      <c r="T107" s="53"/>
      <c r="U107" s="135"/>
    </row>
    <row r="108" spans="4:21" x14ac:dyDescent="0.3">
      <c r="D108" s="69"/>
      <c r="E108" s="54"/>
      <c r="F108" s="54"/>
      <c r="G108" s="134"/>
      <c r="H108" s="119"/>
      <c r="I108" s="140"/>
      <c r="J108" s="71"/>
      <c r="K108" s="140"/>
      <c r="L108" s="140"/>
      <c r="M108" s="146"/>
      <c r="N108" s="146"/>
      <c r="O108" s="146"/>
      <c r="P108" s="146"/>
      <c r="Q108" s="146"/>
      <c r="R108" s="146"/>
      <c r="S108" s="181"/>
      <c r="T108" s="54"/>
      <c r="U108" s="134"/>
    </row>
    <row r="109" spans="4:21" x14ac:dyDescent="0.3">
      <c r="D109" s="62"/>
      <c r="E109" s="53"/>
      <c r="F109" s="53"/>
      <c r="G109" s="135"/>
      <c r="H109" s="118"/>
      <c r="I109" s="141"/>
      <c r="J109" s="64"/>
      <c r="K109" s="141"/>
      <c r="L109" s="141"/>
      <c r="M109" s="147"/>
      <c r="N109" s="147"/>
      <c r="O109" s="147"/>
      <c r="P109" s="147"/>
      <c r="Q109" s="147"/>
      <c r="R109" s="147"/>
      <c r="S109" s="180"/>
      <c r="T109" s="53"/>
      <c r="U109" s="135"/>
    </row>
    <row r="110" spans="4:21" x14ac:dyDescent="0.3">
      <c r="D110" s="69"/>
      <c r="E110" s="54"/>
      <c r="F110" s="54"/>
      <c r="G110" s="134"/>
      <c r="H110" s="119"/>
      <c r="I110" s="140"/>
      <c r="J110" s="71"/>
      <c r="K110" s="140"/>
      <c r="L110" s="140"/>
      <c r="M110" s="146"/>
      <c r="N110" s="146"/>
      <c r="O110" s="146"/>
      <c r="P110" s="146"/>
      <c r="Q110" s="146"/>
      <c r="R110" s="146"/>
      <c r="S110" s="181"/>
      <c r="T110" s="54"/>
      <c r="U110" s="134"/>
    </row>
    <row r="111" spans="4:21" x14ac:dyDescent="0.3">
      <c r="D111" s="62"/>
      <c r="E111" s="53"/>
      <c r="F111" s="53"/>
      <c r="G111" s="135"/>
      <c r="H111" s="118"/>
      <c r="I111" s="141"/>
      <c r="J111" s="64"/>
      <c r="K111" s="141"/>
      <c r="L111" s="141"/>
      <c r="M111" s="147"/>
      <c r="N111" s="147"/>
      <c r="O111" s="147"/>
      <c r="P111" s="147"/>
      <c r="Q111" s="147"/>
      <c r="R111" s="147"/>
      <c r="S111" s="180"/>
      <c r="T111" s="53"/>
      <c r="U111" s="135"/>
    </row>
    <row r="112" spans="4:21" x14ac:dyDescent="0.3">
      <c r="D112" s="69"/>
      <c r="E112" s="54"/>
      <c r="F112" s="54"/>
      <c r="G112" s="134"/>
      <c r="H112" s="119"/>
      <c r="I112" s="140"/>
      <c r="J112" s="71"/>
      <c r="K112" s="140"/>
      <c r="L112" s="140"/>
      <c r="M112" s="146"/>
      <c r="N112" s="146"/>
      <c r="O112" s="146"/>
      <c r="P112" s="146"/>
      <c r="Q112" s="146"/>
      <c r="R112" s="146"/>
      <c r="S112" s="181"/>
      <c r="T112" s="54"/>
      <c r="U112" s="134"/>
    </row>
    <row r="113" spans="4:21" x14ac:dyDescent="0.3">
      <c r="D113" s="62"/>
      <c r="E113" s="53"/>
      <c r="F113" s="53"/>
      <c r="G113" s="135"/>
      <c r="H113" s="118"/>
      <c r="I113" s="141"/>
      <c r="J113" s="64"/>
      <c r="K113" s="141"/>
      <c r="L113" s="141"/>
      <c r="M113" s="147"/>
      <c r="N113" s="147"/>
      <c r="O113" s="147"/>
      <c r="P113" s="147"/>
      <c r="Q113" s="147"/>
      <c r="R113" s="147"/>
      <c r="S113" s="180"/>
      <c r="T113" s="53"/>
      <c r="U113" s="135"/>
    </row>
    <row r="114" spans="4:21" x14ac:dyDescent="0.3">
      <c r="D114" s="69"/>
      <c r="E114" s="54"/>
      <c r="F114" s="54"/>
      <c r="G114" s="134"/>
      <c r="H114" s="119"/>
      <c r="I114" s="140"/>
      <c r="J114" s="71"/>
      <c r="K114" s="140"/>
      <c r="L114" s="140"/>
      <c r="M114" s="146"/>
      <c r="N114" s="146"/>
      <c r="O114" s="146"/>
      <c r="P114" s="146"/>
      <c r="Q114" s="146"/>
      <c r="R114" s="146"/>
      <c r="S114" s="181"/>
      <c r="T114" s="54"/>
      <c r="U114" s="134"/>
    </row>
    <row r="115" spans="4:21" x14ac:dyDescent="0.3">
      <c r="D115" s="62"/>
      <c r="E115" s="53"/>
      <c r="F115" s="53"/>
      <c r="G115" s="135"/>
      <c r="H115" s="118"/>
      <c r="I115" s="141"/>
      <c r="J115" s="64"/>
      <c r="K115" s="141"/>
      <c r="L115" s="141"/>
      <c r="M115" s="147"/>
      <c r="N115" s="147"/>
      <c r="O115" s="147"/>
      <c r="P115" s="147"/>
      <c r="Q115" s="147"/>
      <c r="R115" s="147"/>
      <c r="S115" s="180"/>
      <c r="T115" s="53"/>
      <c r="U115" s="135"/>
    </row>
    <row r="116" spans="4:21" x14ac:dyDescent="0.3">
      <c r="D116" s="69"/>
      <c r="E116" s="54"/>
      <c r="F116" s="54"/>
      <c r="G116" s="134"/>
      <c r="H116" s="119"/>
      <c r="I116" s="140"/>
      <c r="J116" s="71"/>
      <c r="K116" s="140"/>
      <c r="L116" s="140"/>
      <c r="M116" s="146"/>
      <c r="N116" s="146"/>
      <c r="O116" s="146"/>
      <c r="P116" s="146"/>
      <c r="Q116" s="146"/>
      <c r="R116" s="146"/>
      <c r="S116" s="181"/>
      <c r="T116" s="54"/>
      <c r="U116" s="134"/>
    </row>
    <row r="117" spans="4:21" x14ac:dyDescent="0.3">
      <c r="D117" s="62"/>
      <c r="E117" s="53"/>
      <c r="F117" s="53"/>
      <c r="G117" s="135"/>
      <c r="H117" s="118"/>
      <c r="I117" s="141"/>
      <c r="J117" s="64"/>
      <c r="K117" s="141"/>
      <c r="L117" s="141"/>
      <c r="M117" s="147"/>
      <c r="N117" s="147"/>
      <c r="O117" s="147"/>
      <c r="P117" s="147"/>
      <c r="Q117" s="147"/>
      <c r="R117" s="147"/>
      <c r="S117" s="180"/>
      <c r="T117" s="53"/>
      <c r="U117" s="135"/>
    </row>
    <row r="118" spans="4:21" x14ac:dyDescent="0.3">
      <c r="D118" s="69"/>
      <c r="E118" s="54"/>
      <c r="F118" s="54"/>
      <c r="G118" s="134"/>
      <c r="H118" s="119"/>
      <c r="I118" s="140"/>
      <c r="J118" s="71"/>
      <c r="K118" s="140"/>
      <c r="L118" s="140"/>
      <c r="M118" s="146"/>
      <c r="N118" s="146"/>
      <c r="O118" s="146"/>
      <c r="P118" s="146"/>
      <c r="Q118" s="146"/>
      <c r="R118" s="146"/>
      <c r="S118" s="181"/>
      <c r="T118" s="54"/>
      <c r="U118" s="134"/>
    </row>
    <row r="119" spans="4:21" x14ac:dyDescent="0.3">
      <c r="D119" s="62"/>
      <c r="E119" s="53"/>
      <c r="F119" s="53"/>
      <c r="G119" s="135"/>
      <c r="H119" s="118"/>
      <c r="I119" s="141"/>
      <c r="J119" s="64"/>
      <c r="K119" s="141"/>
      <c r="L119" s="141"/>
      <c r="M119" s="147"/>
      <c r="N119" s="147"/>
      <c r="O119" s="147"/>
      <c r="P119" s="147"/>
      <c r="Q119" s="147"/>
      <c r="R119" s="147"/>
      <c r="S119" s="180"/>
      <c r="T119" s="53"/>
      <c r="U119" s="135"/>
    </row>
    <row r="120" spans="4:21" x14ac:dyDescent="0.3">
      <c r="D120" s="69"/>
      <c r="E120" s="54"/>
      <c r="F120" s="54"/>
      <c r="G120" s="134"/>
      <c r="H120" s="119"/>
      <c r="I120" s="140"/>
      <c r="J120" s="71"/>
      <c r="K120" s="140"/>
      <c r="L120" s="140"/>
      <c r="M120" s="146"/>
      <c r="N120" s="146"/>
      <c r="O120" s="146"/>
      <c r="P120" s="146"/>
      <c r="Q120" s="146"/>
      <c r="R120" s="146"/>
      <c r="S120" s="181"/>
      <c r="T120" s="54"/>
      <c r="U120" s="134"/>
    </row>
    <row r="121" spans="4:21" x14ac:dyDescent="0.3">
      <c r="D121" s="62"/>
      <c r="E121" s="53"/>
      <c r="F121" s="53"/>
      <c r="G121" s="135"/>
      <c r="H121" s="118"/>
      <c r="I121" s="141"/>
      <c r="J121" s="64"/>
      <c r="K121" s="141"/>
      <c r="L121" s="141"/>
      <c r="M121" s="147"/>
      <c r="N121" s="147"/>
      <c r="O121" s="147"/>
      <c r="P121" s="147"/>
      <c r="Q121" s="147"/>
      <c r="R121" s="147"/>
      <c r="S121" s="180"/>
      <c r="T121" s="53"/>
      <c r="U121" s="135"/>
    </row>
    <row r="122" spans="4:21" x14ac:dyDescent="0.3">
      <c r="D122" s="69"/>
      <c r="E122" s="54"/>
      <c r="F122" s="54"/>
      <c r="G122" s="134"/>
      <c r="H122" s="119"/>
      <c r="I122" s="140"/>
      <c r="J122" s="71"/>
      <c r="K122" s="140"/>
      <c r="L122" s="140"/>
      <c r="M122" s="146"/>
      <c r="N122" s="146"/>
      <c r="O122" s="146"/>
      <c r="P122" s="146"/>
      <c r="Q122" s="146"/>
      <c r="R122" s="146"/>
      <c r="S122" s="181"/>
      <c r="T122" s="54"/>
      <c r="U122" s="134"/>
    </row>
    <row r="123" spans="4:21" x14ac:dyDescent="0.3">
      <c r="D123" s="62"/>
      <c r="E123" s="53"/>
      <c r="F123" s="53"/>
      <c r="G123" s="135"/>
      <c r="H123" s="118"/>
      <c r="I123" s="141"/>
      <c r="J123" s="64"/>
      <c r="K123" s="141"/>
      <c r="L123" s="141"/>
      <c r="M123" s="147"/>
      <c r="N123" s="147"/>
      <c r="O123" s="147"/>
      <c r="P123" s="147"/>
      <c r="Q123" s="147"/>
      <c r="R123" s="147"/>
      <c r="S123" s="180"/>
      <c r="T123" s="53"/>
      <c r="U123" s="135"/>
    </row>
    <row r="124" spans="4:21" x14ac:dyDescent="0.3">
      <c r="D124" s="69"/>
      <c r="E124" s="54"/>
      <c r="F124" s="54"/>
      <c r="G124" s="134"/>
      <c r="H124" s="119"/>
      <c r="I124" s="140"/>
      <c r="J124" s="71"/>
      <c r="K124" s="140"/>
      <c r="L124" s="140"/>
      <c r="M124" s="146"/>
      <c r="N124" s="146"/>
      <c r="O124" s="146"/>
      <c r="P124" s="146"/>
      <c r="Q124" s="146"/>
      <c r="R124" s="146"/>
      <c r="S124" s="181"/>
      <c r="T124" s="54"/>
      <c r="U124" s="134"/>
    </row>
    <row r="125" spans="4:21" x14ac:dyDescent="0.3">
      <c r="D125" s="62"/>
      <c r="E125" s="53"/>
      <c r="F125" s="53"/>
      <c r="G125" s="135"/>
      <c r="H125" s="118"/>
      <c r="I125" s="141"/>
      <c r="J125" s="64"/>
      <c r="K125" s="141"/>
      <c r="L125" s="141"/>
      <c r="M125" s="147"/>
      <c r="N125" s="147"/>
      <c r="O125" s="147"/>
      <c r="P125" s="147"/>
      <c r="Q125" s="147"/>
      <c r="R125" s="147"/>
      <c r="S125" s="180"/>
      <c r="T125" s="53"/>
      <c r="U125" s="135"/>
    </row>
    <row r="126" spans="4:21" x14ac:dyDescent="0.3">
      <c r="D126" s="69"/>
      <c r="E126" s="54"/>
      <c r="F126" s="54"/>
      <c r="G126" s="134"/>
      <c r="H126" s="119"/>
      <c r="I126" s="140"/>
      <c r="J126" s="71"/>
      <c r="K126" s="140"/>
      <c r="L126" s="140"/>
      <c r="M126" s="146"/>
      <c r="N126" s="146"/>
      <c r="O126" s="146"/>
      <c r="P126" s="146"/>
      <c r="Q126" s="146"/>
      <c r="R126" s="146"/>
      <c r="S126" s="181"/>
      <c r="T126" s="54"/>
      <c r="U126" s="134"/>
    </row>
    <row r="127" spans="4:21" x14ac:dyDescent="0.3">
      <c r="D127" s="62"/>
      <c r="E127" s="53"/>
      <c r="F127" s="53"/>
      <c r="G127" s="135"/>
      <c r="H127" s="118"/>
      <c r="I127" s="141"/>
      <c r="J127" s="64"/>
      <c r="K127" s="141"/>
      <c r="L127" s="141"/>
      <c r="M127" s="147"/>
      <c r="N127" s="147"/>
      <c r="O127" s="147"/>
      <c r="P127" s="147"/>
      <c r="Q127" s="147"/>
      <c r="R127" s="147"/>
      <c r="S127" s="180"/>
      <c r="T127" s="53"/>
      <c r="U127" s="135"/>
    </row>
    <row r="128" spans="4:21" x14ac:dyDescent="0.3">
      <c r="D128" s="69"/>
      <c r="E128" s="54"/>
      <c r="F128" s="54"/>
      <c r="G128" s="134"/>
      <c r="H128" s="119"/>
      <c r="I128" s="140"/>
      <c r="J128" s="71"/>
      <c r="K128" s="140"/>
      <c r="L128" s="140"/>
      <c r="M128" s="146"/>
      <c r="N128" s="146"/>
      <c r="O128" s="146"/>
      <c r="P128" s="146"/>
      <c r="Q128" s="146"/>
      <c r="R128" s="146"/>
      <c r="S128" s="181"/>
      <c r="T128" s="54"/>
      <c r="U128" s="134"/>
    </row>
    <row r="129" spans="4:21" x14ac:dyDescent="0.3">
      <c r="D129" s="62"/>
      <c r="E129" s="53"/>
      <c r="F129" s="53"/>
      <c r="G129" s="135"/>
      <c r="H129" s="118"/>
      <c r="I129" s="141"/>
      <c r="J129" s="64"/>
      <c r="K129" s="141"/>
      <c r="L129" s="141"/>
      <c r="M129" s="147"/>
      <c r="N129" s="147"/>
      <c r="O129" s="147"/>
      <c r="P129" s="147"/>
      <c r="Q129" s="147"/>
      <c r="R129" s="147"/>
      <c r="S129" s="180"/>
      <c r="T129" s="53"/>
      <c r="U129" s="135"/>
    </row>
    <row r="130" spans="4:21" x14ac:dyDescent="0.3">
      <c r="D130" s="69"/>
      <c r="E130" s="54"/>
      <c r="F130" s="54"/>
      <c r="G130" s="134"/>
      <c r="H130" s="119"/>
      <c r="I130" s="140"/>
      <c r="J130" s="71"/>
      <c r="K130" s="140"/>
      <c r="L130" s="140"/>
      <c r="M130" s="146"/>
      <c r="N130" s="146"/>
      <c r="O130" s="146"/>
      <c r="P130" s="146"/>
      <c r="Q130" s="146"/>
      <c r="R130" s="146"/>
      <c r="S130" s="181"/>
      <c r="T130" s="54"/>
      <c r="U130" s="134"/>
    </row>
    <row r="131" spans="4:21" x14ac:dyDescent="0.3">
      <c r="D131" s="62"/>
      <c r="E131" s="53"/>
      <c r="F131" s="53"/>
      <c r="G131" s="135"/>
      <c r="H131" s="118"/>
      <c r="I131" s="141"/>
      <c r="J131" s="64"/>
      <c r="K131" s="141"/>
      <c r="L131" s="141"/>
      <c r="M131" s="147"/>
      <c r="N131" s="147"/>
      <c r="O131" s="147"/>
      <c r="P131" s="147"/>
      <c r="Q131" s="147"/>
      <c r="R131" s="147"/>
      <c r="S131" s="180"/>
      <c r="T131" s="53"/>
      <c r="U131" s="135"/>
    </row>
    <row r="132" spans="4:21" x14ac:dyDescent="0.3">
      <c r="D132" s="69"/>
      <c r="E132" s="54"/>
      <c r="F132" s="54"/>
      <c r="G132" s="134"/>
      <c r="H132" s="119"/>
      <c r="I132" s="140"/>
      <c r="J132" s="71"/>
      <c r="K132" s="140"/>
      <c r="L132" s="140"/>
      <c r="M132" s="146"/>
      <c r="N132" s="146"/>
      <c r="O132" s="146"/>
      <c r="P132" s="146"/>
      <c r="Q132" s="146"/>
      <c r="R132" s="146"/>
      <c r="S132" s="181"/>
      <c r="T132" s="54"/>
      <c r="U132" s="134"/>
    </row>
    <row r="133" spans="4:21" x14ac:dyDescent="0.3">
      <c r="D133" s="62"/>
      <c r="E133" s="53"/>
      <c r="F133" s="53"/>
      <c r="G133" s="135"/>
      <c r="H133" s="118"/>
      <c r="I133" s="141"/>
      <c r="J133" s="64"/>
      <c r="K133" s="141"/>
      <c r="L133" s="141"/>
      <c r="M133" s="147"/>
      <c r="N133" s="147"/>
      <c r="O133" s="147"/>
      <c r="P133" s="147"/>
      <c r="Q133" s="147"/>
      <c r="R133" s="147"/>
      <c r="S133" s="180"/>
      <c r="T133" s="53"/>
      <c r="U133" s="135"/>
    </row>
    <row r="134" spans="4:21" x14ac:dyDescent="0.3">
      <c r="D134" s="69"/>
      <c r="E134" s="54"/>
      <c r="F134" s="54"/>
      <c r="G134" s="134"/>
      <c r="H134" s="119"/>
      <c r="I134" s="140"/>
      <c r="J134" s="71"/>
      <c r="K134" s="140"/>
      <c r="L134" s="140"/>
      <c r="M134" s="146"/>
      <c r="N134" s="146"/>
      <c r="O134" s="146"/>
      <c r="P134" s="146"/>
      <c r="Q134" s="146"/>
      <c r="R134" s="146"/>
      <c r="S134" s="181"/>
      <c r="T134" s="54"/>
      <c r="U134" s="134"/>
    </row>
    <row r="135" spans="4:21" x14ac:dyDescent="0.3">
      <c r="D135" s="62"/>
      <c r="E135" s="53"/>
      <c r="F135" s="53"/>
      <c r="G135" s="135"/>
      <c r="H135" s="118"/>
      <c r="I135" s="141"/>
      <c r="J135" s="64"/>
      <c r="K135" s="141"/>
      <c r="L135" s="141"/>
      <c r="M135" s="147"/>
      <c r="N135" s="147"/>
      <c r="O135" s="147"/>
      <c r="P135" s="147"/>
      <c r="Q135" s="147"/>
      <c r="R135" s="147"/>
      <c r="S135" s="180"/>
      <c r="T135" s="53"/>
      <c r="U135" s="135"/>
    </row>
    <row r="136" spans="4:21" x14ac:dyDescent="0.3">
      <c r="D136" s="69"/>
      <c r="E136" s="54"/>
      <c r="F136" s="54"/>
      <c r="G136" s="134"/>
      <c r="H136" s="119"/>
      <c r="I136" s="140"/>
      <c r="J136" s="71"/>
      <c r="K136" s="140"/>
      <c r="L136" s="140"/>
      <c r="M136" s="146"/>
      <c r="N136" s="146"/>
      <c r="O136" s="146"/>
      <c r="P136" s="146"/>
      <c r="Q136" s="146"/>
      <c r="R136" s="146"/>
      <c r="S136" s="181"/>
      <c r="T136" s="54"/>
      <c r="U136" s="134"/>
    </row>
    <row r="137" spans="4:21" x14ac:dyDescent="0.3">
      <c r="D137" s="62"/>
      <c r="E137" s="53"/>
      <c r="F137" s="53"/>
      <c r="G137" s="135"/>
      <c r="H137" s="118"/>
      <c r="I137" s="141"/>
      <c r="J137" s="64"/>
      <c r="K137" s="141"/>
      <c r="L137" s="141"/>
      <c r="M137" s="147"/>
      <c r="N137" s="147"/>
      <c r="O137" s="147"/>
      <c r="P137" s="147"/>
      <c r="Q137" s="147"/>
      <c r="R137" s="147"/>
      <c r="S137" s="180"/>
      <c r="T137" s="53"/>
      <c r="U137" s="135"/>
    </row>
    <row r="138" spans="4:21" x14ac:dyDescent="0.3">
      <c r="D138" s="69"/>
      <c r="E138" s="54"/>
      <c r="F138" s="54"/>
      <c r="G138" s="134"/>
      <c r="H138" s="119"/>
      <c r="I138" s="140"/>
      <c r="J138" s="71"/>
      <c r="K138" s="140"/>
      <c r="L138" s="140"/>
      <c r="M138" s="146"/>
      <c r="N138" s="146"/>
      <c r="O138" s="146"/>
      <c r="P138" s="146"/>
      <c r="Q138" s="146"/>
      <c r="R138" s="146"/>
      <c r="S138" s="181"/>
      <c r="T138" s="54"/>
      <c r="U138" s="134"/>
    </row>
    <row r="139" spans="4:21" x14ac:dyDescent="0.3">
      <c r="D139" s="62"/>
      <c r="E139" s="53"/>
      <c r="F139" s="53"/>
      <c r="G139" s="135"/>
      <c r="H139" s="118"/>
      <c r="I139" s="141"/>
      <c r="J139" s="64"/>
      <c r="K139" s="141"/>
      <c r="L139" s="141"/>
      <c r="M139" s="147"/>
      <c r="N139" s="147"/>
      <c r="O139" s="147"/>
      <c r="P139" s="147"/>
      <c r="Q139" s="147"/>
      <c r="R139" s="147"/>
      <c r="S139" s="180"/>
      <c r="T139" s="53"/>
      <c r="U139" s="135"/>
    </row>
    <row r="140" spans="4:21" x14ac:dyDescent="0.3">
      <c r="D140" s="69"/>
      <c r="E140" s="54"/>
      <c r="F140" s="54"/>
      <c r="G140" s="134"/>
      <c r="H140" s="119"/>
      <c r="I140" s="140"/>
      <c r="J140" s="71"/>
      <c r="K140" s="140"/>
      <c r="L140" s="140"/>
      <c r="M140" s="146"/>
      <c r="N140" s="146"/>
      <c r="O140" s="146"/>
      <c r="P140" s="146"/>
      <c r="Q140" s="146"/>
      <c r="R140" s="146"/>
      <c r="S140" s="181"/>
      <c r="T140" s="54"/>
      <c r="U140" s="134"/>
    </row>
    <row r="141" spans="4:21" x14ac:dyDescent="0.3">
      <c r="D141" s="62"/>
      <c r="E141" s="53"/>
      <c r="F141" s="53"/>
      <c r="G141" s="135"/>
      <c r="H141" s="118"/>
      <c r="I141" s="141"/>
      <c r="J141" s="64"/>
      <c r="K141" s="141"/>
      <c r="L141" s="141"/>
      <c r="M141" s="147"/>
      <c r="N141" s="147"/>
      <c r="O141" s="147"/>
      <c r="P141" s="147"/>
      <c r="Q141" s="147"/>
      <c r="R141" s="147"/>
      <c r="S141" s="180"/>
      <c r="T141" s="53"/>
      <c r="U141" s="135"/>
    </row>
    <row r="142" spans="4:21" x14ac:dyDescent="0.3">
      <c r="D142" s="69"/>
      <c r="E142" s="54"/>
      <c r="F142" s="54"/>
      <c r="G142" s="134"/>
      <c r="H142" s="119"/>
      <c r="I142" s="140"/>
      <c r="J142" s="71"/>
      <c r="K142" s="140"/>
      <c r="L142" s="140"/>
      <c r="M142" s="146"/>
      <c r="N142" s="146"/>
      <c r="O142" s="146"/>
      <c r="P142" s="146"/>
      <c r="Q142" s="146"/>
      <c r="R142" s="146"/>
      <c r="S142" s="181"/>
      <c r="T142" s="54"/>
      <c r="U142" s="134"/>
    </row>
    <row r="143" spans="4:21" x14ac:dyDescent="0.3">
      <c r="D143" s="62"/>
      <c r="E143" s="53"/>
      <c r="F143" s="53"/>
      <c r="G143" s="135"/>
      <c r="H143" s="118"/>
      <c r="I143" s="141"/>
      <c r="J143" s="64"/>
      <c r="K143" s="141"/>
      <c r="L143" s="141"/>
      <c r="M143" s="147"/>
      <c r="N143" s="147"/>
      <c r="O143" s="147"/>
      <c r="P143" s="147"/>
      <c r="Q143" s="147"/>
      <c r="R143" s="147"/>
      <c r="S143" s="180"/>
      <c r="T143" s="53"/>
      <c r="U143" s="135"/>
    </row>
    <row r="144" spans="4:21" x14ac:dyDescent="0.3">
      <c r="D144" s="69"/>
      <c r="E144" s="54"/>
      <c r="F144" s="54"/>
      <c r="G144" s="134"/>
      <c r="H144" s="119"/>
      <c r="I144" s="140"/>
      <c r="J144" s="71"/>
      <c r="K144" s="140"/>
      <c r="L144" s="140"/>
      <c r="M144" s="146"/>
      <c r="N144" s="146"/>
      <c r="O144" s="146"/>
      <c r="P144" s="146"/>
      <c r="Q144" s="146"/>
      <c r="R144" s="146"/>
      <c r="S144" s="181"/>
      <c r="T144" s="54"/>
      <c r="U144" s="134"/>
    </row>
    <row r="145" spans="4:21" x14ac:dyDescent="0.3">
      <c r="D145" s="62"/>
      <c r="E145" s="53"/>
      <c r="F145" s="53"/>
      <c r="G145" s="135"/>
      <c r="H145" s="118"/>
      <c r="I145" s="141"/>
      <c r="J145" s="64"/>
      <c r="K145" s="141"/>
      <c r="L145" s="141"/>
      <c r="M145" s="147"/>
      <c r="N145" s="147"/>
      <c r="O145" s="147"/>
      <c r="P145" s="147"/>
      <c r="Q145" s="147"/>
      <c r="R145" s="147"/>
      <c r="S145" s="180"/>
      <c r="T145" s="53"/>
      <c r="U145" s="135"/>
    </row>
    <row r="146" spans="4:21" x14ac:dyDescent="0.3">
      <c r="D146" s="69"/>
      <c r="E146" s="54"/>
      <c r="F146" s="54"/>
      <c r="G146" s="134"/>
      <c r="H146" s="119"/>
      <c r="I146" s="140"/>
      <c r="J146" s="71"/>
      <c r="K146" s="140"/>
      <c r="L146" s="140"/>
      <c r="M146" s="146"/>
      <c r="N146" s="146"/>
      <c r="O146" s="146"/>
      <c r="P146" s="146"/>
      <c r="Q146" s="146"/>
      <c r="R146" s="146"/>
      <c r="S146" s="181"/>
      <c r="T146" s="54"/>
      <c r="U146" s="134"/>
    </row>
    <row r="147" spans="4:21" x14ac:dyDescent="0.3">
      <c r="D147" s="62"/>
      <c r="E147" s="53"/>
      <c r="F147" s="53"/>
      <c r="G147" s="135"/>
      <c r="H147" s="118"/>
      <c r="I147" s="141"/>
      <c r="J147" s="64"/>
      <c r="K147" s="141"/>
      <c r="L147" s="141"/>
      <c r="M147" s="147"/>
      <c r="N147" s="147"/>
      <c r="O147" s="147"/>
      <c r="P147" s="147"/>
      <c r="Q147" s="147"/>
      <c r="R147" s="147"/>
      <c r="S147" s="180"/>
      <c r="T147" s="53"/>
      <c r="U147" s="135"/>
    </row>
    <row r="148" spans="4:21" x14ac:dyDescent="0.3">
      <c r="D148" s="69"/>
      <c r="E148" s="54"/>
      <c r="F148" s="54"/>
      <c r="G148" s="134"/>
      <c r="H148" s="119"/>
      <c r="I148" s="140"/>
      <c r="J148" s="71"/>
      <c r="K148" s="140"/>
      <c r="L148" s="140"/>
      <c r="M148" s="146"/>
      <c r="N148" s="146"/>
      <c r="O148" s="146"/>
      <c r="P148" s="146"/>
      <c r="Q148" s="146"/>
      <c r="R148" s="146"/>
      <c r="S148" s="181"/>
      <c r="T148" s="54"/>
      <c r="U148" s="134"/>
    </row>
    <row r="149" spans="4:21" x14ac:dyDescent="0.3">
      <c r="D149" s="62"/>
      <c r="E149" s="53"/>
      <c r="F149" s="53"/>
      <c r="G149" s="135"/>
      <c r="H149" s="118"/>
      <c r="I149" s="141"/>
      <c r="J149" s="64"/>
      <c r="K149" s="141"/>
      <c r="L149" s="141"/>
      <c r="M149" s="147"/>
      <c r="N149" s="147"/>
      <c r="O149" s="147"/>
      <c r="P149" s="147"/>
      <c r="Q149" s="147"/>
      <c r="R149" s="147"/>
      <c r="S149" s="180"/>
      <c r="T149" s="53"/>
      <c r="U149" s="135"/>
    </row>
    <row r="150" spans="4:21" x14ac:dyDescent="0.3">
      <c r="D150" s="69"/>
      <c r="E150" s="54"/>
      <c r="F150" s="54"/>
      <c r="G150" s="134"/>
      <c r="H150" s="119"/>
      <c r="I150" s="140"/>
      <c r="J150" s="71"/>
      <c r="K150" s="140"/>
      <c r="L150" s="140"/>
      <c r="M150" s="146"/>
      <c r="N150" s="146"/>
      <c r="O150" s="146"/>
      <c r="P150" s="146"/>
      <c r="Q150" s="146"/>
      <c r="R150" s="146"/>
      <c r="S150" s="181"/>
      <c r="T150" s="54"/>
      <c r="U150" s="134"/>
    </row>
    <row r="151" spans="4:21" x14ac:dyDescent="0.3">
      <c r="D151" s="62"/>
      <c r="E151" s="53"/>
      <c r="F151" s="53"/>
      <c r="G151" s="135"/>
      <c r="H151" s="118"/>
      <c r="I151" s="141"/>
      <c r="J151" s="64"/>
      <c r="K151" s="141"/>
      <c r="L151" s="141"/>
      <c r="M151" s="147"/>
      <c r="N151" s="147"/>
      <c r="O151" s="147"/>
      <c r="P151" s="147"/>
      <c r="Q151" s="147"/>
      <c r="R151" s="147"/>
      <c r="S151" s="180"/>
      <c r="T151" s="53"/>
      <c r="U151" s="135"/>
    </row>
    <row r="152" spans="4:21" x14ac:dyDescent="0.3">
      <c r="D152" s="69"/>
      <c r="E152" s="54"/>
      <c r="F152" s="54"/>
      <c r="G152" s="134"/>
      <c r="H152" s="119"/>
      <c r="I152" s="140"/>
      <c r="J152" s="71"/>
      <c r="K152" s="140"/>
      <c r="L152" s="140"/>
      <c r="M152" s="146"/>
      <c r="N152" s="146"/>
      <c r="O152" s="146"/>
      <c r="P152" s="146"/>
      <c r="Q152" s="146"/>
      <c r="R152" s="146"/>
      <c r="S152" s="181"/>
      <c r="T152" s="54"/>
      <c r="U152" s="134"/>
    </row>
    <row r="153" spans="4:21" x14ac:dyDescent="0.3">
      <c r="D153" s="62"/>
      <c r="E153" s="53"/>
      <c r="F153" s="53"/>
      <c r="G153" s="135"/>
      <c r="H153" s="118"/>
      <c r="I153" s="141"/>
      <c r="J153" s="64"/>
      <c r="K153" s="141"/>
      <c r="L153" s="141"/>
      <c r="M153" s="147"/>
      <c r="N153" s="147"/>
      <c r="O153" s="147"/>
      <c r="P153" s="147"/>
      <c r="Q153" s="147"/>
      <c r="R153" s="147"/>
      <c r="S153" s="180"/>
      <c r="T153" s="53"/>
      <c r="U153" s="135"/>
    </row>
    <row r="154" spans="4:21" x14ac:dyDescent="0.3">
      <c r="D154" s="69"/>
      <c r="E154" s="54"/>
      <c r="F154" s="54"/>
      <c r="G154" s="134"/>
      <c r="H154" s="119"/>
      <c r="I154" s="140"/>
      <c r="J154" s="71"/>
      <c r="K154" s="140"/>
      <c r="L154" s="140"/>
      <c r="M154" s="146"/>
      <c r="N154" s="146"/>
      <c r="O154" s="146"/>
      <c r="P154" s="146"/>
      <c r="Q154" s="146"/>
      <c r="R154" s="146"/>
      <c r="S154" s="181"/>
      <c r="T154" s="54"/>
      <c r="U154" s="134"/>
    </row>
    <row r="155" spans="4:21" x14ac:dyDescent="0.3">
      <c r="D155" s="62"/>
      <c r="E155" s="53"/>
      <c r="F155" s="53"/>
      <c r="G155" s="135"/>
      <c r="H155" s="118"/>
      <c r="I155" s="141"/>
      <c r="J155" s="64"/>
      <c r="K155" s="141"/>
      <c r="L155" s="141"/>
      <c r="M155" s="147"/>
      <c r="N155" s="147"/>
      <c r="O155" s="147"/>
      <c r="P155" s="147"/>
      <c r="Q155" s="147"/>
      <c r="R155" s="147"/>
      <c r="S155" s="180"/>
      <c r="T155" s="53"/>
      <c r="U155" s="135"/>
    </row>
    <row r="156" spans="4:21" x14ac:dyDescent="0.3">
      <c r="D156" s="69"/>
      <c r="E156" s="54"/>
      <c r="F156" s="54"/>
      <c r="G156" s="134"/>
      <c r="H156" s="119"/>
      <c r="I156" s="140"/>
      <c r="J156" s="71"/>
      <c r="K156" s="140"/>
      <c r="L156" s="140"/>
      <c r="M156" s="146"/>
      <c r="N156" s="146"/>
      <c r="O156" s="146"/>
      <c r="P156" s="146"/>
      <c r="Q156" s="146"/>
      <c r="R156" s="146"/>
      <c r="S156" s="181"/>
      <c r="T156" s="54"/>
      <c r="U156" s="134"/>
    </row>
    <row r="157" spans="4:21" x14ac:dyDescent="0.3">
      <c r="D157" s="62"/>
      <c r="E157" s="53"/>
      <c r="F157" s="53"/>
      <c r="G157" s="135"/>
      <c r="H157" s="118"/>
      <c r="I157" s="141"/>
      <c r="J157" s="64"/>
      <c r="K157" s="141"/>
      <c r="L157" s="141"/>
      <c r="M157" s="147"/>
      <c r="N157" s="147"/>
      <c r="O157" s="147"/>
      <c r="P157" s="147"/>
      <c r="Q157" s="147"/>
      <c r="R157" s="147"/>
      <c r="S157" s="180"/>
      <c r="T157" s="53"/>
      <c r="U157" s="135"/>
    </row>
    <row r="158" spans="4:21" x14ac:dyDescent="0.3">
      <c r="D158" s="69"/>
      <c r="E158" s="54"/>
      <c r="F158" s="54"/>
      <c r="G158" s="134"/>
      <c r="H158" s="119"/>
      <c r="I158" s="140"/>
      <c r="J158" s="71"/>
      <c r="K158" s="140"/>
      <c r="L158" s="140"/>
      <c r="M158" s="146"/>
      <c r="N158" s="146"/>
      <c r="O158" s="146"/>
      <c r="P158" s="146"/>
      <c r="Q158" s="146"/>
      <c r="R158" s="146"/>
      <c r="S158" s="181"/>
      <c r="T158" s="54"/>
      <c r="U158" s="134"/>
    </row>
    <row r="159" spans="4:21" x14ac:dyDescent="0.3">
      <c r="D159" s="62"/>
      <c r="E159" s="53"/>
      <c r="F159" s="53"/>
      <c r="G159" s="135"/>
      <c r="H159" s="118"/>
      <c r="I159" s="141"/>
      <c r="J159" s="64"/>
      <c r="K159" s="141"/>
      <c r="L159" s="141"/>
      <c r="M159" s="147"/>
      <c r="N159" s="147"/>
      <c r="O159" s="147"/>
      <c r="P159" s="147"/>
      <c r="Q159" s="147"/>
      <c r="R159" s="147"/>
      <c r="S159" s="180"/>
      <c r="T159" s="53"/>
      <c r="U159" s="135"/>
    </row>
    <row r="160" spans="4:21" x14ac:dyDescent="0.3">
      <c r="D160" s="69"/>
      <c r="E160" s="54"/>
      <c r="F160" s="54"/>
      <c r="G160" s="134"/>
      <c r="H160" s="119"/>
      <c r="I160" s="140"/>
      <c r="J160" s="71"/>
      <c r="K160" s="140"/>
      <c r="L160" s="140"/>
      <c r="M160" s="146"/>
      <c r="N160" s="146"/>
      <c r="O160" s="146"/>
      <c r="P160" s="146"/>
      <c r="Q160" s="146"/>
      <c r="R160" s="146"/>
      <c r="S160" s="181"/>
      <c r="T160" s="54"/>
      <c r="U160" s="134"/>
    </row>
    <row r="161" spans="4:21" x14ac:dyDescent="0.3">
      <c r="D161" s="62"/>
      <c r="E161" s="53"/>
      <c r="F161" s="53"/>
      <c r="G161" s="135"/>
      <c r="H161" s="118"/>
      <c r="I161" s="141"/>
      <c r="J161" s="64"/>
      <c r="K161" s="141"/>
      <c r="L161" s="141"/>
      <c r="M161" s="147"/>
      <c r="N161" s="147"/>
      <c r="O161" s="147"/>
      <c r="P161" s="147"/>
      <c r="Q161" s="147"/>
      <c r="R161" s="147"/>
      <c r="S161" s="180"/>
      <c r="T161" s="53"/>
      <c r="U161" s="135"/>
    </row>
    <row r="162" spans="4:21" x14ac:dyDescent="0.3">
      <c r="D162" s="69"/>
      <c r="E162" s="54"/>
      <c r="F162" s="54"/>
      <c r="G162" s="134"/>
      <c r="H162" s="119"/>
      <c r="I162" s="140"/>
      <c r="J162" s="71"/>
      <c r="K162" s="140"/>
      <c r="L162" s="140"/>
      <c r="M162" s="146"/>
      <c r="N162" s="146"/>
      <c r="O162" s="146"/>
      <c r="P162" s="146"/>
      <c r="Q162" s="146"/>
      <c r="R162" s="146"/>
      <c r="S162" s="181"/>
      <c r="T162" s="54"/>
      <c r="U162" s="134"/>
    </row>
    <row r="163" spans="4:21" x14ac:dyDescent="0.3">
      <c r="D163" s="62"/>
      <c r="E163" s="53"/>
      <c r="F163" s="53"/>
      <c r="G163" s="135"/>
      <c r="H163" s="118"/>
      <c r="I163" s="141"/>
      <c r="J163" s="64"/>
      <c r="K163" s="141"/>
      <c r="L163" s="141"/>
      <c r="M163" s="147"/>
      <c r="N163" s="147"/>
      <c r="O163" s="147"/>
      <c r="P163" s="147"/>
      <c r="Q163" s="147"/>
      <c r="R163" s="147"/>
      <c r="S163" s="180"/>
      <c r="T163" s="53"/>
      <c r="U163" s="135"/>
    </row>
    <row r="164" spans="4:21" x14ac:dyDescent="0.3">
      <c r="D164" s="69"/>
      <c r="E164" s="54"/>
      <c r="F164" s="54"/>
      <c r="G164" s="134"/>
      <c r="H164" s="119"/>
      <c r="I164" s="140"/>
      <c r="J164" s="71"/>
      <c r="K164" s="140"/>
      <c r="L164" s="140"/>
      <c r="M164" s="146"/>
      <c r="N164" s="146"/>
      <c r="O164" s="146"/>
      <c r="P164" s="146"/>
      <c r="Q164" s="146"/>
      <c r="R164" s="146"/>
      <c r="S164" s="181"/>
      <c r="T164" s="54"/>
      <c r="U164" s="134"/>
    </row>
    <row r="165" spans="4:21" x14ac:dyDescent="0.3">
      <c r="D165" s="62"/>
      <c r="E165" s="53"/>
      <c r="F165" s="53"/>
      <c r="G165" s="135"/>
      <c r="H165" s="118"/>
      <c r="I165" s="141"/>
      <c r="J165" s="64"/>
      <c r="K165" s="141"/>
      <c r="L165" s="141"/>
      <c r="M165" s="147"/>
      <c r="N165" s="147"/>
      <c r="O165" s="147"/>
      <c r="P165" s="147"/>
      <c r="Q165" s="147"/>
      <c r="R165" s="147"/>
      <c r="S165" s="180"/>
      <c r="T165" s="53"/>
      <c r="U165" s="135"/>
    </row>
    <row r="166" spans="4:21" x14ac:dyDescent="0.3">
      <c r="D166" s="69"/>
      <c r="E166" s="54"/>
      <c r="F166" s="54"/>
      <c r="G166" s="134"/>
      <c r="H166" s="119"/>
      <c r="I166" s="140"/>
      <c r="J166" s="71"/>
      <c r="K166" s="140"/>
      <c r="L166" s="140"/>
      <c r="M166" s="146"/>
      <c r="N166" s="146"/>
      <c r="O166" s="146"/>
      <c r="P166" s="146"/>
      <c r="Q166" s="146"/>
      <c r="R166" s="146"/>
      <c r="S166" s="181"/>
      <c r="T166" s="54"/>
      <c r="U166" s="134"/>
    </row>
    <row r="167" spans="4:21" x14ac:dyDescent="0.3">
      <c r="D167" s="62"/>
      <c r="E167" s="53"/>
      <c r="F167" s="53"/>
      <c r="G167" s="135"/>
      <c r="H167" s="118"/>
      <c r="I167" s="141"/>
      <c r="J167" s="64"/>
      <c r="K167" s="141"/>
      <c r="L167" s="141"/>
      <c r="M167" s="147"/>
      <c r="N167" s="147"/>
      <c r="O167" s="147"/>
      <c r="P167" s="147"/>
      <c r="Q167" s="147"/>
      <c r="R167" s="147"/>
      <c r="S167" s="180"/>
      <c r="T167" s="53"/>
      <c r="U167" s="135"/>
    </row>
    <row r="168" spans="4:21" x14ac:dyDescent="0.3">
      <c r="D168" s="69"/>
      <c r="E168" s="54"/>
      <c r="F168" s="54"/>
      <c r="G168" s="134"/>
      <c r="H168" s="119"/>
      <c r="I168" s="140"/>
      <c r="J168" s="71"/>
      <c r="K168" s="140"/>
      <c r="L168" s="140"/>
      <c r="M168" s="146"/>
      <c r="N168" s="146"/>
      <c r="O168" s="146"/>
      <c r="P168" s="146"/>
      <c r="Q168" s="146"/>
      <c r="R168" s="146"/>
      <c r="S168" s="181"/>
      <c r="T168" s="54"/>
      <c r="U168" s="134"/>
    </row>
    <row r="169" spans="4:21" x14ac:dyDescent="0.3">
      <c r="D169" s="62"/>
      <c r="E169" s="53"/>
      <c r="F169" s="53"/>
      <c r="G169" s="135"/>
      <c r="H169" s="118"/>
      <c r="I169" s="141"/>
      <c r="J169" s="64"/>
      <c r="K169" s="141"/>
      <c r="L169" s="141"/>
      <c r="M169" s="147"/>
      <c r="N169" s="147"/>
      <c r="O169" s="147"/>
      <c r="P169" s="147"/>
      <c r="Q169" s="147"/>
      <c r="R169" s="147"/>
      <c r="S169" s="180"/>
      <c r="T169" s="53"/>
      <c r="U169" s="135"/>
    </row>
    <row r="170" spans="4:21" x14ac:dyDescent="0.3">
      <c r="D170" s="69"/>
      <c r="E170" s="54"/>
      <c r="F170" s="54"/>
      <c r="G170" s="134"/>
      <c r="H170" s="119"/>
      <c r="I170" s="140"/>
      <c r="J170" s="71"/>
      <c r="K170" s="140"/>
      <c r="L170" s="140"/>
      <c r="M170" s="146"/>
      <c r="N170" s="146"/>
      <c r="O170" s="146"/>
      <c r="P170" s="146"/>
      <c r="Q170" s="146"/>
      <c r="R170" s="146"/>
      <c r="S170" s="181"/>
      <c r="T170" s="54"/>
      <c r="U170" s="134"/>
    </row>
    <row r="171" spans="4:21" x14ac:dyDescent="0.3">
      <c r="D171" s="62"/>
      <c r="E171" s="53"/>
      <c r="F171" s="53"/>
      <c r="G171" s="135"/>
      <c r="H171" s="118"/>
      <c r="I171" s="141"/>
      <c r="J171" s="64"/>
      <c r="K171" s="141"/>
      <c r="L171" s="141"/>
      <c r="M171" s="147"/>
      <c r="N171" s="147"/>
      <c r="O171" s="147"/>
      <c r="P171" s="147"/>
      <c r="Q171" s="147"/>
      <c r="R171" s="147"/>
      <c r="S171" s="180"/>
      <c r="T171" s="53"/>
      <c r="U171" s="135"/>
    </row>
    <row r="172" spans="4:21" x14ac:dyDescent="0.3">
      <c r="D172" s="69"/>
      <c r="E172" s="54"/>
      <c r="F172" s="54"/>
      <c r="G172" s="134"/>
      <c r="H172" s="119"/>
      <c r="I172" s="140"/>
      <c r="J172" s="71"/>
      <c r="K172" s="140"/>
      <c r="L172" s="140"/>
      <c r="M172" s="146"/>
      <c r="N172" s="146"/>
      <c r="O172" s="146"/>
      <c r="P172" s="146"/>
      <c r="Q172" s="146"/>
      <c r="R172" s="146"/>
      <c r="S172" s="181"/>
      <c r="T172" s="54"/>
      <c r="U172" s="134"/>
    </row>
    <row r="173" spans="4:21" x14ac:dyDescent="0.3">
      <c r="D173" s="62"/>
      <c r="E173" s="53"/>
      <c r="F173" s="53"/>
      <c r="G173" s="135"/>
      <c r="H173" s="118"/>
      <c r="I173" s="141"/>
      <c r="J173" s="64"/>
      <c r="K173" s="141"/>
      <c r="L173" s="141"/>
      <c r="M173" s="147"/>
      <c r="N173" s="147"/>
      <c r="O173" s="147"/>
      <c r="P173" s="147"/>
      <c r="Q173" s="147"/>
      <c r="R173" s="147"/>
      <c r="S173" s="180"/>
      <c r="T173" s="53"/>
      <c r="U173" s="135"/>
    </row>
    <row r="174" spans="4:21" x14ac:dyDescent="0.3">
      <c r="D174" s="69"/>
      <c r="E174" s="54"/>
      <c r="F174" s="54"/>
      <c r="G174" s="134"/>
      <c r="H174" s="119"/>
      <c r="I174" s="140"/>
      <c r="J174" s="71"/>
      <c r="K174" s="140"/>
      <c r="L174" s="140"/>
      <c r="M174" s="146"/>
      <c r="N174" s="146"/>
      <c r="O174" s="146"/>
      <c r="P174" s="146"/>
      <c r="Q174" s="146"/>
      <c r="R174" s="146"/>
      <c r="S174" s="181"/>
      <c r="T174" s="54"/>
      <c r="U174" s="134"/>
    </row>
    <row r="175" spans="4:21" x14ac:dyDescent="0.3">
      <c r="D175" s="62"/>
      <c r="E175" s="53"/>
      <c r="F175" s="53"/>
      <c r="G175" s="135"/>
      <c r="H175" s="118"/>
      <c r="I175" s="141"/>
      <c r="J175" s="64"/>
      <c r="K175" s="141"/>
      <c r="L175" s="141"/>
      <c r="M175" s="147"/>
      <c r="N175" s="147"/>
      <c r="O175" s="147"/>
      <c r="P175" s="147"/>
      <c r="Q175" s="147"/>
      <c r="R175" s="147"/>
      <c r="S175" s="180"/>
      <c r="T175" s="53"/>
      <c r="U175" s="135"/>
    </row>
    <row r="176" spans="4:21" x14ac:dyDescent="0.3">
      <c r="D176" s="69"/>
      <c r="E176" s="54"/>
      <c r="F176" s="54"/>
      <c r="G176" s="134"/>
      <c r="H176" s="119"/>
      <c r="I176" s="140"/>
      <c r="J176" s="71"/>
      <c r="K176" s="140"/>
      <c r="L176" s="140"/>
      <c r="M176" s="146"/>
      <c r="N176" s="146"/>
      <c r="O176" s="146"/>
      <c r="P176" s="146"/>
      <c r="Q176" s="146"/>
      <c r="R176" s="146"/>
      <c r="S176" s="181"/>
      <c r="T176" s="54"/>
      <c r="U176" s="134"/>
    </row>
    <row r="177" spans="4:21" x14ac:dyDescent="0.3">
      <c r="D177" s="62"/>
      <c r="E177" s="53"/>
      <c r="F177" s="53"/>
      <c r="G177" s="135"/>
      <c r="H177" s="118"/>
      <c r="I177" s="141"/>
      <c r="J177" s="64"/>
      <c r="K177" s="141"/>
      <c r="L177" s="141"/>
      <c r="M177" s="147"/>
      <c r="N177" s="147"/>
      <c r="O177" s="147"/>
      <c r="P177" s="147"/>
      <c r="Q177" s="147"/>
      <c r="R177" s="147"/>
      <c r="S177" s="180"/>
      <c r="T177" s="53"/>
      <c r="U177" s="135"/>
    </row>
    <row r="178" spans="4:21" x14ac:dyDescent="0.3">
      <c r="D178" s="69"/>
      <c r="E178" s="54"/>
      <c r="F178" s="54"/>
      <c r="G178" s="134"/>
      <c r="H178" s="119"/>
      <c r="I178" s="140"/>
      <c r="J178" s="71"/>
      <c r="K178" s="140"/>
      <c r="L178" s="140"/>
      <c r="M178" s="146"/>
      <c r="N178" s="146"/>
      <c r="O178" s="146"/>
      <c r="P178" s="146"/>
      <c r="Q178" s="146"/>
      <c r="R178" s="146"/>
      <c r="S178" s="181"/>
      <c r="T178" s="54"/>
      <c r="U178" s="134"/>
    </row>
    <row r="179" spans="4:21" x14ac:dyDescent="0.3">
      <c r="D179" s="62"/>
      <c r="E179" s="53"/>
      <c r="F179" s="53"/>
      <c r="G179" s="135"/>
      <c r="H179" s="118"/>
      <c r="I179" s="141"/>
      <c r="J179" s="64"/>
      <c r="K179" s="141"/>
      <c r="L179" s="141"/>
      <c r="M179" s="147"/>
      <c r="N179" s="147"/>
      <c r="O179" s="147"/>
      <c r="P179" s="147"/>
      <c r="Q179" s="147"/>
      <c r="R179" s="147"/>
      <c r="S179" s="180"/>
      <c r="T179" s="53"/>
      <c r="U179" s="135"/>
    </row>
    <row r="180" spans="4:21" x14ac:dyDescent="0.3">
      <c r="D180" s="69"/>
      <c r="E180" s="54"/>
      <c r="F180" s="54"/>
      <c r="G180" s="134"/>
      <c r="H180" s="119"/>
      <c r="I180" s="140"/>
      <c r="J180" s="71"/>
      <c r="K180" s="140"/>
      <c r="L180" s="140"/>
      <c r="M180" s="146"/>
      <c r="N180" s="146"/>
      <c r="O180" s="146"/>
      <c r="P180" s="146"/>
      <c r="Q180" s="146"/>
      <c r="R180" s="146"/>
      <c r="S180" s="181"/>
      <c r="T180" s="54"/>
      <c r="U180" s="134"/>
    </row>
    <row r="181" spans="4:21" x14ac:dyDescent="0.3">
      <c r="D181" s="62"/>
      <c r="E181" s="53"/>
      <c r="F181" s="53"/>
      <c r="G181" s="135"/>
      <c r="H181" s="118"/>
      <c r="I181" s="141"/>
      <c r="J181" s="64"/>
      <c r="K181" s="141"/>
      <c r="L181" s="141"/>
      <c r="M181" s="147"/>
      <c r="N181" s="147"/>
      <c r="O181" s="147"/>
      <c r="P181" s="147"/>
      <c r="Q181" s="147"/>
      <c r="R181" s="147"/>
      <c r="S181" s="180"/>
      <c r="T181" s="53"/>
      <c r="U181" s="135"/>
    </row>
    <row r="182" spans="4:21" x14ac:dyDescent="0.3">
      <c r="D182" s="69"/>
      <c r="E182" s="54"/>
      <c r="F182" s="54"/>
      <c r="G182" s="134"/>
      <c r="H182" s="119"/>
      <c r="I182" s="140"/>
      <c r="J182" s="71"/>
      <c r="K182" s="140"/>
      <c r="L182" s="140"/>
      <c r="M182" s="146"/>
      <c r="N182" s="146"/>
      <c r="O182" s="146"/>
      <c r="P182" s="146"/>
      <c r="Q182" s="146"/>
      <c r="R182" s="146"/>
      <c r="S182" s="181"/>
      <c r="T182" s="54"/>
      <c r="U182" s="134"/>
    </row>
    <row r="183" spans="4:21" x14ac:dyDescent="0.3">
      <c r="D183" s="62"/>
      <c r="E183" s="53"/>
      <c r="F183" s="53"/>
      <c r="G183" s="135"/>
      <c r="H183" s="118"/>
      <c r="I183" s="141"/>
      <c r="J183" s="64"/>
      <c r="K183" s="141"/>
      <c r="L183" s="141"/>
      <c r="M183" s="147"/>
      <c r="N183" s="147"/>
      <c r="O183" s="147"/>
      <c r="P183" s="147"/>
      <c r="Q183" s="147"/>
      <c r="R183" s="147"/>
      <c r="S183" s="180"/>
      <c r="T183" s="53"/>
      <c r="U183" s="135"/>
    </row>
    <row r="184" spans="4:21" x14ac:dyDescent="0.3">
      <c r="D184" s="69"/>
      <c r="E184" s="54"/>
      <c r="F184" s="54"/>
      <c r="G184" s="134"/>
      <c r="H184" s="119"/>
      <c r="I184" s="140"/>
      <c r="J184" s="71"/>
      <c r="K184" s="140"/>
      <c r="L184" s="140"/>
      <c r="M184" s="146"/>
      <c r="N184" s="146"/>
      <c r="O184" s="146"/>
      <c r="P184" s="146"/>
      <c r="Q184" s="146"/>
      <c r="R184" s="146"/>
      <c r="S184" s="181"/>
      <c r="T184" s="54"/>
      <c r="U184" s="134"/>
    </row>
    <row r="185" spans="4:21" x14ac:dyDescent="0.3">
      <c r="D185" s="62"/>
      <c r="E185" s="53"/>
      <c r="F185" s="53"/>
      <c r="G185" s="135"/>
      <c r="H185" s="118"/>
      <c r="I185" s="141"/>
      <c r="J185" s="64"/>
      <c r="K185" s="141"/>
      <c r="L185" s="141"/>
      <c r="M185" s="147"/>
      <c r="N185" s="147"/>
      <c r="O185" s="147"/>
      <c r="P185" s="147"/>
      <c r="Q185" s="147"/>
      <c r="R185" s="147"/>
      <c r="S185" s="180"/>
      <c r="T185" s="53"/>
      <c r="U185" s="135"/>
    </row>
    <row r="186" spans="4:21" x14ac:dyDescent="0.3">
      <c r="D186" s="69"/>
      <c r="E186" s="54"/>
      <c r="F186" s="54"/>
      <c r="G186" s="134"/>
      <c r="H186" s="119"/>
      <c r="I186" s="140"/>
      <c r="J186" s="71"/>
      <c r="K186" s="140"/>
      <c r="L186" s="140"/>
      <c r="M186" s="146"/>
      <c r="N186" s="146"/>
      <c r="O186" s="146"/>
      <c r="P186" s="146"/>
      <c r="Q186" s="146"/>
      <c r="R186" s="146"/>
      <c r="S186" s="181"/>
      <c r="T186" s="54"/>
      <c r="U186" s="134"/>
    </row>
    <row r="187" spans="4:21" x14ac:dyDescent="0.3">
      <c r="D187" s="62"/>
      <c r="E187" s="53"/>
      <c r="F187" s="53"/>
      <c r="G187" s="135"/>
      <c r="H187" s="118"/>
      <c r="I187" s="141"/>
      <c r="J187" s="64"/>
      <c r="K187" s="141"/>
      <c r="L187" s="141"/>
      <c r="M187" s="147"/>
      <c r="N187" s="147"/>
      <c r="O187" s="147"/>
      <c r="P187" s="147"/>
      <c r="Q187" s="147"/>
      <c r="R187" s="147"/>
      <c r="S187" s="180"/>
      <c r="T187" s="53"/>
      <c r="U187" s="135"/>
    </row>
    <row r="188" spans="4:21" x14ac:dyDescent="0.3">
      <c r="D188" s="69"/>
      <c r="E188" s="54"/>
      <c r="F188" s="54"/>
      <c r="G188" s="134"/>
      <c r="H188" s="119"/>
      <c r="I188" s="140"/>
      <c r="J188" s="71"/>
      <c r="K188" s="140"/>
      <c r="L188" s="140"/>
      <c r="M188" s="146"/>
      <c r="N188" s="146"/>
      <c r="O188" s="146"/>
      <c r="P188" s="146"/>
      <c r="Q188" s="146"/>
      <c r="R188" s="146"/>
      <c r="S188" s="181"/>
      <c r="T188" s="54"/>
      <c r="U188" s="134"/>
    </row>
    <row r="189" spans="4:21" x14ac:dyDescent="0.3">
      <c r="D189" s="62"/>
      <c r="E189" s="53"/>
      <c r="F189" s="53"/>
      <c r="G189" s="135"/>
      <c r="H189" s="118"/>
      <c r="I189" s="141"/>
      <c r="J189" s="64"/>
      <c r="K189" s="141"/>
      <c r="L189" s="141"/>
      <c r="M189" s="147"/>
      <c r="N189" s="147"/>
      <c r="O189" s="147"/>
      <c r="P189" s="147"/>
      <c r="Q189" s="147"/>
      <c r="R189" s="147"/>
      <c r="S189" s="180"/>
      <c r="T189" s="53"/>
      <c r="U189" s="135"/>
    </row>
    <row r="190" spans="4:21" x14ac:dyDescent="0.3">
      <c r="D190" s="69"/>
      <c r="E190" s="54"/>
      <c r="F190" s="54"/>
      <c r="G190" s="134"/>
      <c r="H190" s="119"/>
      <c r="I190" s="140"/>
      <c r="J190" s="71"/>
      <c r="K190" s="140"/>
      <c r="L190" s="140"/>
      <c r="M190" s="146"/>
      <c r="N190" s="146"/>
      <c r="O190" s="146"/>
      <c r="P190" s="146"/>
      <c r="Q190" s="146"/>
      <c r="R190" s="146"/>
      <c r="S190" s="181"/>
      <c r="T190" s="54"/>
      <c r="U190" s="134"/>
    </row>
    <row r="191" spans="4:21" x14ac:dyDescent="0.3">
      <c r="D191" s="62"/>
      <c r="E191" s="53"/>
      <c r="F191" s="53"/>
      <c r="G191" s="135"/>
      <c r="H191" s="118"/>
      <c r="I191" s="141"/>
      <c r="J191" s="64"/>
      <c r="K191" s="141"/>
      <c r="L191" s="141"/>
      <c r="M191" s="147"/>
      <c r="N191" s="147"/>
      <c r="O191" s="147"/>
      <c r="P191" s="147"/>
      <c r="Q191" s="147"/>
      <c r="R191" s="147"/>
      <c r="S191" s="180"/>
      <c r="T191" s="53"/>
      <c r="U191" s="135"/>
    </row>
    <row r="192" spans="4:21" x14ac:dyDescent="0.3">
      <c r="D192" s="69"/>
      <c r="E192" s="54"/>
      <c r="F192" s="54"/>
      <c r="G192" s="134"/>
      <c r="H192" s="119"/>
      <c r="I192" s="140"/>
      <c r="J192" s="71"/>
      <c r="K192" s="140"/>
      <c r="L192" s="140"/>
      <c r="M192" s="146"/>
      <c r="N192" s="146"/>
      <c r="O192" s="146"/>
      <c r="P192" s="146"/>
      <c r="Q192" s="146"/>
      <c r="R192" s="146"/>
      <c r="S192" s="181"/>
      <c r="T192" s="54"/>
      <c r="U192" s="134"/>
    </row>
    <row r="193" spans="4:21" x14ac:dyDescent="0.3">
      <c r="D193" s="62"/>
      <c r="E193" s="53"/>
      <c r="F193" s="53"/>
      <c r="G193" s="135"/>
      <c r="H193" s="118"/>
      <c r="I193" s="141"/>
      <c r="J193" s="64"/>
      <c r="K193" s="141"/>
      <c r="L193" s="141"/>
      <c r="M193" s="147"/>
      <c r="N193" s="147"/>
      <c r="O193" s="147"/>
      <c r="P193" s="147"/>
      <c r="Q193" s="147"/>
      <c r="R193" s="147"/>
      <c r="S193" s="180"/>
      <c r="T193" s="53"/>
      <c r="U193" s="135"/>
    </row>
    <row r="194" spans="4:21" x14ac:dyDescent="0.3">
      <c r="D194" s="69"/>
      <c r="E194" s="54"/>
      <c r="F194" s="54"/>
      <c r="G194" s="134"/>
      <c r="H194" s="119"/>
      <c r="I194" s="140"/>
      <c r="J194" s="71"/>
      <c r="K194" s="140"/>
      <c r="L194" s="140"/>
      <c r="M194" s="146"/>
      <c r="N194" s="146"/>
      <c r="O194" s="146"/>
      <c r="P194" s="146"/>
      <c r="Q194" s="146"/>
      <c r="R194" s="146"/>
      <c r="S194" s="181"/>
      <c r="T194" s="54"/>
      <c r="U194" s="134"/>
    </row>
    <row r="195" spans="4:21" x14ac:dyDescent="0.3">
      <c r="D195" s="62"/>
      <c r="E195" s="53"/>
      <c r="F195" s="53"/>
      <c r="G195" s="135"/>
      <c r="H195" s="118"/>
      <c r="I195" s="141"/>
      <c r="J195" s="64"/>
      <c r="K195" s="141"/>
      <c r="L195" s="141"/>
      <c r="M195" s="147"/>
      <c r="N195" s="147"/>
      <c r="O195" s="147"/>
      <c r="P195" s="147"/>
      <c r="Q195" s="147"/>
      <c r="R195" s="147"/>
      <c r="S195" s="180"/>
      <c r="T195" s="53"/>
      <c r="U195" s="135"/>
    </row>
    <row r="196" spans="4:21" x14ac:dyDescent="0.3">
      <c r="D196" s="69"/>
      <c r="E196" s="54"/>
      <c r="F196" s="54"/>
      <c r="G196" s="134"/>
      <c r="H196" s="119"/>
      <c r="I196" s="140"/>
      <c r="J196" s="71"/>
      <c r="K196" s="140"/>
      <c r="L196" s="140"/>
      <c r="M196" s="146"/>
      <c r="N196" s="146"/>
      <c r="O196" s="146"/>
      <c r="P196" s="146"/>
      <c r="Q196" s="146"/>
      <c r="R196" s="146"/>
      <c r="S196" s="181"/>
      <c r="T196" s="54"/>
      <c r="U196" s="134"/>
    </row>
    <row r="197" spans="4:21" x14ac:dyDescent="0.3">
      <c r="D197" s="62"/>
      <c r="E197" s="53"/>
      <c r="F197" s="53"/>
      <c r="G197" s="135"/>
      <c r="H197" s="118"/>
      <c r="I197" s="141"/>
      <c r="J197" s="64"/>
      <c r="K197" s="141"/>
      <c r="L197" s="141"/>
      <c r="M197" s="147"/>
      <c r="N197" s="147"/>
      <c r="O197" s="147"/>
      <c r="P197" s="147"/>
      <c r="Q197" s="147"/>
      <c r="R197" s="147"/>
      <c r="S197" s="180"/>
      <c r="T197" s="53"/>
      <c r="U197" s="135"/>
    </row>
    <row r="198" spans="4:21" x14ac:dyDescent="0.3">
      <c r="D198" s="69"/>
      <c r="E198" s="54"/>
      <c r="F198" s="54"/>
      <c r="G198" s="134"/>
      <c r="H198" s="119"/>
      <c r="I198" s="140"/>
      <c r="J198" s="71"/>
      <c r="K198" s="140"/>
      <c r="L198" s="140"/>
      <c r="M198" s="146"/>
      <c r="N198" s="146"/>
      <c r="O198" s="146"/>
      <c r="P198" s="146"/>
      <c r="Q198" s="146"/>
      <c r="R198" s="146"/>
      <c r="S198" s="181"/>
      <c r="T198" s="54"/>
      <c r="U198" s="134"/>
    </row>
    <row r="199" spans="4:21" x14ac:dyDescent="0.3">
      <c r="D199" s="62"/>
      <c r="E199" s="53"/>
      <c r="F199" s="53"/>
      <c r="G199" s="135"/>
      <c r="H199" s="118"/>
      <c r="I199" s="141"/>
      <c r="J199" s="64"/>
      <c r="K199" s="141"/>
      <c r="L199" s="141"/>
      <c r="M199" s="147"/>
      <c r="N199" s="147"/>
      <c r="O199" s="147"/>
      <c r="P199" s="147"/>
      <c r="Q199" s="147"/>
      <c r="R199" s="147"/>
      <c r="S199" s="180"/>
      <c r="T199" s="53"/>
      <c r="U199" s="135"/>
    </row>
    <row r="200" spans="4:21" x14ac:dyDescent="0.3">
      <c r="D200" s="83"/>
      <c r="E200" s="52"/>
      <c r="F200" s="52"/>
      <c r="G200" s="136"/>
      <c r="H200" s="120"/>
      <c r="I200" s="142"/>
      <c r="J200" s="71"/>
      <c r="K200" s="142"/>
      <c r="L200" s="142"/>
      <c r="M200" s="148"/>
      <c r="N200" s="148"/>
      <c r="O200" s="148"/>
      <c r="P200" s="148"/>
      <c r="Q200" s="148"/>
      <c r="R200" s="148"/>
      <c r="S200" s="182"/>
      <c r="T200" s="52"/>
      <c r="U200" s="136"/>
    </row>
    <row r="201" spans="4:21" x14ac:dyDescent="0.3">
      <c r="E201" s="81"/>
      <c r="F201" s="81"/>
      <c r="G201" s="137"/>
      <c r="H201" s="81"/>
      <c r="I201" s="143"/>
      <c r="J201" s="81"/>
      <c r="K201" s="143"/>
      <c r="L201" s="143"/>
      <c r="M201" s="149"/>
      <c r="N201" s="149"/>
      <c r="O201" s="149"/>
      <c r="P201" s="149"/>
      <c r="Q201" s="149"/>
      <c r="R201" s="149"/>
      <c r="S201" s="81"/>
      <c r="T201" s="81"/>
      <c r="U201" s="81"/>
    </row>
    <row r="202" spans="4:21" x14ac:dyDescent="0.3">
      <c r="D202" s="79"/>
      <c r="E202" s="73"/>
      <c r="F202" s="73"/>
      <c r="G202" s="138"/>
      <c r="H202" s="73"/>
      <c r="I202" s="144"/>
      <c r="J202" s="73"/>
      <c r="K202" s="144"/>
      <c r="L202" s="144"/>
      <c r="M202" s="150"/>
      <c r="N202" s="150"/>
      <c r="O202" s="150"/>
      <c r="P202" s="150"/>
      <c r="Q202" s="150"/>
      <c r="R202" s="150"/>
      <c r="S202" s="73"/>
      <c r="T202" s="73"/>
      <c r="U202" s="73"/>
    </row>
  </sheetData>
  <mergeCells count="13">
    <mergeCell ref="A16:B16"/>
    <mergeCell ref="A17:B17"/>
    <mergeCell ref="A18:B18"/>
    <mergeCell ref="M1:O1"/>
    <mergeCell ref="P1:R1"/>
    <mergeCell ref="A1:B1"/>
    <mergeCell ref="A12:B12"/>
    <mergeCell ref="A6:B6"/>
    <mergeCell ref="A13:B13"/>
    <mergeCell ref="A14:B14"/>
    <mergeCell ref="A15:B15"/>
    <mergeCell ref="D1:F1"/>
    <mergeCell ref="H1:J1"/>
  </mergeCells>
  <dataValidations count="2">
    <dataValidation type="custom" allowBlank="1" showInputMessage="1" showErrorMessage="1" errorTitle="invalid number entered" error="Please enter a number with 10 digits" sqref="I3:I14" xr:uid="{4B87B120-8433-4734-95EC-9E4D245450F0}">
      <formula1>AND(LEN(I3)=10,ISNUMBER(--I3))</formula1>
    </dataValidation>
    <dataValidation type="list" allowBlank="1" showInputMessage="1" showErrorMessage="1" sqref="B7" xr:uid="{C6E3CC3F-8B86-43B8-85F8-72D968B553C2}">
      <formula1>"All,January,February,March,April,May,June,July,August,September,October,November,December"</formula1>
    </dataValidation>
  </dataValidations>
  <hyperlinks>
    <hyperlink ref="A13" location="Home!A1" display="Home" xr:uid="{534B1894-7000-4146-94AF-AD0FE6A86B3C}"/>
    <hyperlink ref="A14:B14" location="Enrollment!A1" display="Enrollment" xr:uid="{02C9F358-01FF-438E-8493-A155D8B36CD7}"/>
    <hyperlink ref="A15:B15" location="Attendance!A1" display="Attendance" xr:uid="{D0B4CE9D-DB7D-4DA3-8599-49D251F23FE5}"/>
    <hyperlink ref="A16:B16" location="Teachers!A1" display="Teachers" xr:uid="{77939890-1214-4A56-94F6-0C2DF4D2E552}"/>
    <hyperlink ref="A17:B17" location="Classes!A1" display="Classes" xr:uid="{CE43BC72-DF5A-43B6-9390-5096BFE02B82}"/>
    <hyperlink ref="A18:B18" location="Monthly_Report!A1" display="Monthly report" xr:uid="{C7770DD6-A9EE-4A8C-86AB-3FD15F14DD96}"/>
  </hyperlink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14BCD-BB1B-4051-9C87-59A6839113FD}">
          <x14:formula1>
            <xm:f>Classes!$A$3:$A$23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1B53-A30D-43DF-8F9A-A78C41CEF3C2}">
  <sheetPr codeName="Sheet10"/>
  <dimension ref="A1:BK20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B18"/>
    </sheetView>
  </sheetViews>
  <sheetFormatPr defaultRowHeight="14.4" x14ac:dyDescent="0.3"/>
  <cols>
    <col min="1" max="1" width="23.33203125" customWidth="1"/>
    <col min="2" max="2" width="15.77734375" customWidth="1"/>
    <col min="4" max="4" width="17.77734375" customWidth="1"/>
    <col min="5" max="5" width="15.77734375" customWidth="1"/>
    <col min="6" max="7" width="15.5546875" customWidth="1"/>
    <col min="8" max="8" width="12.6640625" bestFit="1" customWidth="1"/>
    <col min="9" max="9" width="17.33203125" customWidth="1"/>
    <col min="10" max="10" width="10.88671875" customWidth="1"/>
    <col min="11" max="11" width="16.6640625" customWidth="1"/>
    <col min="12" max="12" width="14.109375" customWidth="1"/>
    <col min="13" max="15" width="12.88671875" customWidth="1"/>
    <col min="16" max="18" width="13.5546875" customWidth="1"/>
    <col min="19" max="19" width="18.33203125" customWidth="1"/>
    <col min="20" max="20" width="20.77734375" style="7" customWidth="1"/>
    <col min="21" max="21" width="25" customWidth="1"/>
    <col min="24" max="24" width="8.88671875" customWidth="1"/>
    <col min="29" max="29" width="8.77734375" customWidth="1"/>
    <col min="34" max="34" width="6.6640625" customWidth="1"/>
    <col min="39" max="39" width="1.77734375" customWidth="1"/>
    <col min="44" max="44" width="2" customWidth="1"/>
    <col min="49" max="49" width="1.6640625" customWidth="1"/>
    <col min="54" max="54" width="2" customWidth="1"/>
    <col min="59" max="59" width="2.6640625" customWidth="1"/>
  </cols>
  <sheetData>
    <row r="1" spans="1:63" ht="15.6" customHeight="1" x14ac:dyDescent="0.3">
      <c r="A1" s="311" t="s">
        <v>72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 t="str">
        <f>Teachers!A3</f>
        <v>T-002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str">
        <f>_xlfn.XLOOKUP(B2, teachers_table[*Teacher ID], teachers_table[*Teacher Name])</f>
        <v>Ali Reza Rezaiee</v>
      </c>
      <c r="C3" s="26"/>
      <c r="D3" s="62" t="str" cm="1">
        <f t="array" ref="D3">IF(B7 = "All", _xlfn._xlws.FILTER(enrollment_table[], enrollment_table[*Teacher Name] = T_Ali_Reza_Rezaiee!B3, "No Students Found"), _xlfn._xlws.FILTER(enrollment_table[], (enrollment_table[*Teacher Name] = T_Ali_Reza_Rezaiee!B3 ) * (enrollment_table[Enrollment Month] = B7), "No Students Found"))</f>
        <v>No Students Found</v>
      </c>
      <c r="E3" s="53"/>
      <c r="F3" s="53"/>
      <c r="G3" s="80"/>
      <c r="H3" s="113"/>
      <c r="I3" s="22"/>
      <c r="J3" s="53"/>
      <c r="K3" s="53"/>
      <c r="L3" s="53"/>
      <c r="M3" s="53"/>
      <c r="N3" s="53"/>
      <c r="O3" s="53"/>
      <c r="P3" s="53"/>
      <c r="Q3" s="53"/>
      <c r="R3" s="53"/>
      <c r="S3" s="186"/>
      <c r="T3" s="141"/>
      <c r="U3" s="53"/>
    </row>
    <row r="4" spans="1:63" ht="15.6" customHeight="1" x14ac:dyDescent="0.3">
      <c r="A4" s="20" t="s">
        <v>29</v>
      </c>
      <c r="B4" s="23">
        <f>_xlfn.XLOOKUP(T_Ali_Reza_Rezaiee!B2, teachers_table[*Teacher ID], teachers_table[*Income Rate])</f>
        <v>0.8</v>
      </c>
      <c r="C4" s="27"/>
      <c r="D4" s="69"/>
      <c r="E4" s="54"/>
      <c r="F4" s="54"/>
      <c r="G4" s="54"/>
      <c r="H4" s="114"/>
      <c r="I4" s="71"/>
      <c r="J4" s="37"/>
      <c r="K4" s="54"/>
      <c r="L4" s="78"/>
      <c r="M4" s="54"/>
      <c r="N4" s="54"/>
      <c r="O4" s="54"/>
      <c r="P4" s="54"/>
      <c r="Q4" s="54"/>
      <c r="R4" s="54"/>
      <c r="S4" s="185"/>
      <c r="T4" s="72"/>
      <c r="U4" s="54"/>
    </row>
    <row r="5" spans="1:63" ht="15.6" customHeight="1" x14ac:dyDescent="0.3">
      <c r="C5" s="28"/>
      <c r="D5" s="62"/>
      <c r="E5" s="53"/>
      <c r="F5" s="53"/>
      <c r="G5" s="53"/>
      <c r="H5" s="115"/>
      <c r="I5" s="65"/>
      <c r="J5" s="66"/>
      <c r="K5" s="53"/>
      <c r="L5" s="53"/>
      <c r="M5" s="53"/>
      <c r="N5" s="53"/>
      <c r="O5" s="53"/>
      <c r="P5" s="53"/>
      <c r="Q5" s="53"/>
      <c r="R5" s="53"/>
      <c r="S5" s="177"/>
      <c r="T5" s="68"/>
      <c r="U5" s="53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54"/>
      <c r="H6" s="116"/>
      <c r="I6" s="71"/>
      <c r="J6" s="37"/>
      <c r="K6" s="54"/>
      <c r="L6" s="54"/>
      <c r="M6" s="54"/>
      <c r="N6" s="54"/>
      <c r="O6" s="54"/>
      <c r="P6" s="54"/>
      <c r="Q6" s="54"/>
      <c r="R6" s="54"/>
      <c r="S6" s="185"/>
      <c r="T6" s="72"/>
      <c r="U6" s="54"/>
    </row>
    <row r="7" spans="1:63" ht="15.6" customHeight="1" x14ac:dyDescent="0.3">
      <c r="A7" s="47" t="s">
        <v>157</v>
      </c>
      <c r="B7" s="24" t="s">
        <v>109</v>
      </c>
      <c r="D7" s="62"/>
      <c r="E7" s="53"/>
      <c r="F7" s="53"/>
      <c r="G7" s="53"/>
      <c r="H7" s="117"/>
      <c r="I7" s="65"/>
      <c r="J7" s="66"/>
      <c r="K7" s="53"/>
      <c r="L7" s="53"/>
      <c r="M7" s="53"/>
      <c r="N7" s="53"/>
      <c r="O7" s="53"/>
      <c r="P7" s="53"/>
      <c r="Q7" s="53"/>
      <c r="R7" s="53"/>
      <c r="S7" s="177"/>
      <c r="T7" s="68"/>
      <c r="U7" s="53"/>
    </row>
    <row r="8" spans="1:63" ht="15.6" customHeight="1" x14ac:dyDescent="0.3">
      <c r="A8" s="84" t="s">
        <v>52</v>
      </c>
      <c r="B8" s="86">
        <f>IF(D3 = "No Students Found", 0, COUNTA(D3:D200))</f>
        <v>0</v>
      </c>
      <c r="C8" s="30"/>
      <c r="D8" s="69"/>
      <c r="E8" s="54"/>
      <c r="F8" s="54"/>
      <c r="G8" s="54"/>
      <c r="H8" s="116"/>
      <c r="I8" s="71"/>
      <c r="J8" s="37"/>
      <c r="K8" s="54"/>
      <c r="L8" s="54"/>
      <c r="M8" s="54"/>
      <c r="N8" s="54"/>
      <c r="O8" s="54"/>
      <c r="P8" s="54"/>
      <c r="Q8" s="54"/>
      <c r="R8" s="54"/>
      <c r="S8" s="185"/>
      <c r="T8" s="72"/>
      <c r="U8" s="54"/>
    </row>
    <row r="9" spans="1:63" ht="15.6" customHeight="1" x14ac:dyDescent="0.3">
      <c r="A9" s="47" t="s">
        <v>106</v>
      </c>
      <c r="B9" s="156">
        <f>SUM(H3:H200)</f>
        <v>0</v>
      </c>
      <c r="C9" s="31"/>
      <c r="D9" s="62"/>
      <c r="E9" s="53"/>
      <c r="F9" s="53"/>
      <c r="G9" s="53"/>
      <c r="H9" s="117"/>
      <c r="I9" s="65"/>
      <c r="J9" s="66"/>
      <c r="K9" s="53"/>
      <c r="L9" s="53"/>
      <c r="M9" s="53"/>
      <c r="N9" s="53"/>
      <c r="O9" s="53"/>
      <c r="P9" s="53"/>
      <c r="Q9" s="53"/>
      <c r="R9" s="53"/>
      <c r="S9" s="177"/>
      <c r="T9" s="68"/>
      <c r="U9" s="53"/>
    </row>
    <row r="10" spans="1:63" ht="15.6" customHeight="1" x14ac:dyDescent="0.3">
      <c r="A10" s="85" t="s">
        <v>44</v>
      </c>
      <c r="B10" s="155">
        <f>B9*B4</f>
        <v>0</v>
      </c>
      <c r="C10" s="31"/>
      <c r="D10" s="69"/>
      <c r="E10" s="54"/>
      <c r="F10" s="54"/>
      <c r="G10" s="54"/>
      <c r="H10" s="116"/>
      <c r="I10" s="71"/>
      <c r="J10" s="37"/>
      <c r="K10" s="54"/>
      <c r="L10" s="54"/>
      <c r="M10" s="54"/>
      <c r="N10" s="54"/>
      <c r="O10" s="54"/>
      <c r="P10" s="54"/>
      <c r="Q10" s="54"/>
      <c r="R10" s="54"/>
      <c r="S10" s="185"/>
      <c r="T10" s="72"/>
      <c r="U10" s="54"/>
    </row>
    <row r="11" spans="1:63" ht="15.6" customHeight="1" x14ac:dyDescent="0.3">
      <c r="C11" s="31"/>
      <c r="D11" s="62"/>
      <c r="E11" s="53"/>
      <c r="F11" s="53"/>
      <c r="G11" s="53"/>
      <c r="H11" s="117"/>
      <c r="I11" s="65"/>
      <c r="J11" s="66"/>
      <c r="K11" s="53"/>
      <c r="L11" s="53"/>
      <c r="M11" s="53"/>
      <c r="N11" s="53"/>
      <c r="O11" s="53"/>
      <c r="P11" s="53"/>
      <c r="Q11" s="53"/>
      <c r="R11" s="53"/>
      <c r="S11" s="177"/>
      <c r="T11" s="68"/>
      <c r="U11" s="53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54"/>
      <c r="H12" s="116"/>
      <c r="I12" s="71"/>
      <c r="J12" s="37"/>
      <c r="K12" s="54"/>
      <c r="L12" s="54"/>
      <c r="M12" s="54"/>
      <c r="N12" s="54"/>
      <c r="O12" s="54"/>
      <c r="P12" s="54"/>
      <c r="Q12" s="54"/>
      <c r="R12" s="54"/>
      <c r="S12" s="185"/>
      <c r="T12" s="72"/>
      <c r="U12" s="5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53"/>
      <c r="H13" s="117"/>
      <c r="I13" s="65"/>
      <c r="J13" s="66"/>
      <c r="K13" s="53"/>
      <c r="L13" s="53"/>
      <c r="M13" s="53"/>
      <c r="N13" s="53"/>
      <c r="O13" s="53"/>
      <c r="P13" s="53"/>
      <c r="Q13" s="53"/>
      <c r="R13" s="53"/>
      <c r="S13" s="177"/>
      <c r="T13" s="68"/>
      <c r="U13" s="53"/>
    </row>
    <row r="14" spans="1:63" ht="15.6" customHeight="1" x14ac:dyDescent="0.3">
      <c r="A14" s="307" t="s">
        <v>104</v>
      </c>
      <c r="B14" s="307"/>
      <c r="D14" s="69"/>
      <c r="E14" s="54"/>
      <c r="F14" s="54"/>
      <c r="G14" s="54"/>
      <c r="H14" s="116"/>
      <c r="I14" s="71"/>
      <c r="J14" s="37"/>
      <c r="K14" s="54"/>
      <c r="L14" s="54"/>
      <c r="M14" s="54"/>
      <c r="N14" s="54"/>
      <c r="O14" s="54"/>
      <c r="P14" s="54"/>
      <c r="Q14" s="54"/>
      <c r="R14" s="54"/>
      <c r="S14" s="185"/>
      <c r="T14" s="72"/>
      <c r="U14" s="5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53"/>
      <c r="H15" s="117"/>
      <c r="I15" s="65"/>
      <c r="J15" s="66"/>
      <c r="K15" s="53"/>
      <c r="L15" s="53"/>
      <c r="M15" s="53"/>
      <c r="N15" s="53"/>
      <c r="O15" s="53"/>
      <c r="P15" s="53"/>
      <c r="Q15" s="53"/>
      <c r="R15" s="53"/>
      <c r="S15" s="177"/>
      <c r="T15" s="68"/>
      <c r="U15" s="53"/>
    </row>
    <row r="16" spans="1:63" ht="15.6" customHeight="1" x14ac:dyDescent="0.3">
      <c r="A16" s="307" t="s">
        <v>57</v>
      </c>
      <c r="B16" s="307"/>
      <c r="D16" s="69"/>
      <c r="E16" s="54"/>
      <c r="F16" s="54"/>
      <c r="G16" s="54"/>
      <c r="H16" s="116"/>
      <c r="I16" s="71"/>
      <c r="J16" s="37"/>
      <c r="K16" s="54"/>
      <c r="L16" s="54"/>
      <c r="M16" s="54"/>
      <c r="N16" s="54"/>
      <c r="O16" s="54"/>
      <c r="P16" s="54"/>
      <c r="Q16" s="54"/>
      <c r="R16" s="54"/>
      <c r="S16" s="185"/>
      <c r="T16" s="72"/>
      <c r="U16" s="54"/>
    </row>
    <row r="17" spans="1:21" ht="15.6" customHeight="1" x14ac:dyDescent="0.3">
      <c r="A17" s="308" t="s">
        <v>58</v>
      </c>
      <c r="B17" s="308"/>
      <c r="D17" s="62"/>
      <c r="E17" s="53"/>
      <c r="F17" s="53"/>
      <c r="G17" s="53"/>
      <c r="H17" s="117"/>
      <c r="I17" s="65"/>
      <c r="J17" s="66"/>
      <c r="K17" s="53"/>
      <c r="L17" s="53"/>
      <c r="M17" s="53"/>
      <c r="N17" s="53"/>
      <c r="O17" s="53"/>
      <c r="P17" s="53"/>
      <c r="Q17" s="53"/>
      <c r="R17" s="53"/>
      <c r="S17" s="177"/>
      <c r="T17" s="68"/>
      <c r="U17" s="53"/>
    </row>
    <row r="18" spans="1:21" ht="15.6" customHeight="1" x14ac:dyDescent="0.3">
      <c r="A18" s="309" t="s">
        <v>124</v>
      </c>
      <c r="B18" s="309"/>
      <c r="D18" s="69"/>
      <c r="E18" s="54"/>
      <c r="F18" s="54"/>
      <c r="G18" s="54"/>
      <c r="H18" s="116"/>
      <c r="I18" s="71"/>
      <c r="J18" s="37"/>
      <c r="K18" s="54"/>
      <c r="L18" s="54"/>
      <c r="M18" s="54"/>
      <c r="N18" s="54"/>
      <c r="O18" s="54"/>
      <c r="P18" s="54"/>
      <c r="Q18" s="54"/>
      <c r="R18" s="54"/>
      <c r="S18" s="185"/>
      <c r="T18" s="72"/>
      <c r="U18" s="54"/>
    </row>
    <row r="19" spans="1:21" ht="15.6" customHeight="1" x14ac:dyDescent="0.3">
      <c r="D19" s="62"/>
      <c r="E19" s="53"/>
      <c r="F19" s="53"/>
      <c r="G19" s="53"/>
      <c r="H19" s="117"/>
      <c r="I19" s="65"/>
      <c r="J19" s="66"/>
      <c r="K19" s="53"/>
      <c r="L19" s="53"/>
      <c r="M19" s="53"/>
      <c r="N19" s="53"/>
      <c r="O19" s="53"/>
      <c r="P19" s="53"/>
      <c r="Q19" s="53"/>
      <c r="R19" s="53"/>
      <c r="S19" s="177"/>
      <c r="T19" s="68"/>
      <c r="U19" s="53"/>
    </row>
    <row r="20" spans="1:21" ht="15.6" customHeight="1" x14ac:dyDescent="0.3">
      <c r="D20" s="69"/>
      <c r="E20" s="54"/>
      <c r="F20" s="54"/>
      <c r="G20" s="54"/>
      <c r="H20" s="116"/>
      <c r="I20" s="71"/>
      <c r="J20" s="37"/>
      <c r="K20" s="54"/>
      <c r="L20" s="54"/>
      <c r="M20" s="54"/>
      <c r="N20" s="54"/>
      <c r="O20" s="54"/>
      <c r="P20" s="54"/>
      <c r="Q20" s="54"/>
      <c r="R20" s="54"/>
      <c r="S20" s="185"/>
      <c r="T20" s="72"/>
      <c r="U20" s="54"/>
    </row>
    <row r="21" spans="1:21" ht="15.6" customHeight="1" x14ac:dyDescent="0.3">
      <c r="D21" s="62"/>
      <c r="E21" s="53"/>
      <c r="F21" s="53"/>
      <c r="G21" s="53"/>
      <c r="H21" s="117"/>
      <c r="I21" s="65"/>
      <c r="J21" s="66"/>
      <c r="K21" s="53"/>
      <c r="L21" s="53"/>
      <c r="M21" s="53"/>
      <c r="N21" s="53"/>
      <c r="O21" s="53"/>
      <c r="P21" s="53"/>
      <c r="Q21" s="53"/>
      <c r="R21" s="53"/>
      <c r="S21" s="177"/>
      <c r="T21" s="68"/>
      <c r="U21" s="53"/>
    </row>
    <row r="22" spans="1:21" ht="15.6" customHeight="1" x14ac:dyDescent="0.3">
      <c r="D22" s="69"/>
      <c r="E22" s="54"/>
      <c r="F22" s="54"/>
      <c r="G22" s="54"/>
      <c r="H22" s="116"/>
      <c r="I22" s="71"/>
      <c r="J22" s="37"/>
      <c r="K22" s="54"/>
      <c r="L22" s="54"/>
      <c r="M22" s="54"/>
      <c r="N22" s="54"/>
      <c r="O22" s="54"/>
      <c r="P22" s="54"/>
      <c r="Q22" s="54"/>
      <c r="R22" s="54"/>
      <c r="S22" s="185"/>
      <c r="T22" s="72"/>
      <c r="U22" s="54"/>
    </row>
    <row r="23" spans="1:21" ht="16.8" customHeight="1" x14ac:dyDescent="0.3">
      <c r="D23" s="62"/>
      <c r="E23" s="53"/>
      <c r="F23" s="53"/>
      <c r="G23" s="53"/>
      <c r="H23" s="117"/>
      <c r="I23" s="65"/>
      <c r="J23" s="66"/>
      <c r="K23" s="53"/>
      <c r="L23" s="53"/>
      <c r="M23" s="53"/>
      <c r="N23" s="53"/>
      <c r="O23" s="53"/>
      <c r="P23" s="53"/>
      <c r="Q23" s="53"/>
      <c r="R23" s="53"/>
      <c r="S23" s="177"/>
      <c r="T23" s="68"/>
      <c r="U23" s="53"/>
    </row>
    <row r="24" spans="1:21" ht="16.8" customHeight="1" x14ac:dyDescent="0.3">
      <c r="D24" s="69"/>
      <c r="E24" s="54"/>
      <c r="F24" s="54"/>
      <c r="G24" s="54"/>
      <c r="H24" s="116"/>
      <c r="I24" s="71"/>
      <c r="J24" s="37"/>
      <c r="K24" s="54"/>
      <c r="L24" s="54"/>
      <c r="M24" s="54"/>
      <c r="N24" s="54"/>
      <c r="O24" s="54"/>
      <c r="P24" s="54"/>
      <c r="Q24" s="54"/>
      <c r="R24" s="54"/>
      <c r="S24" s="185"/>
      <c r="T24" s="72"/>
      <c r="U24" s="54"/>
    </row>
    <row r="25" spans="1:21" ht="16.8" customHeight="1" x14ac:dyDescent="0.3">
      <c r="D25" s="62"/>
      <c r="E25" s="53"/>
      <c r="F25" s="53"/>
      <c r="G25" s="53"/>
      <c r="H25" s="117"/>
      <c r="I25" s="65"/>
      <c r="J25" s="66"/>
      <c r="K25" s="53"/>
      <c r="L25" s="53"/>
      <c r="M25" s="53"/>
      <c r="N25" s="53"/>
      <c r="O25" s="53"/>
      <c r="P25" s="53"/>
      <c r="Q25" s="53"/>
      <c r="R25" s="53"/>
      <c r="S25" s="177"/>
      <c r="T25" s="68"/>
      <c r="U25" s="53"/>
    </row>
    <row r="26" spans="1:21" x14ac:dyDescent="0.3">
      <c r="D26" s="69"/>
      <c r="E26" s="54"/>
      <c r="F26" s="54"/>
      <c r="G26" s="54"/>
      <c r="H26" s="116"/>
      <c r="I26" s="71"/>
      <c r="J26" s="37"/>
      <c r="K26" s="54"/>
      <c r="L26" s="54"/>
      <c r="M26" s="54"/>
      <c r="N26" s="54"/>
      <c r="O26" s="54"/>
      <c r="P26" s="54"/>
      <c r="Q26" s="54"/>
      <c r="R26" s="54"/>
      <c r="S26" s="185"/>
      <c r="T26" s="72"/>
      <c r="U26" s="54"/>
    </row>
    <row r="27" spans="1:21" x14ac:dyDescent="0.3">
      <c r="D27" s="62"/>
      <c r="E27" s="53"/>
      <c r="F27" s="53"/>
      <c r="G27" s="53"/>
      <c r="H27" s="117"/>
      <c r="I27" s="65"/>
      <c r="J27" s="66"/>
      <c r="K27" s="53"/>
      <c r="L27" s="53"/>
      <c r="M27" s="53"/>
      <c r="N27" s="53"/>
      <c r="O27" s="53"/>
      <c r="P27" s="53"/>
      <c r="Q27" s="53"/>
      <c r="R27" s="53"/>
      <c r="S27" s="177"/>
      <c r="T27" s="68"/>
      <c r="U27" s="53"/>
    </row>
    <row r="28" spans="1:21" x14ac:dyDescent="0.3">
      <c r="D28" s="69"/>
      <c r="E28" s="54"/>
      <c r="F28" s="54"/>
      <c r="G28" s="54"/>
      <c r="H28" s="116"/>
      <c r="I28" s="71"/>
      <c r="J28" s="37"/>
      <c r="K28" s="54"/>
      <c r="L28" s="54"/>
      <c r="M28" s="54"/>
      <c r="N28" s="54"/>
      <c r="O28" s="54"/>
      <c r="P28" s="54"/>
      <c r="Q28" s="54"/>
      <c r="R28" s="54"/>
      <c r="S28" s="185"/>
      <c r="T28" s="72"/>
      <c r="U28" s="54"/>
    </row>
    <row r="29" spans="1:21" x14ac:dyDescent="0.3">
      <c r="D29" s="62"/>
      <c r="E29" s="53"/>
      <c r="F29" s="53"/>
      <c r="G29" s="53"/>
      <c r="H29" s="117"/>
      <c r="I29" s="65"/>
      <c r="J29" s="66"/>
      <c r="K29" s="53"/>
      <c r="L29" s="53"/>
      <c r="M29" s="53"/>
      <c r="N29" s="53"/>
      <c r="O29" s="53"/>
      <c r="P29" s="53"/>
      <c r="Q29" s="53"/>
      <c r="R29" s="53"/>
      <c r="S29" s="177"/>
      <c r="T29" s="68"/>
      <c r="U29" s="53"/>
    </row>
    <row r="30" spans="1:21" x14ac:dyDescent="0.3">
      <c r="D30" s="69"/>
      <c r="E30" s="54"/>
      <c r="F30" s="54"/>
      <c r="G30" s="54"/>
      <c r="H30" s="116"/>
      <c r="I30" s="71"/>
      <c r="J30" s="37"/>
      <c r="K30" s="54"/>
      <c r="L30" s="54"/>
      <c r="M30" s="54"/>
      <c r="N30" s="54"/>
      <c r="O30" s="54"/>
      <c r="P30" s="54"/>
      <c r="Q30" s="54"/>
      <c r="R30" s="54"/>
      <c r="S30" s="185"/>
      <c r="T30" s="72"/>
      <c r="U30" s="54"/>
    </row>
    <row r="31" spans="1:21" x14ac:dyDescent="0.3">
      <c r="D31" s="62"/>
      <c r="E31" s="53"/>
      <c r="F31" s="53"/>
      <c r="G31" s="53"/>
      <c r="H31" s="117"/>
      <c r="I31" s="65"/>
      <c r="J31" s="66"/>
      <c r="K31" s="53"/>
      <c r="L31" s="53"/>
      <c r="M31" s="53"/>
      <c r="N31" s="53"/>
      <c r="O31" s="53"/>
      <c r="P31" s="53"/>
      <c r="Q31" s="53"/>
      <c r="R31" s="53"/>
      <c r="S31" s="177"/>
      <c r="T31" s="68"/>
      <c r="U31" s="53"/>
    </row>
    <row r="32" spans="1:21" x14ac:dyDescent="0.3">
      <c r="D32" s="69"/>
      <c r="E32" s="54"/>
      <c r="F32" s="54"/>
      <c r="G32" s="54"/>
      <c r="H32" s="116"/>
      <c r="I32" s="71"/>
      <c r="J32" s="37"/>
      <c r="K32" s="54"/>
      <c r="L32" s="54"/>
      <c r="M32" s="54"/>
      <c r="N32" s="54"/>
      <c r="O32" s="54"/>
      <c r="P32" s="54"/>
      <c r="Q32" s="54"/>
      <c r="R32" s="54"/>
      <c r="S32" s="185"/>
      <c r="T32" s="72"/>
      <c r="U32" s="54"/>
    </row>
    <row r="33" spans="4:21" x14ac:dyDescent="0.3">
      <c r="D33" s="62"/>
      <c r="E33" s="53"/>
      <c r="F33" s="53"/>
      <c r="G33" s="53"/>
      <c r="H33" s="117"/>
      <c r="I33" s="65"/>
      <c r="J33" s="66"/>
      <c r="K33" s="53"/>
      <c r="L33" s="53"/>
      <c r="M33" s="53"/>
      <c r="N33" s="53"/>
      <c r="O33" s="53"/>
      <c r="P33" s="53"/>
      <c r="Q33" s="53"/>
      <c r="R33" s="53"/>
      <c r="S33" s="177"/>
      <c r="T33" s="68"/>
      <c r="U33" s="53"/>
    </row>
    <row r="34" spans="4:21" x14ac:dyDescent="0.3">
      <c r="D34" s="69"/>
      <c r="E34" s="54"/>
      <c r="F34" s="54"/>
      <c r="G34" s="54"/>
      <c r="H34" s="116"/>
      <c r="I34" s="71"/>
      <c r="J34" s="37"/>
      <c r="K34" s="54"/>
      <c r="L34" s="54"/>
      <c r="M34" s="54"/>
      <c r="N34" s="54"/>
      <c r="O34" s="54"/>
      <c r="P34" s="54"/>
      <c r="Q34" s="54"/>
      <c r="R34" s="54"/>
      <c r="S34" s="185"/>
      <c r="T34" s="72"/>
      <c r="U34" s="54"/>
    </row>
    <row r="35" spans="4:21" x14ac:dyDescent="0.3">
      <c r="D35" s="62"/>
      <c r="E35" s="53"/>
      <c r="F35" s="53"/>
      <c r="G35" s="53"/>
      <c r="H35" s="117"/>
      <c r="I35" s="65"/>
      <c r="J35" s="66"/>
      <c r="K35" s="53"/>
      <c r="L35" s="53"/>
      <c r="M35" s="53"/>
      <c r="N35" s="53"/>
      <c r="O35" s="53"/>
      <c r="P35" s="53"/>
      <c r="Q35" s="53"/>
      <c r="R35" s="53"/>
      <c r="S35" s="177"/>
      <c r="T35" s="68"/>
      <c r="U35" s="53"/>
    </row>
    <row r="36" spans="4:21" x14ac:dyDescent="0.3">
      <c r="D36" s="69"/>
      <c r="E36" s="54"/>
      <c r="F36" s="54"/>
      <c r="G36" s="54"/>
      <c r="H36" s="116"/>
      <c r="I36" s="71"/>
      <c r="J36" s="37"/>
      <c r="K36" s="54"/>
      <c r="L36" s="54"/>
      <c r="M36" s="54"/>
      <c r="N36" s="54"/>
      <c r="O36" s="54"/>
      <c r="P36" s="54"/>
      <c r="Q36" s="54"/>
      <c r="R36" s="54"/>
      <c r="S36" s="185"/>
      <c r="T36" s="72"/>
      <c r="U36" s="54"/>
    </row>
    <row r="37" spans="4:21" x14ac:dyDescent="0.3">
      <c r="D37" s="62"/>
      <c r="E37" s="53"/>
      <c r="F37" s="53"/>
      <c r="G37" s="53"/>
      <c r="H37" s="117"/>
      <c r="I37" s="65"/>
      <c r="J37" s="66"/>
      <c r="K37" s="53"/>
      <c r="L37" s="53"/>
      <c r="M37" s="53"/>
      <c r="N37" s="53"/>
      <c r="O37" s="53"/>
      <c r="P37" s="53"/>
      <c r="Q37" s="53"/>
      <c r="R37" s="53"/>
      <c r="S37" s="177"/>
      <c r="T37" s="68"/>
      <c r="U37" s="53"/>
    </row>
    <row r="38" spans="4:21" x14ac:dyDescent="0.3">
      <c r="D38" s="69"/>
      <c r="E38" s="54"/>
      <c r="F38" s="54"/>
      <c r="G38" s="54"/>
      <c r="H38" s="116"/>
      <c r="I38" s="71"/>
      <c r="J38" s="37"/>
      <c r="K38" s="54"/>
      <c r="L38" s="54"/>
      <c r="M38" s="54"/>
      <c r="N38" s="54"/>
      <c r="O38" s="54"/>
      <c r="P38" s="54"/>
      <c r="Q38" s="54"/>
      <c r="R38" s="54"/>
      <c r="S38" s="185"/>
      <c r="T38" s="72"/>
      <c r="U38" s="54"/>
    </row>
    <row r="39" spans="4:21" x14ac:dyDescent="0.3">
      <c r="D39" s="62"/>
      <c r="E39" s="53"/>
      <c r="F39" s="53"/>
      <c r="G39" s="53"/>
      <c r="H39" s="117"/>
      <c r="I39" s="65"/>
      <c r="J39" s="66"/>
      <c r="K39" s="53"/>
      <c r="L39" s="53"/>
      <c r="M39" s="53"/>
      <c r="N39" s="53"/>
      <c r="O39" s="53"/>
      <c r="P39" s="53"/>
      <c r="Q39" s="53"/>
      <c r="R39" s="53"/>
      <c r="S39" s="177"/>
      <c r="T39" s="68"/>
      <c r="U39" s="53"/>
    </row>
    <row r="40" spans="4:21" x14ac:dyDescent="0.3">
      <c r="D40" s="69"/>
      <c r="E40" s="54"/>
      <c r="F40" s="54"/>
      <c r="G40" s="54"/>
      <c r="H40" s="116"/>
      <c r="I40" s="71"/>
      <c r="J40" s="37"/>
      <c r="K40" s="54"/>
      <c r="L40" s="54"/>
      <c r="M40" s="54"/>
      <c r="N40" s="54"/>
      <c r="O40" s="54"/>
      <c r="P40" s="54"/>
      <c r="Q40" s="54"/>
      <c r="R40" s="54"/>
      <c r="S40" s="185"/>
      <c r="T40" s="72"/>
      <c r="U40" s="54"/>
    </row>
    <row r="41" spans="4:21" x14ac:dyDescent="0.3">
      <c r="D41" s="62"/>
      <c r="E41" s="53"/>
      <c r="F41" s="53"/>
      <c r="G41" s="53"/>
      <c r="H41" s="117"/>
      <c r="I41" s="65"/>
      <c r="J41" s="66"/>
      <c r="K41" s="53"/>
      <c r="L41" s="53"/>
      <c r="M41" s="53"/>
      <c r="N41" s="53"/>
      <c r="O41" s="53"/>
      <c r="P41" s="53"/>
      <c r="Q41" s="53"/>
      <c r="R41" s="53"/>
      <c r="S41" s="177"/>
      <c r="T41" s="68"/>
      <c r="U41" s="53"/>
    </row>
    <row r="42" spans="4:21" x14ac:dyDescent="0.3">
      <c r="D42" s="69"/>
      <c r="E42" s="54"/>
      <c r="F42" s="54"/>
      <c r="G42" s="54"/>
      <c r="H42" s="116"/>
      <c r="I42" s="71"/>
      <c r="J42" s="37"/>
      <c r="K42" s="54"/>
      <c r="L42" s="54"/>
      <c r="M42" s="54"/>
      <c r="N42" s="54"/>
      <c r="O42" s="54"/>
      <c r="P42" s="54"/>
      <c r="Q42" s="54"/>
      <c r="R42" s="54"/>
      <c r="S42" s="185"/>
      <c r="T42" s="72"/>
      <c r="U42" s="54"/>
    </row>
    <row r="43" spans="4:21" x14ac:dyDescent="0.3">
      <c r="D43" s="62"/>
      <c r="E43" s="53"/>
      <c r="F43" s="53"/>
      <c r="G43" s="53"/>
      <c r="H43" s="117"/>
      <c r="I43" s="65"/>
      <c r="J43" s="66"/>
      <c r="K43" s="53"/>
      <c r="L43" s="53"/>
      <c r="M43" s="53"/>
      <c r="N43" s="53"/>
      <c r="O43" s="53"/>
      <c r="P43" s="53"/>
      <c r="Q43" s="53"/>
      <c r="R43" s="53"/>
      <c r="S43" s="177"/>
      <c r="T43" s="68"/>
      <c r="U43" s="53"/>
    </row>
    <row r="44" spans="4:21" x14ac:dyDescent="0.3">
      <c r="D44" s="69"/>
      <c r="E44" s="54"/>
      <c r="F44" s="54"/>
      <c r="G44" s="54"/>
      <c r="H44" s="116"/>
      <c r="I44" s="71"/>
      <c r="J44" s="37"/>
      <c r="K44" s="54"/>
      <c r="L44" s="54"/>
      <c r="M44" s="54"/>
      <c r="N44" s="54"/>
      <c r="O44" s="54"/>
      <c r="P44" s="54"/>
      <c r="Q44" s="54"/>
      <c r="R44" s="54"/>
      <c r="S44" s="185"/>
      <c r="T44" s="72"/>
      <c r="U44" s="54"/>
    </row>
    <row r="45" spans="4:21" x14ac:dyDescent="0.3">
      <c r="D45" s="62"/>
      <c r="E45" s="53"/>
      <c r="F45" s="53"/>
      <c r="G45" s="53"/>
      <c r="H45" s="117"/>
      <c r="I45" s="65"/>
      <c r="J45" s="66"/>
      <c r="K45" s="53"/>
      <c r="L45" s="53"/>
      <c r="M45" s="53"/>
      <c r="N45" s="53"/>
      <c r="O45" s="53"/>
      <c r="P45" s="53"/>
      <c r="Q45" s="53"/>
      <c r="R45" s="53"/>
      <c r="S45" s="177"/>
      <c r="T45" s="68"/>
      <c r="U45" s="53"/>
    </row>
    <row r="46" spans="4:21" x14ac:dyDescent="0.3">
      <c r="D46" s="69"/>
      <c r="E46" s="54"/>
      <c r="F46" s="54"/>
      <c r="G46" s="54"/>
      <c r="H46" s="116"/>
      <c r="I46" s="71"/>
      <c r="J46" s="37"/>
      <c r="K46" s="54"/>
      <c r="L46" s="54"/>
      <c r="M46" s="54"/>
      <c r="N46" s="54"/>
      <c r="O46" s="54"/>
      <c r="P46" s="54"/>
      <c r="Q46" s="54"/>
      <c r="R46" s="54"/>
      <c r="S46" s="185"/>
      <c r="T46" s="72"/>
      <c r="U46" s="54"/>
    </row>
    <row r="47" spans="4:21" x14ac:dyDescent="0.3">
      <c r="D47" s="62"/>
      <c r="E47" s="53"/>
      <c r="F47" s="53"/>
      <c r="G47" s="53"/>
      <c r="H47" s="117"/>
      <c r="I47" s="65"/>
      <c r="J47" s="66"/>
      <c r="K47" s="53"/>
      <c r="L47" s="53"/>
      <c r="M47" s="53"/>
      <c r="N47" s="53"/>
      <c r="O47" s="53"/>
      <c r="P47" s="53"/>
      <c r="Q47" s="53"/>
      <c r="R47" s="53"/>
      <c r="S47" s="177"/>
      <c r="T47" s="68"/>
      <c r="U47" s="53"/>
    </row>
    <row r="48" spans="4:21" x14ac:dyDescent="0.3">
      <c r="D48" s="69"/>
      <c r="E48" s="54"/>
      <c r="F48" s="54"/>
      <c r="G48" s="54"/>
      <c r="H48" s="116"/>
      <c r="I48" s="71"/>
      <c r="J48" s="37"/>
      <c r="K48" s="54"/>
      <c r="L48" s="54"/>
      <c r="M48" s="54"/>
      <c r="N48" s="54"/>
      <c r="O48" s="54"/>
      <c r="P48" s="54"/>
      <c r="Q48" s="54"/>
      <c r="R48" s="54"/>
      <c r="S48" s="185"/>
      <c r="T48" s="72"/>
      <c r="U48" s="54"/>
    </row>
    <row r="49" spans="4:21" x14ac:dyDescent="0.3">
      <c r="D49" s="62"/>
      <c r="E49" s="53"/>
      <c r="F49" s="53"/>
      <c r="G49" s="53"/>
      <c r="H49" s="117"/>
      <c r="I49" s="65"/>
      <c r="J49" s="66"/>
      <c r="K49" s="53"/>
      <c r="L49" s="53"/>
      <c r="M49" s="53"/>
      <c r="N49" s="53"/>
      <c r="O49" s="53"/>
      <c r="P49" s="53"/>
      <c r="Q49" s="53"/>
      <c r="R49" s="53"/>
      <c r="S49" s="177"/>
      <c r="T49" s="68"/>
      <c r="U49" s="53"/>
    </row>
    <row r="50" spans="4:21" x14ac:dyDescent="0.3">
      <c r="D50" s="69"/>
      <c r="E50" s="54"/>
      <c r="F50" s="54"/>
      <c r="G50" s="54"/>
      <c r="H50" s="116"/>
      <c r="I50" s="71"/>
      <c r="J50" s="37"/>
      <c r="K50" s="54"/>
      <c r="L50" s="54"/>
      <c r="M50" s="54"/>
      <c r="N50" s="54"/>
      <c r="O50" s="54"/>
      <c r="P50" s="54"/>
      <c r="Q50" s="54"/>
      <c r="R50" s="54"/>
      <c r="S50" s="185"/>
      <c r="T50" s="72"/>
      <c r="U50" s="54"/>
    </row>
    <row r="51" spans="4:21" x14ac:dyDescent="0.3">
      <c r="D51" s="62"/>
      <c r="E51" s="53"/>
      <c r="F51" s="53"/>
      <c r="G51" s="53"/>
      <c r="H51" s="117"/>
      <c r="I51" s="65"/>
      <c r="J51" s="66"/>
      <c r="K51" s="53"/>
      <c r="L51" s="53"/>
      <c r="M51" s="53"/>
      <c r="N51" s="53"/>
      <c r="O51" s="53"/>
      <c r="P51" s="53"/>
      <c r="Q51" s="53"/>
      <c r="R51" s="53"/>
      <c r="S51" s="177"/>
      <c r="T51" s="68"/>
      <c r="U51" s="53"/>
    </row>
    <row r="52" spans="4:21" x14ac:dyDescent="0.3">
      <c r="D52" s="69"/>
      <c r="E52" s="54"/>
      <c r="F52" s="54"/>
      <c r="G52" s="54"/>
      <c r="H52" s="116"/>
      <c r="I52" s="71"/>
      <c r="J52" s="37"/>
      <c r="K52" s="54"/>
      <c r="L52" s="54"/>
      <c r="M52" s="54"/>
      <c r="N52" s="54"/>
      <c r="O52" s="54"/>
      <c r="P52" s="54"/>
      <c r="Q52" s="54"/>
      <c r="R52" s="54"/>
      <c r="S52" s="185"/>
      <c r="T52" s="72"/>
      <c r="U52" s="54"/>
    </row>
    <row r="53" spans="4:21" x14ac:dyDescent="0.3">
      <c r="D53" s="62"/>
      <c r="E53" s="53"/>
      <c r="F53" s="53"/>
      <c r="G53" s="53"/>
      <c r="H53" s="117"/>
      <c r="I53" s="65"/>
      <c r="J53" s="66"/>
      <c r="K53" s="53"/>
      <c r="L53" s="53"/>
      <c r="M53" s="53"/>
      <c r="N53" s="53"/>
      <c r="O53" s="53"/>
      <c r="P53" s="53"/>
      <c r="Q53" s="53"/>
      <c r="R53" s="53"/>
      <c r="S53" s="177"/>
      <c r="T53" s="68"/>
      <c r="U53" s="53"/>
    </row>
    <row r="54" spans="4:21" x14ac:dyDescent="0.3">
      <c r="D54" s="69"/>
      <c r="E54" s="54"/>
      <c r="F54" s="54"/>
      <c r="G54" s="54"/>
      <c r="H54" s="116"/>
      <c r="I54" s="71"/>
      <c r="J54" s="37"/>
      <c r="K54" s="54"/>
      <c r="L54" s="54"/>
      <c r="M54" s="54"/>
      <c r="N54" s="54"/>
      <c r="O54" s="54"/>
      <c r="P54" s="54"/>
      <c r="Q54" s="54"/>
      <c r="R54" s="54"/>
      <c r="S54" s="185"/>
      <c r="T54" s="72"/>
      <c r="U54" s="54"/>
    </row>
    <row r="55" spans="4:21" x14ac:dyDescent="0.3">
      <c r="D55" s="62"/>
      <c r="E55" s="53"/>
      <c r="F55" s="53"/>
      <c r="G55" s="53"/>
      <c r="H55" s="117"/>
      <c r="I55" s="65"/>
      <c r="J55" s="66"/>
      <c r="K55" s="53"/>
      <c r="L55" s="53"/>
      <c r="M55" s="53"/>
      <c r="N55" s="53"/>
      <c r="O55" s="53"/>
      <c r="P55" s="53"/>
      <c r="Q55" s="53"/>
      <c r="R55" s="53"/>
      <c r="S55" s="177"/>
      <c r="T55" s="68"/>
      <c r="U55" s="53"/>
    </row>
    <row r="56" spans="4:21" x14ac:dyDescent="0.3">
      <c r="D56" s="69"/>
      <c r="E56" s="54"/>
      <c r="F56" s="54"/>
      <c r="G56" s="54"/>
      <c r="H56" s="116"/>
      <c r="I56" s="71"/>
      <c r="J56" s="37"/>
      <c r="K56" s="54"/>
      <c r="L56" s="54"/>
      <c r="M56" s="54"/>
      <c r="N56" s="54"/>
      <c r="O56" s="54"/>
      <c r="P56" s="54"/>
      <c r="Q56" s="54"/>
      <c r="R56" s="54"/>
      <c r="S56" s="185"/>
      <c r="T56" s="72"/>
      <c r="U56" s="54"/>
    </row>
    <row r="57" spans="4:21" x14ac:dyDescent="0.3">
      <c r="D57" s="62"/>
      <c r="E57" s="53"/>
      <c r="F57" s="53"/>
      <c r="G57" s="53"/>
      <c r="H57" s="117"/>
      <c r="I57" s="65"/>
      <c r="J57" s="66"/>
      <c r="K57" s="53"/>
      <c r="L57" s="53"/>
      <c r="M57" s="53"/>
      <c r="N57" s="53"/>
      <c r="O57" s="53"/>
      <c r="P57" s="53"/>
      <c r="Q57" s="53"/>
      <c r="R57" s="53"/>
      <c r="S57" s="177"/>
      <c r="T57" s="68"/>
      <c r="U57" s="53"/>
    </row>
    <row r="58" spans="4:21" x14ac:dyDescent="0.3">
      <c r="D58" s="69"/>
      <c r="E58" s="54"/>
      <c r="F58" s="54"/>
      <c r="G58" s="54"/>
      <c r="H58" s="116"/>
      <c r="I58" s="71"/>
      <c r="J58" s="37"/>
      <c r="K58" s="54"/>
      <c r="L58" s="54"/>
      <c r="M58" s="54"/>
      <c r="N58" s="54"/>
      <c r="O58" s="54"/>
      <c r="P58" s="54"/>
      <c r="Q58" s="54"/>
      <c r="R58" s="54"/>
      <c r="S58" s="185"/>
      <c r="T58" s="72"/>
      <c r="U58" s="54"/>
    </row>
    <row r="59" spans="4:21" x14ac:dyDescent="0.3">
      <c r="D59" s="62"/>
      <c r="E59" s="53"/>
      <c r="F59" s="53"/>
      <c r="G59" s="53"/>
      <c r="H59" s="117"/>
      <c r="I59" s="65"/>
      <c r="J59" s="66"/>
      <c r="K59" s="53"/>
      <c r="L59" s="53"/>
      <c r="M59" s="53"/>
      <c r="N59" s="53"/>
      <c r="O59" s="53"/>
      <c r="P59" s="53"/>
      <c r="Q59" s="53"/>
      <c r="R59" s="53"/>
      <c r="S59" s="177"/>
      <c r="T59" s="68"/>
      <c r="U59" s="53"/>
    </row>
    <row r="60" spans="4:21" x14ac:dyDescent="0.3">
      <c r="D60" s="69"/>
      <c r="E60" s="54"/>
      <c r="F60" s="54"/>
      <c r="G60" s="54"/>
      <c r="H60" s="116"/>
      <c r="I60" s="71"/>
      <c r="J60" s="37"/>
      <c r="K60" s="54"/>
      <c r="L60" s="54"/>
      <c r="M60" s="54"/>
      <c r="N60" s="54"/>
      <c r="O60" s="54"/>
      <c r="P60" s="54"/>
      <c r="Q60" s="54"/>
      <c r="R60" s="54"/>
      <c r="S60" s="185"/>
      <c r="T60" s="72"/>
      <c r="U60" s="54"/>
    </row>
    <row r="61" spans="4:21" x14ac:dyDescent="0.3">
      <c r="D61" s="62"/>
      <c r="E61" s="53"/>
      <c r="F61" s="53"/>
      <c r="G61" s="53"/>
      <c r="H61" s="117"/>
      <c r="I61" s="65"/>
      <c r="J61" s="66"/>
      <c r="K61" s="53"/>
      <c r="L61" s="53"/>
      <c r="M61" s="53"/>
      <c r="N61" s="53"/>
      <c r="O61" s="53"/>
      <c r="P61" s="53"/>
      <c r="Q61" s="53"/>
      <c r="R61" s="53"/>
      <c r="S61" s="177"/>
      <c r="T61" s="68"/>
      <c r="U61" s="53"/>
    </row>
    <row r="62" spans="4:21" x14ac:dyDescent="0.3">
      <c r="D62" s="69"/>
      <c r="E62" s="54"/>
      <c r="F62" s="54"/>
      <c r="G62" s="54"/>
      <c r="H62" s="116"/>
      <c r="I62" s="71"/>
      <c r="J62" s="37"/>
      <c r="K62" s="54"/>
      <c r="L62" s="54"/>
      <c r="M62" s="54"/>
      <c r="N62" s="54"/>
      <c r="O62" s="54"/>
      <c r="P62" s="54"/>
      <c r="Q62" s="54"/>
      <c r="R62" s="54"/>
      <c r="S62" s="185"/>
      <c r="T62" s="72"/>
      <c r="U62" s="54"/>
    </row>
    <row r="63" spans="4:21" x14ac:dyDescent="0.3">
      <c r="D63" s="62"/>
      <c r="E63" s="53"/>
      <c r="F63" s="53"/>
      <c r="G63" s="53"/>
      <c r="H63" s="117"/>
      <c r="I63" s="65"/>
      <c r="J63" s="66"/>
      <c r="K63" s="53"/>
      <c r="L63" s="53"/>
      <c r="M63" s="53"/>
      <c r="N63" s="53"/>
      <c r="O63" s="53"/>
      <c r="P63" s="53"/>
      <c r="Q63" s="53"/>
      <c r="R63" s="53"/>
      <c r="S63" s="177"/>
      <c r="T63" s="68"/>
      <c r="U63" s="53"/>
    </row>
    <row r="64" spans="4:21" x14ac:dyDescent="0.3">
      <c r="D64" s="69"/>
      <c r="E64" s="54"/>
      <c r="F64" s="54"/>
      <c r="G64" s="54"/>
      <c r="H64" s="116"/>
      <c r="I64" s="71"/>
      <c r="J64" s="37"/>
      <c r="K64" s="54"/>
      <c r="L64" s="54"/>
      <c r="M64" s="54"/>
      <c r="N64" s="54"/>
      <c r="O64" s="54"/>
      <c r="P64" s="54"/>
      <c r="Q64" s="54"/>
      <c r="R64" s="54"/>
      <c r="S64" s="185"/>
      <c r="T64" s="72"/>
      <c r="U64" s="54"/>
    </row>
    <row r="65" spans="4:21" x14ac:dyDescent="0.3">
      <c r="D65" s="62"/>
      <c r="E65" s="53"/>
      <c r="F65" s="53"/>
      <c r="G65" s="53"/>
      <c r="H65" s="117"/>
      <c r="I65" s="65"/>
      <c r="J65" s="66"/>
      <c r="K65" s="53"/>
      <c r="L65" s="53"/>
      <c r="M65" s="53"/>
      <c r="N65" s="53"/>
      <c r="O65" s="53"/>
      <c r="P65" s="53"/>
      <c r="Q65" s="53"/>
      <c r="R65" s="53"/>
      <c r="S65" s="177"/>
      <c r="T65" s="68"/>
      <c r="U65" s="53"/>
    </row>
    <row r="66" spans="4:21" x14ac:dyDescent="0.3">
      <c r="D66" s="69"/>
      <c r="E66" s="54"/>
      <c r="F66" s="54"/>
      <c r="G66" s="54"/>
      <c r="H66" s="116"/>
      <c r="I66" s="71"/>
      <c r="J66" s="37"/>
      <c r="K66" s="54"/>
      <c r="L66" s="54"/>
      <c r="M66" s="54"/>
      <c r="N66" s="54"/>
      <c r="O66" s="54"/>
      <c r="P66" s="54"/>
      <c r="Q66" s="54"/>
      <c r="R66" s="54"/>
      <c r="S66" s="185"/>
      <c r="T66" s="72"/>
      <c r="U66" s="54"/>
    </row>
    <row r="67" spans="4:21" x14ac:dyDescent="0.3">
      <c r="D67" s="62"/>
      <c r="E67" s="53"/>
      <c r="F67" s="53"/>
      <c r="G67" s="53"/>
      <c r="H67" s="117"/>
      <c r="I67" s="65"/>
      <c r="J67" s="66"/>
      <c r="K67" s="53"/>
      <c r="L67" s="53"/>
      <c r="M67" s="53"/>
      <c r="N67" s="53"/>
      <c r="O67" s="53"/>
      <c r="P67" s="53"/>
      <c r="Q67" s="53"/>
      <c r="R67" s="53"/>
      <c r="S67" s="177"/>
      <c r="T67" s="68"/>
      <c r="U67" s="53"/>
    </row>
    <row r="68" spans="4:21" x14ac:dyDescent="0.3">
      <c r="D68" s="69"/>
      <c r="E68" s="54"/>
      <c r="F68" s="54"/>
      <c r="G68" s="54"/>
      <c r="H68" s="116"/>
      <c r="I68" s="71"/>
      <c r="J68" s="37"/>
      <c r="K68" s="54"/>
      <c r="L68" s="54"/>
      <c r="M68" s="54"/>
      <c r="N68" s="54"/>
      <c r="O68" s="54"/>
      <c r="P68" s="54"/>
      <c r="Q68" s="54"/>
      <c r="R68" s="54"/>
      <c r="S68" s="185"/>
      <c r="T68" s="72"/>
      <c r="U68" s="54"/>
    </row>
    <row r="69" spans="4:21" x14ac:dyDescent="0.3">
      <c r="D69" s="62"/>
      <c r="E69" s="53"/>
      <c r="F69" s="53"/>
      <c r="G69" s="53"/>
      <c r="H69" s="117"/>
      <c r="I69" s="65"/>
      <c r="J69" s="66"/>
      <c r="K69" s="53"/>
      <c r="L69" s="53"/>
      <c r="M69" s="53"/>
      <c r="N69" s="53"/>
      <c r="O69" s="53"/>
      <c r="P69" s="53"/>
      <c r="Q69" s="53"/>
      <c r="R69" s="53"/>
      <c r="S69" s="177"/>
      <c r="T69" s="68"/>
      <c r="U69" s="53"/>
    </row>
    <row r="70" spans="4:21" x14ac:dyDescent="0.3">
      <c r="D70" s="69"/>
      <c r="E70" s="54"/>
      <c r="F70" s="54"/>
      <c r="G70" s="54"/>
      <c r="H70" s="116"/>
      <c r="I70" s="71"/>
      <c r="J70" s="37"/>
      <c r="K70" s="54"/>
      <c r="L70" s="54"/>
      <c r="M70" s="54"/>
      <c r="N70" s="54"/>
      <c r="O70" s="54"/>
      <c r="P70" s="54"/>
      <c r="Q70" s="54"/>
      <c r="R70" s="54"/>
      <c r="S70" s="185"/>
      <c r="T70" s="72"/>
      <c r="U70" s="54"/>
    </row>
    <row r="71" spans="4:21" x14ac:dyDescent="0.3">
      <c r="D71" s="62"/>
      <c r="E71" s="53"/>
      <c r="F71" s="53"/>
      <c r="G71" s="53"/>
      <c r="H71" s="117"/>
      <c r="I71" s="65"/>
      <c r="J71" s="66"/>
      <c r="K71" s="53"/>
      <c r="L71" s="53"/>
      <c r="M71" s="53"/>
      <c r="N71" s="53"/>
      <c r="O71" s="53"/>
      <c r="P71" s="53"/>
      <c r="Q71" s="53"/>
      <c r="R71" s="53"/>
      <c r="S71" s="177"/>
      <c r="T71" s="68"/>
      <c r="U71" s="53"/>
    </row>
    <row r="72" spans="4:21" x14ac:dyDescent="0.3">
      <c r="D72" s="69"/>
      <c r="E72" s="54"/>
      <c r="F72" s="54"/>
      <c r="G72" s="54"/>
      <c r="H72" s="116"/>
      <c r="I72" s="71"/>
      <c r="J72" s="37"/>
      <c r="K72" s="54"/>
      <c r="L72" s="54"/>
      <c r="M72" s="54"/>
      <c r="N72" s="54"/>
      <c r="O72" s="54"/>
      <c r="P72" s="54"/>
      <c r="Q72" s="54"/>
      <c r="R72" s="54"/>
      <c r="S72" s="185"/>
      <c r="T72" s="72"/>
      <c r="U72" s="54"/>
    </row>
    <row r="73" spans="4:21" x14ac:dyDescent="0.3">
      <c r="D73" s="62"/>
      <c r="E73" s="53"/>
      <c r="F73" s="53"/>
      <c r="G73" s="53"/>
      <c r="H73" s="117"/>
      <c r="I73" s="65"/>
      <c r="J73" s="66"/>
      <c r="K73" s="53"/>
      <c r="L73" s="53"/>
      <c r="M73" s="53"/>
      <c r="N73" s="53"/>
      <c r="O73" s="53"/>
      <c r="P73" s="53"/>
      <c r="Q73" s="53"/>
      <c r="R73" s="53"/>
      <c r="S73" s="177"/>
      <c r="T73" s="68"/>
      <c r="U73" s="53"/>
    </row>
    <row r="74" spans="4:21" x14ac:dyDescent="0.3">
      <c r="D74" s="69"/>
      <c r="E74" s="54"/>
      <c r="F74" s="54"/>
      <c r="G74" s="54"/>
      <c r="H74" s="116"/>
      <c r="I74" s="71"/>
      <c r="J74" s="37"/>
      <c r="K74" s="54"/>
      <c r="L74" s="54"/>
      <c r="M74" s="54"/>
      <c r="N74" s="54"/>
      <c r="O74" s="54"/>
      <c r="P74" s="54"/>
      <c r="Q74" s="54"/>
      <c r="R74" s="54"/>
      <c r="S74" s="185"/>
      <c r="T74" s="72"/>
      <c r="U74" s="54"/>
    </row>
    <row r="75" spans="4:21" x14ac:dyDescent="0.3">
      <c r="D75" s="62"/>
      <c r="E75" s="53"/>
      <c r="F75" s="53"/>
      <c r="G75" s="53"/>
      <c r="H75" s="117"/>
      <c r="I75" s="65"/>
      <c r="J75" s="66"/>
      <c r="K75" s="53"/>
      <c r="L75" s="53"/>
      <c r="M75" s="53"/>
      <c r="N75" s="53"/>
      <c r="O75" s="53"/>
      <c r="P75" s="53"/>
      <c r="Q75" s="53"/>
      <c r="R75" s="53"/>
      <c r="S75" s="177"/>
      <c r="T75" s="68"/>
      <c r="U75" s="53"/>
    </row>
    <row r="76" spans="4:21" x14ac:dyDescent="0.3">
      <c r="D76" s="69"/>
      <c r="E76" s="54"/>
      <c r="F76" s="54"/>
      <c r="G76" s="54"/>
      <c r="H76" s="116"/>
      <c r="I76" s="71"/>
      <c r="J76" s="37"/>
      <c r="K76" s="54"/>
      <c r="L76" s="54"/>
      <c r="M76" s="54"/>
      <c r="N76" s="54"/>
      <c r="O76" s="54"/>
      <c r="P76" s="54"/>
      <c r="Q76" s="54"/>
      <c r="R76" s="54"/>
      <c r="S76" s="185"/>
      <c r="T76" s="72"/>
      <c r="U76" s="54"/>
    </row>
    <row r="77" spans="4:21" x14ac:dyDescent="0.3">
      <c r="D77" s="62"/>
      <c r="E77" s="53"/>
      <c r="F77" s="53"/>
      <c r="G77" s="53"/>
      <c r="H77" s="117"/>
      <c r="I77" s="65"/>
      <c r="J77" s="66"/>
      <c r="K77" s="53"/>
      <c r="L77" s="53"/>
      <c r="M77" s="53"/>
      <c r="N77" s="53"/>
      <c r="O77" s="53"/>
      <c r="P77" s="53"/>
      <c r="Q77" s="53"/>
      <c r="R77" s="53"/>
      <c r="S77" s="177"/>
      <c r="T77" s="68"/>
      <c r="U77" s="53"/>
    </row>
    <row r="78" spans="4:21" x14ac:dyDescent="0.3">
      <c r="D78" s="69"/>
      <c r="E78" s="54"/>
      <c r="F78" s="54"/>
      <c r="G78" s="54"/>
      <c r="H78" s="116"/>
      <c r="I78" s="71"/>
      <c r="J78" s="37"/>
      <c r="K78" s="54"/>
      <c r="L78" s="54"/>
      <c r="M78" s="54"/>
      <c r="N78" s="54"/>
      <c r="O78" s="54"/>
      <c r="P78" s="54"/>
      <c r="Q78" s="54"/>
      <c r="R78" s="54"/>
      <c r="S78" s="185"/>
      <c r="T78" s="72"/>
      <c r="U78" s="54"/>
    </row>
    <row r="79" spans="4:21" x14ac:dyDescent="0.3">
      <c r="D79" s="62"/>
      <c r="E79" s="53"/>
      <c r="F79" s="53"/>
      <c r="G79" s="53"/>
      <c r="H79" s="117"/>
      <c r="I79" s="65"/>
      <c r="J79" s="66"/>
      <c r="K79" s="53"/>
      <c r="L79" s="53"/>
      <c r="M79" s="53"/>
      <c r="N79" s="53"/>
      <c r="O79" s="53"/>
      <c r="P79" s="53"/>
      <c r="Q79" s="53"/>
      <c r="R79" s="53"/>
      <c r="S79" s="177"/>
      <c r="T79" s="68"/>
      <c r="U79" s="53"/>
    </row>
    <row r="80" spans="4:21" x14ac:dyDescent="0.3">
      <c r="D80" s="69"/>
      <c r="E80" s="54"/>
      <c r="F80" s="54"/>
      <c r="G80" s="54"/>
      <c r="H80" s="116"/>
      <c r="I80" s="71"/>
      <c r="J80" s="37"/>
      <c r="K80" s="54"/>
      <c r="L80" s="54"/>
      <c r="M80" s="54"/>
      <c r="N80" s="54"/>
      <c r="O80" s="54"/>
      <c r="P80" s="54"/>
      <c r="Q80" s="54"/>
      <c r="R80" s="54"/>
      <c r="S80" s="185"/>
      <c r="T80" s="72"/>
      <c r="U80" s="54"/>
    </row>
    <row r="81" spans="4:21" x14ac:dyDescent="0.3">
      <c r="D81" s="62"/>
      <c r="E81" s="53"/>
      <c r="F81" s="53"/>
      <c r="G81" s="53"/>
      <c r="H81" s="117"/>
      <c r="I81" s="65"/>
      <c r="J81" s="66"/>
      <c r="K81" s="53"/>
      <c r="L81" s="53"/>
      <c r="M81" s="53"/>
      <c r="N81" s="53"/>
      <c r="O81" s="53"/>
      <c r="P81" s="53"/>
      <c r="Q81" s="53"/>
      <c r="R81" s="53"/>
      <c r="S81" s="177"/>
      <c r="T81" s="68"/>
      <c r="U81" s="53"/>
    </row>
    <row r="82" spans="4:21" x14ac:dyDescent="0.3">
      <c r="D82" s="69"/>
      <c r="E82" s="54"/>
      <c r="F82" s="54"/>
      <c r="G82" s="54"/>
      <c r="H82" s="116"/>
      <c r="I82" s="71"/>
      <c r="J82" s="37"/>
      <c r="K82" s="54"/>
      <c r="L82" s="54"/>
      <c r="M82" s="54"/>
      <c r="N82" s="54"/>
      <c r="O82" s="54"/>
      <c r="P82" s="54"/>
      <c r="Q82" s="54"/>
      <c r="R82" s="54"/>
      <c r="S82" s="185"/>
      <c r="T82" s="72"/>
      <c r="U82" s="54"/>
    </row>
    <row r="83" spans="4:21" x14ac:dyDescent="0.3">
      <c r="D83" s="62"/>
      <c r="E83" s="53"/>
      <c r="F83" s="53"/>
      <c r="G83" s="53"/>
      <c r="H83" s="117"/>
      <c r="I83" s="65"/>
      <c r="J83" s="66"/>
      <c r="K83" s="53"/>
      <c r="L83" s="53"/>
      <c r="M83" s="53"/>
      <c r="N83" s="53"/>
      <c r="O83" s="53"/>
      <c r="P83" s="53"/>
      <c r="Q83" s="53"/>
      <c r="R83" s="53"/>
      <c r="S83" s="177"/>
      <c r="T83" s="68"/>
      <c r="U83" s="53"/>
    </row>
    <row r="84" spans="4:21" x14ac:dyDescent="0.3">
      <c r="D84" s="69"/>
      <c r="E84" s="54"/>
      <c r="F84" s="54"/>
      <c r="G84" s="54"/>
      <c r="H84" s="116"/>
      <c r="I84" s="71"/>
      <c r="J84" s="37"/>
      <c r="K84" s="54"/>
      <c r="L84" s="54"/>
      <c r="M84" s="54"/>
      <c r="N84" s="54"/>
      <c r="O84" s="54"/>
      <c r="P84" s="54"/>
      <c r="Q84" s="54"/>
      <c r="R84" s="54"/>
      <c r="S84" s="185"/>
      <c r="T84" s="72"/>
      <c r="U84" s="54"/>
    </row>
    <row r="85" spans="4:21" x14ac:dyDescent="0.3">
      <c r="D85" s="62"/>
      <c r="E85" s="53"/>
      <c r="F85" s="53"/>
      <c r="G85" s="53"/>
      <c r="H85" s="117"/>
      <c r="I85" s="65"/>
      <c r="J85" s="66"/>
      <c r="K85" s="53"/>
      <c r="L85" s="53"/>
      <c r="M85" s="53"/>
      <c r="N85" s="53"/>
      <c r="O85" s="53"/>
      <c r="P85" s="53"/>
      <c r="Q85" s="53"/>
      <c r="R85" s="53"/>
      <c r="S85" s="177"/>
      <c r="T85" s="68"/>
      <c r="U85" s="53"/>
    </row>
    <row r="86" spans="4:21" x14ac:dyDescent="0.3">
      <c r="D86" s="69"/>
      <c r="E86" s="54"/>
      <c r="F86" s="54"/>
      <c r="G86" s="54"/>
      <c r="H86" s="116"/>
      <c r="I86" s="71"/>
      <c r="J86" s="37"/>
      <c r="K86" s="54"/>
      <c r="L86" s="54"/>
      <c r="M86" s="54"/>
      <c r="N86" s="54"/>
      <c r="O86" s="54"/>
      <c r="P86" s="54"/>
      <c r="Q86" s="54"/>
      <c r="R86" s="54"/>
      <c r="S86" s="185"/>
      <c r="T86" s="72"/>
      <c r="U86" s="54"/>
    </row>
    <row r="87" spans="4:21" x14ac:dyDescent="0.3">
      <c r="D87" s="62"/>
      <c r="E87" s="53"/>
      <c r="F87" s="53"/>
      <c r="G87" s="53"/>
      <c r="H87" s="117"/>
      <c r="I87" s="65"/>
      <c r="J87" s="66"/>
      <c r="K87" s="53"/>
      <c r="L87" s="53"/>
      <c r="M87" s="53"/>
      <c r="N87" s="53"/>
      <c r="O87" s="53"/>
      <c r="P87" s="53"/>
      <c r="Q87" s="53"/>
      <c r="R87" s="53"/>
      <c r="S87" s="177"/>
      <c r="T87" s="68"/>
      <c r="U87" s="53"/>
    </row>
    <row r="88" spans="4:21" x14ac:dyDescent="0.3">
      <c r="D88" s="69"/>
      <c r="E88" s="54"/>
      <c r="F88" s="54"/>
      <c r="G88" s="54"/>
      <c r="H88" s="116"/>
      <c r="I88" s="71"/>
      <c r="J88" s="37"/>
      <c r="K88" s="54"/>
      <c r="L88" s="54"/>
      <c r="M88" s="54"/>
      <c r="N88" s="54"/>
      <c r="O88" s="54"/>
      <c r="P88" s="54"/>
      <c r="Q88" s="54"/>
      <c r="R88" s="54"/>
      <c r="S88" s="185"/>
      <c r="T88" s="72"/>
      <c r="U88" s="54"/>
    </row>
    <row r="89" spans="4:21" x14ac:dyDescent="0.3">
      <c r="D89" s="62"/>
      <c r="E89" s="53"/>
      <c r="F89" s="53"/>
      <c r="G89" s="53"/>
      <c r="H89" s="117"/>
      <c r="I89" s="65"/>
      <c r="J89" s="66"/>
      <c r="K89" s="53"/>
      <c r="L89" s="53"/>
      <c r="M89" s="53"/>
      <c r="N89" s="53"/>
      <c r="O89" s="53"/>
      <c r="P89" s="53"/>
      <c r="Q89" s="53"/>
      <c r="R89" s="53"/>
      <c r="S89" s="177"/>
      <c r="T89" s="68"/>
      <c r="U89" s="53"/>
    </row>
    <row r="90" spans="4:21" x14ac:dyDescent="0.3">
      <c r="D90" s="69"/>
      <c r="E90" s="54"/>
      <c r="F90" s="54"/>
      <c r="G90" s="54"/>
      <c r="H90" s="116"/>
      <c r="I90" s="71"/>
      <c r="J90" s="37"/>
      <c r="K90" s="54"/>
      <c r="L90" s="54"/>
      <c r="M90" s="54"/>
      <c r="N90" s="54"/>
      <c r="O90" s="54"/>
      <c r="P90" s="54"/>
      <c r="Q90" s="54"/>
      <c r="R90" s="54"/>
      <c r="S90" s="185"/>
      <c r="T90" s="72"/>
      <c r="U90" s="54"/>
    </row>
    <row r="91" spans="4:21" x14ac:dyDescent="0.3">
      <c r="D91" s="62"/>
      <c r="E91" s="53"/>
      <c r="F91" s="53"/>
      <c r="G91" s="53"/>
      <c r="H91" s="117"/>
      <c r="I91" s="65"/>
      <c r="J91" s="66"/>
      <c r="K91" s="53"/>
      <c r="L91" s="53"/>
      <c r="M91" s="53"/>
      <c r="N91" s="53"/>
      <c r="O91" s="53"/>
      <c r="P91" s="53"/>
      <c r="Q91" s="53"/>
      <c r="R91" s="53"/>
      <c r="S91" s="177"/>
      <c r="T91" s="68"/>
      <c r="U91" s="53"/>
    </row>
    <row r="92" spans="4:21" x14ac:dyDescent="0.3">
      <c r="D92" s="69"/>
      <c r="E92" s="54"/>
      <c r="F92" s="54"/>
      <c r="G92" s="54"/>
      <c r="H92" s="116"/>
      <c r="I92" s="71"/>
      <c r="J92" s="37"/>
      <c r="K92" s="54"/>
      <c r="L92" s="54"/>
      <c r="M92" s="54"/>
      <c r="N92" s="54"/>
      <c r="O92" s="54"/>
      <c r="P92" s="54"/>
      <c r="Q92" s="54"/>
      <c r="R92" s="54"/>
      <c r="S92" s="185"/>
      <c r="T92" s="72"/>
      <c r="U92" s="54"/>
    </row>
    <row r="93" spans="4:21" x14ac:dyDescent="0.3">
      <c r="D93" s="62"/>
      <c r="E93" s="53"/>
      <c r="F93" s="53"/>
      <c r="G93" s="53"/>
      <c r="H93" s="117"/>
      <c r="I93" s="65"/>
      <c r="J93" s="66"/>
      <c r="K93" s="53"/>
      <c r="L93" s="53"/>
      <c r="M93" s="53"/>
      <c r="N93" s="53"/>
      <c r="O93" s="53"/>
      <c r="P93" s="53"/>
      <c r="Q93" s="53"/>
      <c r="R93" s="53"/>
      <c r="S93" s="177"/>
      <c r="T93" s="68"/>
      <c r="U93" s="53"/>
    </row>
    <row r="94" spans="4:21" x14ac:dyDescent="0.3">
      <c r="D94" s="69"/>
      <c r="E94" s="54"/>
      <c r="F94" s="54"/>
      <c r="G94" s="54"/>
      <c r="H94" s="116"/>
      <c r="I94" s="71"/>
      <c r="J94" s="37"/>
      <c r="K94" s="54"/>
      <c r="L94" s="54"/>
      <c r="M94" s="54"/>
      <c r="N94" s="54"/>
      <c r="O94" s="54"/>
      <c r="P94" s="54"/>
      <c r="Q94" s="54"/>
      <c r="R94" s="54"/>
      <c r="S94" s="185"/>
      <c r="T94" s="72"/>
      <c r="U94" s="54"/>
    </row>
    <row r="95" spans="4:21" x14ac:dyDescent="0.3">
      <c r="D95" s="62"/>
      <c r="E95" s="53"/>
      <c r="F95" s="53"/>
      <c r="G95" s="53"/>
      <c r="H95" s="117"/>
      <c r="I95" s="65"/>
      <c r="J95" s="66"/>
      <c r="K95" s="53"/>
      <c r="L95" s="53"/>
      <c r="M95" s="53"/>
      <c r="N95" s="53"/>
      <c r="O95" s="53"/>
      <c r="P95" s="53"/>
      <c r="Q95" s="53"/>
      <c r="R95" s="53"/>
      <c r="S95" s="177"/>
      <c r="T95" s="68"/>
      <c r="U95" s="53"/>
    </row>
    <row r="96" spans="4:21" x14ac:dyDescent="0.3">
      <c r="D96" s="69"/>
      <c r="E96" s="54"/>
      <c r="F96" s="54"/>
      <c r="G96" s="54"/>
      <c r="H96" s="116"/>
      <c r="I96" s="71"/>
      <c r="J96" s="37"/>
      <c r="K96" s="54"/>
      <c r="L96" s="54"/>
      <c r="M96" s="54"/>
      <c r="N96" s="54"/>
      <c r="O96" s="54"/>
      <c r="P96" s="54"/>
      <c r="Q96" s="54"/>
      <c r="R96" s="54"/>
      <c r="S96" s="185"/>
      <c r="T96" s="72"/>
      <c r="U96" s="54"/>
    </row>
    <row r="97" spans="4:21" x14ac:dyDescent="0.3">
      <c r="D97" s="62"/>
      <c r="E97" s="53"/>
      <c r="F97" s="53"/>
      <c r="G97" s="53"/>
      <c r="H97" s="117"/>
      <c r="I97" s="65"/>
      <c r="J97" s="66"/>
      <c r="K97" s="53"/>
      <c r="L97" s="53"/>
      <c r="M97" s="53"/>
      <c r="N97" s="53"/>
      <c r="O97" s="53"/>
      <c r="P97" s="53"/>
      <c r="Q97" s="53"/>
      <c r="R97" s="53"/>
      <c r="S97" s="177"/>
      <c r="T97" s="68"/>
      <c r="U97" s="53"/>
    </row>
    <row r="98" spans="4:21" x14ac:dyDescent="0.3">
      <c r="D98" s="69"/>
      <c r="E98" s="54"/>
      <c r="F98" s="54"/>
      <c r="G98" s="54"/>
      <c r="H98" s="116"/>
      <c r="I98" s="71"/>
      <c r="J98" s="37"/>
      <c r="K98" s="54"/>
      <c r="L98" s="54"/>
      <c r="M98" s="54"/>
      <c r="N98" s="54"/>
      <c r="O98" s="54"/>
      <c r="P98" s="54"/>
      <c r="Q98" s="54"/>
      <c r="R98" s="54"/>
      <c r="S98" s="185"/>
      <c r="T98" s="72"/>
      <c r="U98" s="54"/>
    </row>
    <row r="99" spans="4:21" x14ac:dyDescent="0.3">
      <c r="D99" s="62"/>
      <c r="E99" s="53"/>
      <c r="F99" s="53"/>
      <c r="G99" s="53"/>
      <c r="H99" s="117"/>
      <c r="I99" s="65"/>
      <c r="J99" s="66"/>
      <c r="K99" s="53"/>
      <c r="L99" s="53"/>
      <c r="M99" s="53"/>
      <c r="N99" s="53"/>
      <c r="O99" s="53"/>
      <c r="P99" s="53"/>
      <c r="Q99" s="53"/>
      <c r="R99" s="53"/>
      <c r="S99" s="177"/>
      <c r="T99" s="68"/>
      <c r="U99" s="53"/>
    </row>
    <row r="100" spans="4:21" x14ac:dyDescent="0.3">
      <c r="D100" s="69"/>
      <c r="E100" s="54"/>
      <c r="F100" s="54"/>
      <c r="G100" s="54"/>
      <c r="H100" s="116"/>
      <c r="I100" s="71"/>
      <c r="J100" s="37"/>
      <c r="K100" s="54"/>
      <c r="L100" s="54"/>
      <c r="M100" s="54"/>
      <c r="N100" s="54"/>
      <c r="O100" s="54"/>
      <c r="P100" s="54"/>
      <c r="Q100" s="54"/>
      <c r="R100" s="54"/>
      <c r="S100" s="185"/>
      <c r="T100" s="72"/>
      <c r="U100" s="54"/>
    </row>
    <row r="101" spans="4:21" x14ac:dyDescent="0.3">
      <c r="D101" s="62"/>
      <c r="E101" s="53"/>
      <c r="F101" s="53"/>
      <c r="G101" s="53"/>
      <c r="H101" s="117"/>
      <c r="I101" s="65"/>
      <c r="J101" s="66"/>
      <c r="K101" s="53"/>
      <c r="L101" s="53"/>
      <c r="M101" s="53"/>
      <c r="N101" s="53"/>
      <c r="O101" s="53"/>
      <c r="P101" s="53"/>
      <c r="Q101" s="53"/>
      <c r="R101" s="53"/>
      <c r="S101" s="177"/>
      <c r="T101" s="68"/>
      <c r="U101" s="53"/>
    </row>
    <row r="102" spans="4:21" x14ac:dyDescent="0.3">
      <c r="D102" s="69"/>
      <c r="E102" s="54"/>
      <c r="F102" s="54"/>
      <c r="G102" s="54"/>
      <c r="H102" s="116"/>
      <c r="I102" s="71"/>
      <c r="J102" s="37"/>
      <c r="K102" s="54"/>
      <c r="L102" s="54"/>
      <c r="M102" s="54"/>
      <c r="N102" s="54"/>
      <c r="O102" s="54"/>
      <c r="P102" s="54"/>
      <c r="Q102" s="54"/>
      <c r="R102" s="54"/>
      <c r="S102" s="185"/>
      <c r="T102" s="72"/>
      <c r="U102" s="54"/>
    </row>
    <row r="103" spans="4:21" x14ac:dyDescent="0.3">
      <c r="D103" s="62"/>
      <c r="E103" s="53"/>
      <c r="F103" s="53"/>
      <c r="G103" s="53"/>
      <c r="H103" s="117"/>
      <c r="I103" s="65"/>
      <c r="J103" s="66"/>
      <c r="K103" s="53"/>
      <c r="L103" s="53"/>
      <c r="M103" s="53"/>
      <c r="N103" s="53"/>
      <c r="O103" s="53"/>
      <c r="P103" s="53"/>
      <c r="Q103" s="53"/>
      <c r="R103" s="53"/>
      <c r="S103" s="177"/>
      <c r="T103" s="68"/>
      <c r="U103" s="53"/>
    </row>
    <row r="104" spans="4:21" x14ac:dyDescent="0.3">
      <c r="D104" s="69"/>
      <c r="E104" s="54"/>
      <c r="F104" s="54"/>
      <c r="G104" s="54"/>
      <c r="H104" s="116"/>
      <c r="I104" s="71"/>
      <c r="J104" s="37"/>
      <c r="K104" s="54"/>
      <c r="L104" s="54"/>
      <c r="M104" s="54"/>
      <c r="N104" s="54"/>
      <c r="O104" s="54"/>
      <c r="P104" s="54"/>
      <c r="Q104" s="54"/>
      <c r="R104" s="54"/>
      <c r="S104" s="185"/>
      <c r="T104" s="72"/>
      <c r="U104" s="54"/>
    </row>
    <row r="105" spans="4:21" x14ac:dyDescent="0.3">
      <c r="D105" s="62"/>
      <c r="E105" s="53"/>
      <c r="F105" s="53"/>
      <c r="G105" s="53"/>
      <c r="H105" s="117"/>
      <c r="I105" s="65"/>
      <c r="J105" s="66"/>
      <c r="K105" s="53"/>
      <c r="L105" s="53"/>
      <c r="M105" s="53"/>
      <c r="N105" s="53"/>
      <c r="O105" s="53"/>
      <c r="P105" s="53"/>
      <c r="Q105" s="53"/>
      <c r="R105" s="53"/>
      <c r="S105" s="177"/>
      <c r="T105" s="68"/>
      <c r="U105" s="53"/>
    </row>
    <row r="106" spans="4:21" x14ac:dyDescent="0.3">
      <c r="D106" s="69"/>
      <c r="E106" s="54"/>
      <c r="F106" s="54"/>
      <c r="G106" s="54"/>
      <c r="H106" s="116"/>
      <c r="I106" s="71"/>
      <c r="J106" s="37"/>
      <c r="K106" s="54"/>
      <c r="L106" s="54"/>
      <c r="M106" s="54"/>
      <c r="N106" s="54"/>
      <c r="O106" s="54"/>
      <c r="P106" s="54"/>
      <c r="Q106" s="54"/>
      <c r="R106" s="54"/>
      <c r="S106" s="185"/>
      <c r="T106" s="72"/>
      <c r="U106" s="54"/>
    </row>
    <row r="107" spans="4:21" x14ac:dyDescent="0.3">
      <c r="D107" s="62"/>
      <c r="E107" s="53"/>
      <c r="F107" s="53"/>
      <c r="G107" s="53"/>
      <c r="H107" s="117"/>
      <c r="I107" s="65"/>
      <c r="J107" s="66"/>
      <c r="K107" s="53"/>
      <c r="L107" s="53"/>
      <c r="M107" s="53"/>
      <c r="N107" s="53"/>
      <c r="O107" s="53"/>
      <c r="P107" s="53"/>
      <c r="Q107" s="53"/>
      <c r="R107" s="53"/>
      <c r="S107" s="177"/>
      <c r="T107" s="68"/>
      <c r="U107" s="53"/>
    </row>
    <row r="108" spans="4:21" x14ac:dyDescent="0.3">
      <c r="D108" s="69"/>
      <c r="E108" s="54"/>
      <c r="F108" s="54"/>
      <c r="G108" s="54"/>
      <c r="H108" s="116"/>
      <c r="I108" s="71"/>
      <c r="J108" s="37"/>
      <c r="K108" s="54"/>
      <c r="L108" s="54"/>
      <c r="M108" s="54"/>
      <c r="N108" s="54"/>
      <c r="O108" s="54"/>
      <c r="P108" s="54"/>
      <c r="Q108" s="54"/>
      <c r="R108" s="54"/>
      <c r="S108" s="185"/>
      <c r="T108" s="72"/>
      <c r="U108" s="54"/>
    </row>
    <row r="109" spans="4:21" x14ac:dyDescent="0.3">
      <c r="D109" s="62"/>
      <c r="E109" s="53"/>
      <c r="F109" s="53"/>
      <c r="G109" s="53"/>
      <c r="H109" s="117"/>
      <c r="I109" s="65"/>
      <c r="J109" s="66"/>
      <c r="K109" s="53"/>
      <c r="L109" s="53"/>
      <c r="M109" s="53"/>
      <c r="N109" s="53"/>
      <c r="O109" s="53"/>
      <c r="P109" s="53"/>
      <c r="Q109" s="53"/>
      <c r="R109" s="53"/>
      <c r="S109" s="177"/>
      <c r="T109" s="68"/>
      <c r="U109" s="53"/>
    </row>
    <row r="110" spans="4:21" x14ac:dyDescent="0.3">
      <c r="D110" s="69"/>
      <c r="E110" s="54"/>
      <c r="F110" s="54"/>
      <c r="G110" s="54"/>
      <c r="H110" s="116"/>
      <c r="I110" s="71"/>
      <c r="J110" s="37"/>
      <c r="K110" s="54"/>
      <c r="L110" s="54"/>
      <c r="M110" s="54"/>
      <c r="N110" s="54"/>
      <c r="O110" s="54"/>
      <c r="P110" s="54"/>
      <c r="Q110" s="54"/>
      <c r="R110" s="54"/>
      <c r="S110" s="185"/>
      <c r="T110" s="72"/>
      <c r="U110" s="54"/>
    </row>
    <row r="111" spans="4:21" x14ac:dyDescent="0.3">
      <c r="D111" s="62"/>
      <c r="E111" s="53"/>
      <c r="F111" s="53"/>
      <c r="G111" s="53"/>
      <c r="H111" s="117"/>
      <c r="I111" s="65"/>
      <c r="J111" s="66"/>
      <c r="K111" s="53"/>
      <c r="L111" s="53"/>
      <c r="M111" s="53"/>
      <c r="N111" s="53"/>
      <c r="O111" s="53"/>
      <c r="P111" s="53"/>
      <c r="Q111" s="53"/>
      <c r="R111" s="53"/>
      <c r="S111" s="177"/>
      <c r="T111" s="68"/>
      <c r="U111" s="53"/>
    </row>
    <row r="112" spans="4:21" x14ac:dyDescent="0.3">
      <c r="D112" s="69"/>
      <c r="E112" s="54"/>
      <c r="F112" s="54"/>
      <c r="G112" s="54"/>
      <c r="H112" s="116"/>
      <c r="I112" s="71"/>
      <c r="J112" s="37"/>
      <c r="K112" s="54"/>
      <c r="L112" s="54"/>
      <c r="M112" s="54"/>
      <c r="N112" s="54"/>
      <c r="O112" s="54"/>
      <c r="P112" s="54"/>
      <c r="Q112" s="54"/>
      <c r="R112" s="54"/>
      <c r="S112" s="185"/>
      <c r="T112" s="72"/>
      <c r="U112" s="54"/>
    </row>
    <row r="113" spans="4:21" x14ac:dyDescent="0.3">
      <c r="D113" s="62"/>
      <c r="E113" s="53"/>
      <c r="F113" s="53"/>
      <c r="G113" s="53"/>
      <c r="H113" s="117"/>
      <c r="I113" s="65"/>
      <c r="J113" s="66"/>
      <c r="K113" s="53"/>
      <c r="L113" s="53"/>
      <c r="M113" s="53"/>
      <c r="N113" s="53"/>
      <c r="O113" s="53"/>
      <c r="P113" s="53"/>
      <c r="Q113" s="53"/>
      <c r="R113" s="53"/>
      <c r="S113" s="177"/>
      <c r="T113" s="68"/>
      <c r="U113" s="53"/>
    </row>
    <row r="114" spans="4:21" x14ac:dyDescent="0.3">
      <c r="D114" s="69"/>
      <c r="E114" s="54"/>
      <c r="F114" s="54"/>
      <c r="G114" s="54"/>
      <c r="H114" s="116"/>
      <c r="I114" s="71"/>
      <c r="J114" s="37"/>
      <c r="K114" s="54"/>
      <c r="L114" s="54"/>
      <c r="M114" s="54"/>
      <c r="N114" s="54"/>
      <c r="O114" s="54"/>
      <c r="P114" s="54"/>
      <c r="Q114" s="54"/>
      <c r="R114" s="54"/>
      <c r="S114" s="185"/>
      <c r="T114" s="72"/>
      <c r="U114" s="54"/>
    </row>
    <row r="115" spans="4:21" x14ac:dyDescent="0.3">
      <c r="D115" s="62"/>
      <c r="E115" s="53"/>
      <c r="F115" s="53"/>
      <c r="G115" s="53"/>
      <c r="H115" s="117"/>
      <c r="I115" s="65"/>
      <c r="J115" s="66"/>
      <c r="K115" s="53"/>
      <c r="L115" s="53"/>
      <c r="M115" s="53"/>
      <c r="N115" s="53"/>
      <c r="O115" s="53"/>
      <c r="P115" s="53"/>
      <c r="Q115" s="53"/>
      <c r="R115" s="53"/>
      <c r="S115" s="177"/>
      <c r="T115" s="68"/>
      <c r="U115" s="53"/>
    </row>
    <row r="116" spans="4:21" x14ac:dyDescent="0.3">
      <c r="D116" s="69"/>
      <c r="E116" s="54"/>
      <c r="F116" s="54"/>
      <c r="G116" s="54"/>
      <c r="H116" s="116"/>
      <c r="I116" s="71"/>
      <c r="J116" s="37"/>
      <c r="K116" s="54"/>
      <c r="L116" s="54"/>
      <c r="M116" s="54"/>
      <c r="N116" s="54"/>
      <c r="O116" s="54"/>
      <c r="P116" s="54"/>
      <c r="Q116" s="54"/>
      <c r="R116" s="54"/>
      <c r="S116" s="185"/>
      <c r="T116" s="72"/>
      <c r="U116" s="54"/>
    </row>
    <row r="117" spans="4:21" x14ac:dyDescent="0.3">
      <c r="D117" s="62"/>
      <c r="E117" s="53"/>
      <c r="F117" s="53"/>
      <c r="G117" s="53"/>
      <c r="H117" s="117"/>
      <c r="I117" s="65"/>
      <c r="J117" s="66"/>
      <c r="K117" s="53"/>
      <c r="L117" s="53"/>
      <c r="M117" s="53"/>
      <c r="N117" s="53"/>
      <c r="O117" s="53"/>
      <c r="P117" s="53"/>
      <c r="Q117" s="53"/>
      <c r="R117" s="53"/>
      <c r="S117" s="177"/>
      <c r="T117" s="68"/>
      <c r="U117" s="53"/>
    </row>
    <row r="118" spans="4:21" x14ac:dyDescent="0.3">
      <c r="D118" s="69"/>
      <c r="E118" s="54"/>
      <c r="F118" s="54"/>
      <c r="G118" s="54"/>
      <c r="H118" s="116"/>
      <c r="I118" s="71"/>
      <c r="J118" s="37"/>
      <c r="K118" s="54"/>
      <c r="L118" s="54"/>
      <c r="M118" s="54"/>
      <c r="N118" s="54"/>
      <c r="O118" s="54"/>
      <c r="P118" s="54"/>
      <c r="Q118" s="54"/>
      <c r="R118" s="54"/>
      <c r="S118" s="185"/>
      <c r="T118" s="72"/>
      <c r="U118" s="54"/>
    </row>
    <row r="119" spans="4:21" x14ac:dyDescent="0.3">
      <c r="D119" s="62"/>
      <c r="E119" s="53"/>
      <c r="F119" s="53"/>
      <c r="G119" s="53"/>
      <c r="H119" s="117"/>
      <c r="I119" s="65"/>
      <c r="J119" s="66"/>
      <c r="K119" s="53"/>
      <c r="L119" s="53"/>
      <c r="M119" s="53"/>
      <c r="N119" s="53"/>
      <c r="O119" s="53"/>
      <c r="P119" s="53"/>
      <c r="Q119" s="53"/>
      <c r="R119" s="53"/>
      <c r="S119" s="177"/>
      <c r="T119" s="68"/>
      <c r="U119" s="53"/>
    </row>
    <row r="120" spans="4:21" x14ac:dyDescent="0.3">
      <c r="D120" s="69"/>
      <c r="E120" s="54"/>
      <c r="F120" s="54"/>
      <c r="G120" s="54"/>
      <c r="H120" s="116"/>
      <c r="I120" s="71"/>
      <c r="J120" s="37"/>
      <c r="K120" s="54"/>
      <c r="L120" s="54"/>
      <c r="M120" s="54"/>
      <c r="N120" s="54"/>
      <c r="O120" s="54"/>
      <c r="P120" s="54"/>
      <c r="Q120" s="54"/>
      <c r="R120" s="54"/>
      <c r="S120" s="185"/>
      <c r="T120" s="72"/>
      <c r="U120" s="54"/>
    </row>
    <row r="121" spans="4:21" x14ac:dyDescent="0.3">
      <c r="D121" s="62"/>
      <c r="E121" s="53"/>
      <c r="F121" s="53"/>
      <c r="G121" s="53"/>
      <c r="H121" s="117"/>
      <c r="I121" s="65"/>
      <c r="J121" s="66"/>
      <c r="K121" s="53"/>
      <c r="L121" s="53"/>
      <c r="M121" s="53"/>
      <c r="N121" s="53"/>
      <c r="O121" s="53"/>
      <c r="P121" s="53"/>
      <c r="Q121" s="53"/>
      <c r="R121" s="53"/>
      <c r="S121" s="177"/>
      <c r="T121" s="68"/>
      <c r="U121" s="53"/>
    </row>
    <row r="122" spans="4:21" x14ac:dyDescent="0.3">
      <c r="D122" s="69"/>
      <c r="E122" s="54"/>
      <c r="F122" s="54"/>
      <c r="G122" s="54"/>
      <c r="H122" s="116"/>
      <c r="I122" s="71"/>
      <c r="J122" s="37"/>
      <c r="K122" s="54"/>
      <c r="L122" s="54"/>
      <c r="M122" s="54"/>
      <c r="N122" s="54"/>
      <c r="O122" s="54"/>
      <c r="P122" s="54"/>
      <c r="Q122" s="54"/>
      <c r="R122" s="54"/>
      <c r="S122" s="185"/>
      <c r="T122" s="72"/>
      <c r="U122" s="54"/>
    </row>
    <row r="123" spans="4:21" x14ac:dyDescent="0.3">
      <c r="D123" s="62"/>
      <c r="E123" s="53"/>
      <c r="F123" s="53"/>
      <c r="G123" s="53"/>
      <c r="H123" s="117"/>
      <c r="I123" s="65"/>
      <c r="J123" s="66"/>
      <c r="K123" s="53"/>
      <c r="L123" s="53"/>
      <c r="M123" s="53"/>
      <c r="N123" s="53"/>
      <c r="O123" s="53"/>
      <c r="P123" s="53"/>
      <c r="Q123" s="53"/>
      <c r="R123" s="53"/>
      <c r="S123" s="177"/>
      <c r="T123" s="68"/>
      <c r="U123" s="53"/>
    </row>
    <row r="124" spans="4:21" x14ac:dyDescent="0.3">
      <c r="D124" s="69"/>
      <c r="E124" s="54"/>
      <c r="F124" s="54"/>
      <c r="G124" s="54"/>
      <c r="H124" s="116"/>
      <c r="I124" s="71"/>
      <c r="J124" s="37"/>
      <c r="K124" s="54"/>
      <c r="L124" s="54"/>
      <c r="M124" s="54"/>
      <c r="N124" s="54"/>
      <c r="O124" s="54"/>
      <c r="P124" s="54"/>
      <c r="Q124" s="54"/>
      <c r="R124" s="54"/>
      <c r="S124" s="185"/>
      <c r="T124" s="72"/>
      <c r="U124" s="54"/>
    </row>
    <row r="125" spans="4:21" x14ac:dyDescent="0.3">
      <c r="D125" s="62"/>
      <c r="E125" s="53"/>
      <c r="F125" s="53"/>
      <c r="G125" s="53"/>
      <c r="H125" s="117"/>
      <c r="I125" s="65"/>
      <c r="J125" s="66"/>
      <c r="K125" s="53"/>
      <c r="L125" s="53"/>
      <c r="M125" s="53"/>
      <c r="N125" s="53"/>
      <c r="O125" s="53"/>
      <c r="P125" s="53"/>
      <c r="Q125" s="53"/>
      <c r="R125" s="53"/>
      <c r="S125" s="177"/>
      <c r="T125" s="68"/>
      <c r="U125" s="53"/>
    </row>
    <row r="126" spans="4:21" x14ac:dyDescent="0.3">
      <c r="D126" s="69"/>
      <c r="E126" s="54"/>
      <c r="F126" s="54"/>
      <c r="G126" s="54"/>
      <c r="H126" s="116"/>
      <c r="I126" s="71"/>
      <c r="J126" s="37"/>
      <c r="K126" s="54"/>
      <c r="L126" s="54"/>
      <c r="M126" s="54"/>
      <c r="N126" s="54"/>
      <c r="O126" s="54"/>
      <c r="P126" s="54"/>
      <c r="Q126" s="54"/>
      <c r="R126" s="54"/>
      <c r="S126" s="185"/>
      <c r="T126" s="72"/>
      <c r="U126" s="54"/>
    </row>
    <row r="127" spans="4:21" x14ac:dyDescent="0.3">
      <c r="D127" s="62"/>
      <c r="E127" s="53"/>
      <c r="F127" s="53"/>
      <c r="G127" s="53"/>
      <c r="H127" s="117"/>
      <c r="I127" s="65"/>
      <c r="J127" s="66"/>
      <c r="K127" s="53"/>
      <c r="L127" s="53"/>
      <c r="M127" s="53"/>
      <c r="N127" s="53"/>
      <c r="O127" s="53"/>
      <c r="P127" s="53"/>
      <c r="Q127" s="53"/>
      <c r="R127" s="53"/>
      <c r="S127" s="177"/>
      <c r="T127" s="68"/>
      <c r="U127" s="53"/>
    </row>
    <row r="128" spans="4:21" x14ac:dyDescent="0.3">
      <c r="D128" s="69"/>
      <c r="E128" s="54"/>
      <c r="F128" s="54"/>
      <c r="G128" s="54"/>
      <c r="H128" s="116"/>
      <c r="I128" s="71"/>
      <c r="J128" s="37"/>
      <c r="K128" s="54"/>
      <c r="L128" s="54"/>
      <c r="M128" s="54"/>
      <c r="N128" s="54"/>
      <c r="O128" s="54"/>
      <c r="P128" s="54"/>
      <c r="Q128" s="54"/>
      <c r="R128" s="54"/>
      <c r="S128" s="185"/>
      <c r="T128" s="72"/>
      <c r="U128" s="54"/>
    </row>
    <row r="129" spans="4:21" x14ac:dyDescent="0.3">
      <c r="D129" s="62"/>
      <c r="E129" s="53"/>
      <c r="F129" s="53"/>
      <c r="G129" s="53"/>
      <c r="H129" s="117"/>
      <c r="I129" s="65"/>
      <c r="J129" s="66"/>
      <c r="K129" s="53"/>
      <c r="L129" s="53"/>
      <c r="M129" s="53"/>
      <c r="N129" s="53"/>
      <c r="O129" s="53"/>
      <c r="P129" s="53"/>
      <c r="Q129" s="53"/>
      <c r="R129" s="53"/>
      <c r="S129" s="177"/>
      <c r="T129" s="68"/>
      <c r="U129" s="53"/>
    </row>
    <row r="130" spans="4:21" x14ac:dyDescent="0.3">
      <c r="D130" s="69"/>
      <c r="E130" s="54"/>
      <c r="F130" s="54"/>
      <c r="G130" s="54"/>
      <c r="H130" s="116"/>
      <c r="I130" s="71"/>
      <c r="J130" s="37"/>
      <c r="K130" s="54"/>
      <c r="L130" s="54"/>
      <c r="M130" s="54"/>
      <c r="N130" s="54"/>
      <c r="O130" s="54"/>
      <c r="P130" s="54"/>
      <c r="Q130" s="54"/>
      <c r="R130" s="54"/>
      <c r="S130" s="185"/>
      <c r="T130" s="72"/>
      <c r="U130" s="54"/>
    </row>
    <row r="131" spans="4:21" x14ac:dyDescent="0.3">
      <c r="D131" s="62"/>
      <c r="E131" s="53"/>
      <c r="F131" s="53"/>
      <c r="G131" s="53"/>
      <c r="H131" s="117"/>
      <c r="I131" s="65"/>
      <c r="J131" s="66"/>
      <c r="K131" s="53"/>
      <c r="L131" s="53"/>
      <c r="M131" s="53"/>
      <c r="N131" s="53"/>
      <c r="O131" s="53"/>
      <c r="P131" s="53"/>
      <c r="Q131" s="53"/>
      <c r="R131" s="53"/>
      <c r="S131" s="177"/>
      <c r="T131" s="68"/>
      <c r="U131" s="53"/>
    </row>
    <row r="132" spans="4:21" x14ac:dyDescent="0.3">
      <c r="D132" s="69"/>
      <c r="E132" s="54"/>
      <c r="F132" s="54"/>
      <c r="G132" s="54"/>
      <c r="H132" s="116"/>
      <c r="I132" s="71"/>
      <c r="J132" s="37"/>
      <c r="K132" s="54"/>
      <c r="L132" s="54"/>
      <c r="M132" s="54"/>
      <c r="N132" s="54"/>
      <c r="O132" s="54"/>
      <c r="P132" s="54"/>
      <c r="Q132" s="54"/>
      <c r="R132" s="54"/>
      <c r="S132" s="185"/>
      <c r="T132" s="72"/>
      <c r="U132" s="54"/>
    </row>
    <row r="133" spans="4:21" x14ac:dyDescent="0.3">
      <c r="D133" s="62"/>
      <c r="E133" s="53"/>
      <c r="F133" s="53"/>
      <c r="G133" s="53"/>
      <c r="H133" s="117"/>
      <c r="I133" s="65"/>
      <c r="J133" s="66"/>
      <c r="K133" s="53"/>
      <c r="L133" s="53"/>
      <c r="M133" s="53"/>
      <c r="N133" s="53"/>
      <c r="O133" s="53"/>
      <c r="P133" s="53"/>
      <c r="Q133" s="53"/>
      <c r="R133" s="53"/>
      <c r="S133" s="177"/>
      <c r="T133" s="68"/>
      <c r="U133" s="53"/>
    </row>
    <row r="134" spans="4:21" x14ac:dyDescent="0.3">
      <c r="D134" s="69"/>
      <c r="E134" s="54"/>
      <c r="F134" s="54"/>
      <c r="G134" s="54"/>
      <c r="H134" s="116"/>
      <c r="I134" s="71"/>
      <c r="J134" s="37"/>
      <c r="K134" s="54"/>
      <c r="L134" s="54"/>
      <c r="M134" s="54"/>
      <c r="N134" s="54"/>
      <c r="O134" s="54"/>
      <c r="P134" s="54"/>
      <c r="Q134" s="54"/>
      <c r="R134" s="54"/>
      <c r="S134" s="185"/>
      <c r="T134" s="72"/>
      <c r="U134" s="54"/>
    </row>
    <row r="135" spans="4:21" x14ac:dyDescent="0.3">
      <c r="D135" s="62"/>
      <c r="E135" s="53"/>
      <c r="F135" s="53"/>
      <c r="G135" s="53"/>
      <c r="H135" s="117"/>
      <c r="I135" s="65"/>
      <c r="J135" s="66"/>
      <c r="K135" s="53"/>
      <c r="L135" s="53"/>
      <c r="M135" s="53"/>
      <c r="N135" s="53"/>
      <c r="O135" s="53"/>
      <c r="P135" s="53"/>
      <c r="Q135" s="53"/>
      <c r="R135" s="53"/>
      <c r="S135" s="177"/>
      <c r="T135" s="68"/>
      <c r="U135" s="53"/>
    </row>
    <row r="136" spans="4:21" x14ac:dyDescent="0.3">
      <c r="D136" s="69"/>
      <c r="E136" s="54"/>
      <c r="F136" s="54"/>
      <c r="G136" s="54"/>
      <c r="H136" s="116"/>
      <c r="I136" s="71"/>
      <c r="J136" s="37"/>
      <c r="K136" s="54"/>
      <c r="L136" s="54"/>
      <c r="M136" s="54"/>
      <c r="N136" s="54"/>
      <c r="O136" s="54"/>
      <c r="P136" s="54"/>
      <c r="Q136" s="54"/>
      <c r="R136" s="54"/>
      <c r="S136" s="185"/>
      <c r="T136" s="72"/>
      <c r="U136" s="54"/>
    </row>
    <row r="137" spans="4:21" x14ac:dyDescent="0.3">
      <c r="D137" s="62"/>
      <c r="E137" s="53"/>
      <c r="F137" s="53"/>
      <c r="G137" s="53"/>
      <c r="H137" s="117"/>
      <c r="I137" s="65"/>
      <c r="J137" s="66"/>
      <c r="K137" s="53"/>
      <c r="L137" s="53"/>
      <c r="M137" s="53"/>
      <c r="N137" s="53"/>
      <c r="O137" s="53"/>
      <c r="P137" s="53"/>
      <c r="Q137" s="53"/>
      <c r="R137" s="53"/>
      <c r="S137" s="177"/>
      <c r="T137" s="68"/>
      <c r="U137" s="53"/>
    </row>
    <row r="138" spans="4:21" x14ac:dyDescent="0.3">
      <c r="D138" s="69"/>
      <c r="E138" s="54"/>
      <c r="F138" s="54"/>
      <c r="G138" s="54"/>
      <c r="H138" s="116"/>
      <c r="I138" s="71"/>
      <c r="J138" s="37"/>
      <c r="K138" s="54"/>
      <c r="L138" s="54"/>
      <c r="M138" s="54"/>
      <c r="N138" s="54"/>
      <c r="O138" s="54"/>
      <c r="P138" s="54"/>
      <c r="Q138" s="54"/>
      <c r="R138" s="54"/>
      <c r="S138" s="185"/>
      <c r="T138" s="72"/>
      <c r="U138" s="54"/>
    </row>
    <row r="139" spans="4:21" x14ac:dyDescent="0.3">
      <c r="D139" s="62"/>
      <c r="E139" s="53"/>
      <c r="F139" s="53"/>
      <c r="G139" s="53"/>
      <c r="H139" s="117"/>
      <c r="I139" s="65"/>
      <c r="J139" s="66"/>
      <c r="K139" s="53"/>
      <c r="L139" s="53"/>
      <c r="M139" s="53"/>
      <c r="N139" s="53"/>
      <c r="O139" s="53"/>
      <c r="P139" s="53"/>
      <c r="Q139" s="53"/>
      <c r="R139" s="53"/>
      <c r="S139" s="177"/>
      <c r="T139" s="68"/>
      <c r="U139" s="53"/>
    </row>
    <row r="140" spans="4:21" x14ac:dyDescent="0.3">
      <c r="D140" s="69"/>
      <c r="E140" s="54"/>
      <c r="F140" s="54"/>
      <c r="G140" s="54"/>
      <c r="H140" s="116"/>
      <c r="I140" s="71"/>
      <c r="J140" s="37"/>
      <c r="K140" s="54"/>
      <c r="L140" s="54"/>
      <c r="M140" s="54"/>
      <c r="N140" s="54"/>
      <c r="O140" s="54"/>
      <c r="P140" s="54"/>
      <c r="Q140" s="54"/>
      <c r="R140" s="54"/>
      <c r="S140" s="185"/>
      <c r="T140" s="72"/>
      <c r="U140" s="54"/>
    </row>
    <row r="141" spans="4:21" x14ac:dyDescent="0.3">
      <c r="D141" s="62"/>
      <c r="E141" s="53"/>
      <c r="F141" s="53"/>
      <c r="G141" s="53"/>
      <c r="H141" s="117"/>
      <c r="I141" s="65"/>
      <c r="J141" s="66"/>
      <c r="K141" s="53"/>
      <c r="L141" s="53"/>
      <c r="M141" s="53"/>
      <c r="N141" s="53"/>
      <c r="O141" s="53"/>
      <c r="P141" s="53"/>
      <c r="Q141" s="53"/>
      <c r="R141" s="53"/>
      <c r="S141" s="177"/>
      <c r="T141" s="68"/>
      <c r="U141" s="53"/>
    </row>
    <row r="142" spans="4:21" x14ac:dyDescent="0.3">
      <c r="D142" s="69"/>
      <c r="E142" s="54"/>
      <c r="F142" s="54"/>
      <c r="G142" s="54"/>
      <c r="H142" s="116"/>
      <c r="I142" s="71"/>
      <c r="J142" s="37"/>
      <c r="K142" s="54"/>
      <c r="L142" s="54"/>
      <c r="M142" s="54"/>
      <c r="N142" s="54"/>
      <c r="O142" s="54"/>
      <c r="P142" s="54"/>
      <c r="Q142" s="54"/>
      <c r="R142" s="54"/>
      <c r="S142" s="185"/>
      <c r="T142" s="72"/>
      <c r="U142" s="54"/>
    </row>
    <row r="143" spans="4:21" x14ac:dyDescent="0.3">
      <c r="D143" s="62"/>
      <c r="E143" s="53"/>
      <c r="F143" s="53"/>
      <c r="G143" s="53"/>
      <c r="H143" s="117"/>
      <c r="I143" s="65"/>
      <c r="J143" s="66"/>
      <c r="K143" s="53"/>
      <c r="L143" s="53"/>
      <c r="M143" s="53"/>
      <c r="N143" s="53"/>
      <c r="O143" s="53"/>
      <c r="P143" s="53"/>
      <c r="Q143" s="53"/>
      <c r="R143" s="53"/>
      <c r="S143" s="177"/>
      <c r="T143" s="68"/>
      <c r="U143" s="53"/>
    </row>
    <row r="144" spans="4:21" x14ac:dyDescent="0.3">
      <c r="D144" s="69"/>
      <c r="E144" s="54"/>
      <c r="F144" s="54"/>
      <c r="G144" s="54"/>
      <c r="H144" s="116"/>
      <c r="I144" s="71"/>
      <c r="J144" s="37"/>
      <c r="K144" s="54"/>
      <c r="L144" s="54"/>
      <c r="M144" s="54"/>
      <c r="N144" s="54"/>
      <c r="O144" s="54"/>
      <c r="P144" s="54"/>
      <c r="Q144" s="54"/>
      <c r="R144" s="54"/>
      <c r="S144" s="185"/>
      <c r="T144" s="72"/>
      <c r="U144" s="54"/>
    </row>
    <row r="145" spans="4:21" x14ac:dyDescent="0.3">
      <c r="D145" s="62"/>
      <c r="E145" s="53"/>
      <c r="F145" s="53"/>
      <c r="G145" s="53"/>
      <c r="H145" s="117"/>
      <c r="I145" s="65"/>
      <c r="J145" s="66"/>
      <c r="K145" s="53"/>
      <c r="L145" s="53"/>
      <c r="M145" s="53"/>
      <c r="N145" s="53"/>
      <c r="O145" s="53"/>
      <c r="P145" s="53"/>
      <c r="Q145" s="53"/>
      <c r="R145" s="53"/>
      <c r="S145" s="177"/>
      <c r="T145" s="68"/>
      <c r="U145" s="53"/>
    </row>
    <row r="146" spans="4:21" x14ac:dyDescent="0.3">
      <c r="D146" s="69"/>
      <c r="E146" s="54"/>
      <c r="F146" s="54"/>
      <c r="G146" s="54"/>
      <c r="H146" s="116"/>
      <c r="I146" s="71"/>
      <c r="J146" s="37"/>
      <c r="K146" s="54"/>
      <c r="L146" s="54"/>
      <c r="M146" s="54"/>
      <c r="N146" s="54"/>
      <c r="O146" s="54"/>
      <c r="P146" s="54"/>
      <c r="Q146" s="54"/>
      <c r="R146" s="54"/>
      <c r="S146" s="185"/>
      <c r="T146" s="72"/>
      <c r="U146" s="54"/>
    </row>
    <row r="147" spans="4:21" x14ac:dyDescent="0.3">
      <c r="D147" s="62"/>
      <c r="E147" s="53"/>
      <c r="F147" s="53"/>
      <c r="G147" s="53"/>
      <c r="H147" s="117"/>
      <c r="I147" s="65"/>
      <c r="J147" s="66"/>
      <c r="K147" s="53"/>
      <c r="L147" s="53"/>
      <c r="M147" s="53"/>
      <c r="N147" s="53"/>
      <c r="O147" s="53"/>
      <c r="P147" s="53"/>
      <c r="Q147" s="53"/>
      <c r="R147" s="53"/>
      <c r="S147" s="177"/>
      <c r="T147" s="68"/>
      <c r="U147" s="53"/>
    </row>
    <row r="148" spans="4:21" x14ac:dyDescent="0.3">
      <c r="D148" s="69"/>
      <c r="E148" s="54"/>
      <c r="F148" s="54"/>
      <c r="G148" s="54"/>
      <c r="H148" s="116"/>
      <c r="I148" s="71"/>
      <c r="J148" s="37"/>
      <c r="K148" s="54"/>
      <c r="L148" s="54"/>
      <c r="M148" s="54"/>
      <c r="N148" s="54"/>
      <c r="O148" s="54"/>
      <c r="P148" s="54"/>
      <c r="Q148" s="54"/>
      <c r="R148" s="54"/>
      <c r="S148" s="185"/>
      <c r="T148" s="72"/>
      <c r="U148" s="54"/>
    </row>
    <row r="149" spans="4:21" x14ac:dyDescent="0.3">
      <c r="D149" s="62"/>
      <c r="E149" s="53"/>
      <c r="F149" s="53"/>
      <c r="G149" s="53"/>
      <c r="H149" s="117"/>
      <c r="I149" s="65"/>
      <c r="J149" s="66"/>
      <c r="K149" s="53"/>
      <c r="L149" s="53"/>
      <c r="M149" s="53"/>
      <c r="N149" s="53"/>
      <c r="O149" s="53"/>
      <c r="P149" s="53"/>
      <c r="Q149" s="53"/>
      <c r="R149" s="53"/>
      <c r="S149" s="177"/>
      <c r="T149" s="68"/>
      <c r="U149" s="53"/>
    </row>
    <row r="150" spans="4:21" x14ac:dyDescent="0.3">
      <c r="D150" s="69"/>
      <c r="E150" s="54"/>
      <c r="F150" s="54"/>
      <c r="G150" s="54"/>
      <c r="H150" s="116"/>
      <c r="I150" s="71"/>
      <c r="J150" s="37"/>
      <c r="K150" s="54"/>
      <c r="L150" s="54"/>
      <c r="M150" s="54"/>
      <c r="N150" s="54"/>
      <c r="O150" s="54"/>
      <c r="P150" s="54"/>
      <c r="Q150" s="54"/>
      <c r="R150" s="54"/>
      <c r="S150" s="185"/>
      <c r="T150" s="72"/>
      <c r="U150" s="54"/>
    </row>
    <row r="151" spans="4:21" x14ac:dyDescent="0.3">
      <c r="D151" s="62"/>
      <c r="E151" s="53"/>
      <c r="F151" s="53"/>
      <c r="G151" s="53"/>
      <c r="H151" s="117"/>
      <c r="I151" s="65"/>
      <c r="J151" s="66"/>
      <c r="K151" s="53"/>
      <c r="L151" s="53"/>
      <c r="M151" s="53"/>
      <c r="N151" s="53"/>
      <c r="O151" s="53"/>
      <c r="P151" s="53"/>
      <c r="Q151" s="53"/>
      <c r="R151" s="53"/>
      <c r="S151" s="177"/>
      <c r="T151" s="68"/>
      <c r="U151" s="53"/>
    </row>
    <row r="152" spans="4:21" x14ac:dyDescent="0.3">
      <c r="D152" s="69"/>
      <c r="E152" s="54"/>
      <c r="F152" s="54"/>
      <c r="G152" s="54"/>
      <c r="H152" s="116"/>
      <c r="I152" s="71"/>
      <c r="J152" s="37"/>
      <c r="K152" s="54"/>
      <c r="L152" s="54"/>
      <c r="M152" s="54"/>
      <c r="N152" s="54"/>
      <c r="O152" s="54"/>
      <c r="P152" s="54"/>
      <c r="Q152" s="54"/>
      <c r="R152" s="54"/>
      <c r="S152" s="185"/>
      <c r="T152" s="72"/>
      <c r="U152" s="54"/>
    </row>
    <row r="153" spans="4:21" x14ac:dyDescent="0.3">
      <c r="D153" s="62"/>
      <c r="E153" s="53"/>
      <c r="F153" s="53"/>
      <c r="G153" s="53"/>
      <c r="H153" s="117"/>
      <c r="I153" s="65"/>
      <c r="J153" s="66"/>
      <c r="K153" s="53"/>
      <c r="L153" s="53"/>
      <c r="M153" s="53"/>
      <c r="N153" s="53"/>
      <c r="O153" s="53"/>
      <c r="P153" s="53"/>
      <c r="Q153" s="53"/>
      <c r="R153" s="53"/>
      <c r="S153" s="177"/>
      <c r="T153" s="68"/>
      <c r="U153" s="53"/>
    </row>
    <row r="154" spans="4:21" x14ac:dyDescent="0.3">
      <c r="D154" s="69"/>
      <c r="E154" s="54"/>
      <c r="F154" s="54"/>
      <c r="G154" s="54"/>
      <c r="H154" s="116"/>
      <c r="I154" s="71"/>
      <c r="J154" s="37"/>
      <c r="K154" s="54"/>
      <c r="L154" s="54"/>
      <c r="M154" s="54"/>
      <c r="N154" s="54"/>
      <c r="O154" s="54"/>
      <c r="P154" s="54"/>
      <c r="Q154" s="54"/>
      <c r="R154" s="54"/>
      <c r="S154" s="185"/>
      <c r="T154" s="72"/>
      <c r="U154" s="54"/>
    </row>
    <row r="155" spans="4:21" x14ac:dyDescent="0.3">
      <c r="D155" s="62"/>
      <c r="E155" s="53"/>
      <c r="F155" s="53"/>
      <c r="G155" s="53"/>
      <c r="H155" s="117"/>
      <c r="I155" s="65"/>
      <c r="J155" s="66"/>
      <c r="K155" s="53"/>
      <c r="L155" s="53"/>
      <c r="M155" s="53"/>
      <c r="N155" s="53"/>
      <c r="O155" s="53"/>
      <c r="P155" s="53"/>
      <c r="Q155" s="53"/>
      <c r="R155" s="53"/>
      <c r="S155" s="177"/>
      <c r="T155" s="68"/>
      <c r="U155" s="53"/>
    </row>
    <row r="156" spans="4:21" x14ac:dyDescent="0.3">
      <c r="D156" s="69"/>
      <c r="E156" s="54"/>
      <c r="F156" s="54"/>
      <c r="G156" s="54"/>
      <c r="H156" s="116"/>
      <c r="I156" s="71"/>
      <c r="J156" s="37"/>
      <c r="K156" s="54"/>
      <c r="L156" s="54"/>
      <c r="M156" s="54"/>
      <c r="N156" s="54"/>
      <c r="O156" s="54"/>
      <c r="P156" s="54"/>
      <c r="Q156" s="54"/>
      <c r="R156" s="54"/>
      <c r="S156" s="185"/>
      <c r="T156" s="72"/>
      <c r="U156" s="54"/>
    </row>
    <row r="157" spans="4:21" x14ac:dyDescent="0.3">
      <c r="D157" s="62"/>
      <c r="E157" s="53"/>
      <c r="F157" s="53"/>
      <c r="G157" s="53"/>
      <c r="H157" s="117"/>
      <c r="I157" s="65"/>
      <c r="J157" s="66"/>
      <c r="K157" s="53"/>
      <c r="L157" s="53"/>
      <c r="M157" s="53"/>
      <c r="N157" s="53"/>
      <c r="O157" s="53"/>
      <c r="P157" s="53"/>
      <c r="Q157" s="53"/>
      <c r="R157" s="53"/>
      <c r="S157" s="177"/>
      <c r="T157" s="68"/>
      <c r="U157" s="53"/>
    </row>
    <row r="158" spans="4:21" x14ac:dyDescent="0.3">
      <c r="D158" s="69"/>
      <c r="E158" s="54"/>
      <c r="F158" s="54"/>
      <c r="G158" s="54"/>
      <c r="H158" s="116"/>
      <c r="I158" s="71"/>
      <c r="J158" s="37"/>
      <c r="K158" s="54"/>
      <c r="L158" s="54"/>
      <c r="M158" s="54"/>
      <c r="N158" s="54"/>
      <c r="O158" s="54"/>
      <c r="P158" s="54"/>
      <c r="Q158" s="54"/>
      <c r="R158" s="54"/>
      <c r="S158" s="185"/>
      <c r="T158" s="72"/>
      <c r="U158" s="54"/>
    </row>
    <row r="159" spans="4:21" x14ac:dyDescent="0.3">
      <c r="D159" s="62"/>
      <c r="E159" s="53"/>
      <c r="F159" s="53"/>
      <c r="G159" s="53"/>
      <c r="H159" s="117"/>
      <c r="I159" s="65"/>
      <c r="J159" s="66"/>
      <c r="K159" s="53"/>
      <c r="L159" s="53"/>
      <c r="M159" s="53"/>
      <c r="N159" s="53"/>
      <c r="O159" s="53"/>
      <c r="P159" s="53"/>
      <c r="Q159" s="53"/>
      <c r="R159" s="53"/>
      <c r="S159" s="177"/>
      <c r="T159" s="68"/>
      <c r="U159" s="53"/>
    </row>
    <row r="160" spans="4:21" x14ac:dyDescent="0.3">
      <c r="D160" s="69"/>
      <c r="E160" s="54"/>
      <c r="F160" s="54"/>
      <c r="G160" s="54"/>
      <c r="H160" s="116"/>
      <c r="I160" s="71"/>
      <c r="J160" s="37"/>
      <c r="K160" s="54"/>
      <c r="L160" s="54"/>
      <c r="M160" s="54"/>
      <c r="N160" s="54"/>
      <c r="O160" s="54"/>
      <c r="P160" s="54"/>
      <c r="Q160" s="54"/>
      <c r="R160" s="54"/>
      <c r="S160" s="185"/>
      <c r="T160" s="72"/>
      <c r="U160" s="54"/>
    </row>
    <row r="161" spans="4:21" x14ac:dyDescent="0.3">
      <c r="D161" s="62"/>
      <c r="E161" s="53"/>
      <c r="F161" s="53"/>
      <c r="G161" s="53"/>
      <c r="H161" s="117"/>
      <c r="I161" s="65"/>
      <c r="J161" s="66"/>
      <c r="K161" s="53"/>
      <c r="L161" s="53"/>
      <c r="M161" s="53"/>
      <c r="N161" s="53"/>
      <c r="O161" s="53"/>
      <c r="P161" s="53"/>
      <c r="Q161" s="53"/>
      <c r="R161" s="53"/>
      <c r="S161" s="177"/>
      <c r="T161" s="68"/>
      <c r="U161" s="53"/>
    </row>
    <row r="162" spans="4:21" x14ac:dyDescent="0.3">
      <c r="D162" s="69"/>
      <c r="E162" s="54"/>
      <c r="F162" s="54"/>
      <c r="G162" s="54"/>
      <c r="H162" s="116"/>
      <c r="I162" s="71"/>
      <c r="J162" s="37"/>
      <c r="K162" s="54"/>
      <c r="L162" s="54"/>
      <c r="M162" s="54"/>
      <c r="N162" s="54"/>
      <c r="O162" s="54"/>
      <c r="P162" s="54"/>
      <c r="Q162" s="54"/>
      <c r="R162" s="54"/>
      <c r="S162" s="185"/>
      <c r="T162" s="72"/>
      <c r="U162" s="54"/>
    </row>
    <row r="163" spans="4:21" x14ac:dyDescent="0.3">
      <c r="D163" s="62"/>
      <c r="E163" s="53"/>
      <c r="F163" s="53"/>
      <c r="G163" s="53"/>
      <c r="H163" s="117"/>
      <c r="I163" s="65"/>
      <c r="J163" s="66"/>
      <c r="K163" s="53"/>
      <c r="L163" s="53"/>
      <c r="M163" s="53"/>
      <c r="N163" s="53"/>
      <c r="O163" s="53"/>
      <c r="P163" s="53"/>
      <c r="Q163" s="53"/>
      <c r="R163" s="53"/>
      <c r="S163" s="177"/>
      <c r="T163" s="68"/>
      <c r="U163" s="53"/>
    </row>
    <row r="164" spans="4:21" x14ac:dyDescent="0.3">
      <c r="D164" s="69"/>
      <c r="E164" s="54"/>
      <c r="F164" s="54"/>
      <c r="G164" s="54"/>
      <c r="H164" s="116"/>
      <c r="I164" s="71"/>
      <c r="J164" s="37"/>
      <c r="K164" s="54"/>
      <c r="L164" s="54"/>
      <c r="M164" s="54"/>
      <c r="N164" s="54"/>
      <c r="O164" s="54"/>
      <c r="P164" s="54"/>
      <c r="Q164" s="54"/>
      <c r="R164" s="54"/>
      <c r="S164" s="185"/>
      <c r="T164" s="72"/>
      <c r="U164" s="54"/>
    </row>
    <row r="165" spans="4:21" x14ac:dyDescent="0.3">
      <c r="D165" s="62"/>
      <c r="E165" s="53"/>
      <c r="F165" s="53"/>
      <c r="G165" s="53"/>
      <c r="H165" s="117"/>
      <c r="I165" s="65"/>
      <c r="J165" s="66"/>
      <c r="K165" s="53"/>
      <c r="L165" s="53"/>
      <c r="M165" s="53"/>
      <c r="N165" s="53"/>
      <c r="O165" s="53"/>
      <c r="P165" s="53"/>
      <c r="Q165" s="53"/>
      <c r="R165" s="53"/>
      <c r="S165" s="177"/>
      <c r="T165" s="68"/>
      <c r="U165" s="53"/>
    </row>
    <row r="166" spans="4:21" x14ac:dyDescent="0.3">
      <c r="D166" s="69"/>
      <c r="E166" s="54"/>
      <c r="F166" s="54"/>
      <c r="G166" s="54"/>
      <c r="H166" s="116"/>
      <c r="I166" s="71"/>
      <c r="J166" s="37"/>
      <c r="K166" s="54"/>
      <c r="L166" s="54"/>
      <c r="M166" s="54"/>
      <c r="N166" s="54"/>
      <c r="O166" s="54"/>
      <c r="P166" s="54"/>
      <c r="Q166" s="54"/>
      <c r="R166" s="54"/>
      <c r="S166" s="185"/>
      <c r="T166" s="72"/>
      <c r="U166" s="54"/>
    </row>
    <row r="167" spans="4:21" x14ac:dyDescent="0.3">
      <c r="D167" s="62"/>
      <c r="E167" s="53"/>
      <c r="F167" s="53"/>
      <c r="G167" s="53"/>
      <c r="H167" s="117"/>
      <c r="I167" s="65"/>
      <c r="J167" s="66"/>
      <c r="K167" s="53"/>
      <c r="L167" s="53"/>
      <c r="M167" s="53"/>
      <c r="N167" s="53"/>
      <c r="O167" s="53"/>
      <c r="P167" s="53"/>
      <c r="Q167" s="53"/>
      <c r="R167" s="53"/>
      <c r="S167" s="177"/>
      <c r="T167" s="68"/>
      <c r="U167" s="53"/>
    </row>
    <row r="168" spans="4:21" x14ac:dyDescent="0.3">
      <c r="D168" s="69"/>
      <c r="E168" s="54"/>
      <c r="F168" s="54"/>
      <c r="G168" s="54"/>
      <c r="H168" s="116"/>
      <c r="I168" s="71"/>
      <c r="J168" s="37"/>
      <c r="K168" s="54"/>
      <c r="L168" s="54"/>
      <c r="M168" s="54"/>
      <c r="N168" s="54"/>
      <c r="O168" s="54"/>
      <c r="P168" s="54"/>
      <c r="Q168" s="54"/>
      <c r="R168" s="54"/>
      <c r="S168" s="185"/>
      <c r="T168" s="72"/>
      <c r="U168" s="54"/>
    </row>
    <row r="169" spans="4:21" x14ac:dyDescent="0.3">
      <c r="D169" s="62"/>
      <c r="E169" s="53"/>
      <c r="F169" s="53"/>
      <c r="G169" s="53"/>
      <c r="H169" s="117"/>
      <c r="I169" s="65"/>
      <c r="J169" s="66"/>
      <c r="K169" s="53"/>
      <c r="L169" s="53"/>
      <c r="M169" s="53"/>
      <c r="N169" s="53"/>
      <c r="O169" s="53"/>
      <c r="P169" s="53"/>
      <c r="Q169" s="53"/>
      <c r="R169" s="53"/>
      <c r="S169" s="177"/>
      <c r="T169" s="68"/>
      <c r="U169" s="53"/>
    </row>
    <row r="170" spans="4:21" x14ac:dyDescent="0.3">
      <c r="D170" s="69"/>
      <c r="E170" s="54"/>
      <c r="F170" s="54"/>
      <c r="G170" s="54"/>
      <c r="H170" s="116"/>
      <c r="I170" s="71"/>
      <c r="J170" s="37"/>
      <c r="K170" s="54"/>
      <c r="L170" s="54"/>
      <c r="M170" s="54"/>
      <c r="N170" s="54"/>
      <c r="O170" s="54"/>
      <c r="P170" s="54"/>
      <c r="Q170" s="54"/>
      <c r="R170" s="54"/>
      <c r="S170" s="185"/>
      <c r="T170" s="72"/>
      <c r="U170" s="54"/>
    </row>
    <row r="171" spans="4:21" x14ac:dyDescent="0.3">
      <c r="D171" s="62"/>
      <c r="E171" s="53"/>
      <c r="F171" s="53"/>
      <c r="G171" s="53"/>
      <c r="H171" s="117"/>
      <c r="I171" s="65"/>
      <c r="J171" s="66"/>
      <c r="K171" s="53"/>
      <c r="L171" s="53"/>
      <c r="M171" s="53"/>
      <c r="N171" s="53"/>
      <c r="O171" s="53"/>
      <c r="P171" s="53"/>
      <c r="Q171" s="53"/>
      <c r="R171" s="53"/>
      <c r="S171" s="177"/>
      <c r="T171" s="68"/>
      <c r="U171" s="53"/>
    </row>
    <row r="172" spans="4:21" x14ac:dyDescent="0.3">
      <c r="D172" s="69"/>
      <c r="E172" s="54"/>
      <c r="F172" s="54"/>
      <c r="G172" s="54"/>
      <c r="H172" s="116"/>
      <c r="I172" s="71"/>
      <c r="J172" s="37"/>
      <c r="K172" s="54"/>
      <c r="L172" s="54"/>
      <c r="M172" s="54"/>
      <c r="N172" s="54"/>
      <c r="O172" s="54"/>
      <c r="P172" s="54"/>
      <c r="Q172" s="54"/>
      <c r="R172" s="54"/>
      <c r="S172" s="185"/>
      <c r="T172" s="72"/>
      <c r="U172" s="54"/>
    </row>
    <row r="173" spans="4:21" x14ac:dyDescent="0.3">
      <c r="D173" s="62"/>
      <c r="E173" s="53"/>
      <c r="F173" s="53"/>
      <c r="G173" s="53"/>
      <c r="H173" s="117"/>
      <c r="I173" s="65"/>
      <c r="J173" s="66"/>
      <c r="K173" s="53"/>
      <c r="L173" s="53"/>
      <c r="M173" s="53"/>
      <c r="N173" s="53"/>
      <c r="O173" s="53"/>
      <c r="P173" s="53"/>
      <c r="Q173" s="53"/>
      <c r="R173" s="53"/>
      <c r="S173" s="177"/>
      <c r="T173" s="68"/>
      <c r="U173" s="53"/>
    </row>
    <row r="174" spans="4:21" x14ac:dyDescent="0.3">
      <c r="D174" s="69"/>
      <c r="E174" s="54"/>
      <c r="F174" s="54"/>
      <c r="G174" s="54"/>
      <c r="H174" s="116"/>
      <c r="I174" s="71"/>
      <c r="J174" s="37"/>
      <c r="K174" s="54"/>
      <c r="L174" s="54"/>
      <c r="M174" s="54"/>
      <c r="N174" s="54"/>
      <c r="O174" s="54"/>
      <c r="P174" s="54"/>
      <c r="Q174" s="54"/>
      <c r="R174" s="54"/>
      <c r="S174" s="185"/>
      <c r="T174" s="72"/>
      <c r="U174" s="54"/>
    </row>
    <row r="175" spans="4:21" x14ac:dyDescent="0.3">
      <c r="D175" s="62"/>
      <c r="E175" s="53"/>
      <c r="F175" s="53"/>
      <c r="G175" s="53"/>
      <c r="H175" s="117"/>
      <c r="I175" s="65"/>
      <c r="J175" s="66"/>
      <c r="K175" s="53"/>
      <c r="L175" s="53"/>
      <c r="M175" s="53"/>
      <c r="N175" s="53"/>
      <c r="O175" s="53"/>
      <c r="P175" s="53"/>
      <c r="Q175" s="53"/>
      <c r="R175" s="53"/>
      <c r="S175" s="177"/>
      <c r="T175" s="68"/>
      <c r="U175" s="53"/>
    </row>
    <row r="176" spans="4:21" x14ac:dyDescent="0.3">
      <c r="D176" s="69"/>
      <c r="E176" s="54"/>
      <c r="F176" s="54"/>
      <c r="G176" s="54"/>
      <c r="H176" s="116"/>
      <c r="I176" s="71"/>
      <c r="J176" s="37"/>
      <c r="K176" s="54"/>
      <c r="L176" s="54"/>
      <c r="M176" s="54"/>
      <c r="N176" s="54"/>
      <c r="O176" s="54"/>
      <c r="P176" s="54"/>
      <c r="Q176" s="54"/>
      <c r="R176" s="54"/>
      <c r="S176" s="185"/>
      <c r="T176" s="72"/>
      <c r="U176" s="54"/>
    </row>
    <row r="177" spans="4:21" x14ac:dyDescent="0.3">
      <c r="D177" s="62"/>
      <c r="E177" s="53"/>
      <c r="F177" s="53"/>
      <c r="G177" s="53"/>
      <c r="H177" s="117"/>
      <c r="I177" s="65"/>
      <c r="J177" s="66"/>
      <c r="K177" s="53"/>
      <c r="L177" s="53"/>
      <c r="M177" s="53"/>
      <c r="N177" s="53"/>
      <c r="O177" s="53"/>
      <c r="P177" s="53"/>
      <c r="Q177" s="53"/>
      <c r="R177" s="53"/>
      <c r="S177" s="177"/>
      <c r="T177" s="68"/>
      <c r="U177" s="53"/>
    </row>
    <row r="178" spans="4:21" x14ac:dyDescent="0.3">
      <c r="D178" s="69"/>
      <c r="E178" s="54"/>
      <c r="F178" s="54"/>
      <c r="G178" s="54"/>
      <c r="H178" s="116"/>
      <c r="I178" s="71"/>
      <c r="J178" s="37"/>
      <c r="K178" s="54"/>
      <c r="L178" s="54"/>
      <c r="M178" s="54"/>
      <c r="N178" s="54"/>
      <c r="O178" s="54"/>
      <c r="P178" s="54"/>
      <c r="Q178" s="54"/>
      <c r="R178" s="54"/>
      <c r="S178" s="185"/>
      <c r="T178" s="72"/>
      <c r="U178" s="54"/>
    </row>
    <row r="179" spans="4:21" x14ac:dyDescent="0.3">
      <c r="D179" s="62"/>
      <c r="E179" s="53"/>
      <c r="F179" s="53"/>
      <c r="G179" s="53"/>
      <c r="H179" s="117"/>
      <c r="I179" s="65"/>
      <c r="J179" s="66"/>
      <c r="K179" s="53"/>
      <c r="L179" s="53"/>
      <c r="M179" s="53"/>
      <c r="N179" s="53"/>
      <c r="O179" s="53"/>
      <c r="P179" s="53"/>
      <c r="Q179" s="53"/>
      <c r="R179" s="53"/>
      <c r="S179" s="177"/>
      <c r="T179" s="68"/>
      <c r="U179" s="53"/>
    </row>
    <row r="180" spans="4:21" x14ac:dyDescent="0.3">
      <c r="D180" s="69"/>
      <c r="E180" s="54"/>
      <c r="F180" s="54"/>
      <c r="G180" s="54"/>
      <c r="H180" s="116"/>
      <c r="I180" s="71"/>
      <c r="J180" s="37"/>
      <c r="K180" s="54"/>
      <c r="L180" s="54"/>
      <c r="M180" s="54"/>
      <c r="N180" s="54"/>
      <c r="O180" s="54"/>
      <c r="P180" s="54"/>
      <c r="Q180" s="54"/>
      <c r="R180" s="54"/>
      <c r="S180" s="185"/>
      <c r="T180" s="72"/>
      <c r="U180" s="54"/>
    </row>
    <row r="181" spans="4:21" x14ac:dyDescent="0.3">
      <c r="D181" s="62"/>
      <c r="E181" s="53"/>
      <c r="F181" s="53"/>
      <c r="G181" s="53"/>
      <c r="H181" s="117"/>
      <c r="I181" s="65"/>
      <c r="J181" s="66"/>
      <c r="K181" s="53"/>
      <c r="L181" s="53"/>
      <c r="M181" s="53"/>
      <c r="N181" s="53"/>
      <c r="O181" s="53"/>
      <c r="P181" s="53"/>
      <c r="Q181" s="53"/>
      <c r="R181" s="53"/>
      <c r="S181" s="177"/>
      <c r="T181" s="68"/>
      <c r="U181" s="53"/>
    </row>
    <row r="182" spans="4:21" x14ac:dyDescent="0.3">
      <c r="D182" s="69"/>
      <c r="E182" s="54"/>
      <c r="F182" s="54"/>
      <c r="G182" s="54"/>
      <c r="H182" s="116"/>
      <c r="I182" s="71"/>
      <c r="J182" s="37"/>
      <c r="K182" s="54"/>
      <c r="L182" s="54"/>
      <c r="M182" s="54"/>
      <c r="N182" s="54"/>
      <c r="O182" s="54"/>
      <c r="P182" s="54"/>
      <c r="Q182" s="54"/>
      <c r="R182" s="54"/>
      <c r="S182" s="185"/>
      <c r="T182" s="72"/>
      <c r="U182" s="54"/>
    </row>
    <row r="183" spans="4:21" x14ac:dyDescent="0.3">
      <c r="D183" s="62"/>
      <c r="E183" s="53"/>
      <c r="F183" s="53"/>
      <c r="G183" s="53"/>
      <c r="H183" s="117"/>
      <c r="I183" s="65"/>
      <c r="J183" s="66"/>
      <c r="K183" s="53"/>
      <c r="L183" s="53"/>
      <c r="M183" s="53"/>
      <c r="N183" s="53"/>
      <c r="O183" s="53"/>
      <c r="P183" s="53"/>
      <c r="Q183" s="53"/>
      <c r="R183" s="53"/>
      <c r="S183" s="177"/>
      <c r="T183" s="68"/>
      <c r="U183" s="53"/>
    </row>
    <row r="184" spans="4:21" x14ac:dyDescent="0.3">
      <c r="D184" s="69"/>
      <c r="E184" s="54"/>
      <c r="F184" s="54"/>
      <c r="G184" s="54"/>
      <c r="H184" s="116"/>
      <c r="I184" s="71"/>
      <c r="J184" s="37"/>
      <c r="K184" s="54"/>
      <c r="L184" s="54"/>
      <c r="M184" s="54"/>
      <c r="N184" s="54"/>
      <c r="O184" s="54"/>
      <c r="P184" s="54"/>
      <c r="Q184" s="54"/>
      <c r="R184" s="54"/>
      <c r="S184" s="185"/>
      <c r="T184" s="72"/>
      <c r="U184" s="54"/>
    </row>
    <row r="185" spans="4:21" x14ac:dyDescent="0.3">
      <c r="D185" s="62"/>
      <c r="E185" s="53"/>
      <c r="F185" s="53"/>
      <c r="G185" s="53"/>
      <c r="H185" s="117"/>
      <c r="I185" s="65"/>
      <c r="J185" s="66"/>
      <c r="K185" s="53"/>
      <c r="L185" s="53"/>
      <c r="M185" s="53"/>
      <c r="N185" s="53"/>
      <c r="O185" s="53"/>
      <c r="P185" s="53"/>
      <c r="Q185" s="53"/>
      <c r="R185" s="53"/>
      <c r="S185" s="177"/>
      <c r="T185" s="68"/>
      <c r="U185" s="53"/>
    </row>
    <row r="186" spans="4:21" x14ac:dyDescent="0.3">
      <c r="D186" s="69"/>
      <c r="E186" s="54"/>
      <c r="F186" s="54"/>
      <c r="G186" s="54"/>
      <c r="H186" s="116"/>
      <c r="I186" s="71"/>
      <c r="J186" s="37"/>
      <c r="K186" s="54"/>
      <c r="L186" s="54"/>
      <c r="M186" s="54"/>
      <c r="N186" s="54"/>
      <c r="O186" s="54"/>
      <c r="P186" s="54"/>
      <c r="Q186" s="54"/>
      <c r="R186" s="54"/>
      <c r="S186" s="185"/>
      <c r="T186" s="72"/>
      <c r="U186" s="54"/>
    </row>
    <row r="187" spans="4:21" x14ac:dyDescent="0.3">
      <c r="D187" s="62"/>
      <c r="E187" s="53"/>
      <c r="F187" s="53"/>
      <c r="G187" s="53"/>
      <c r="H187" s="117"/>
      <c r="I187" s="65"/>
      <c r="J187" s="66"/>
      <c r="K187" s="53"/>
      <c r="L187" s="53"/>
      <c r="M187" s="53"/>
      <c r="N187" s="53"/>
      <c r="O187" s="53"/>
      <c r="P187" s="53"/>
      <c r="Q187" s="53"/>
      <c r="R187" s="53"/>
      <c r="S187" s="177"/>
      <c r="T187" s="68"/>
      <c r="U187" s="53"/>
    </row>
    <row r="188" spans="4:21" x14ac:dyDescent="0.3">
      <c r="D188" s="69"/>
      <c r="E188" s="54"/>
      <c r="F188" s="54"/>
      <c r="G188" s="54"/>
      <c r="H188" s="116"/>
      <c r="I188" s="71"/>
      <c r="J188" s="37"/>
      <c r="K188" s="54"/>
      <c r="L188" s="54"/>
      <c r="M188" s="54"/>
      <c r="N188" s="54"/>
      <c r="O188" s="54"/>
      <c r="P188" s="54"/>
      <c r="Q188" s="54"/>
      <c r="R188" s="54"/>
      <c r="S188" s="185"/>
      <c r="T188" s="72"/>
      <c r="U188" s="54"/>
    </row>
    <row r="189" spans="4:21" x14ac:dyDescent="0.3">
      <c r="D189" s="62"/>
      <c r="E189" s="53"/>
      <c r="F189" s="53"/>
      <c r="G189" s="53"/>
      <c r="H189" s="117"/>
      <c r="I189" s="65"/>
      <c r="J189" s="66"/>
      <c r="K189" s="53"/>
      <c r="L189" s="53"/>
      <c r="M189" s="53"/>
      <c r="N189" s="53"/>
      <c r="O189" s="53"/>
      <c r="P189" s="53"/>
      <c r="Q189" s="53"/>
      <c r="R189" s="53"/>
      <c r="S189" s="177"/>
      <c r="T189" s="68"/>
      <c r="U189" s="53"/>
    </row>
    <row r="190" spans="4:21" x14ac:dyDescent="0.3">
      <c r="D190" s="69"/>
      <c r="E190" s="54"/>
      <c r="F190" s="54"/>
      <c r="G190" s="54"/>
      <c r="H190" s="116"/>
      <c r="I190" s="71"/>
      <c r="J190" s="37"/>
      <c r="K190" s="54"/>
      <c r="L190" s="54"/>
      <c r="M190" s="54"/>
      <c r="N190" s="54"/>
      <c r="O190" s="54"/>
      <c r="P190" s="54"/>
      <c r="Q190" s="54"/>
      <c r="R190" s="54"/>
      <c r="S190" s="185"/>
      <c r="T190" s="72"/>
      <c r="U190" s="54"/>
    </row>
    <row r="191" spans="4:21" x14ac:dyDescent="0.3">
      <c r="D191" s="62"/>
      <c r="E191" s="53"/>
      <c r="F191" s="53"/>
      <c r="G191" s="53"/>
      <c r="H191" s="117"/>
      <c r="I191" s="65"/>
      <c r="J191" s="66"/>
      <c r="K191" s="53"/>
      <c r="L191" s="53"/>
      <c r="M191" s="53"/>
      <c r="N191" s="53"/>
      <c r="O191" s="53"/>
      <c r="P191" s="53"/>
      <c r="Q191" s="53"/>
      <c r="R191" s="53"/>
      <c r="S191" s="177"/>
      <c r="T191" s="68"/>
      <c r="U191" s="53"/>
    </row>
    <row r="192" spans="4:21" x14ac:dyDescent="0.3">
      <c r="D192" s="69"/>
      <c r="E192" s="54"/>
      <c r="F192" s="54"/>
      <c r="G192" s="54"/>
      <c r="H192" s="116"/>
      <c r="I192" s="71"/>
      <c r="J192" s="37"/>
      <c r="K192" s="54"/>
      <c r="L192" s="54"/>
      <c r="M192" s="54"/>
      <c r="N192" s="54"/>
      <c r="O192" s="54"/>
      <c r="P192" s="54"/>
      <c r="Q192" s="54"/>
      <c r="R192" s="54"/>
      <c r="S192" s="185"/>
      <c r="T192" s="72"/>
      <c r="U192" s="54"/>
    </row>
    <row r="193" spans="4:21" x14ac:dyDescent="0.3">
      <c r="D193" s="62"/>
      <c r="E193" s="53"/>
      <c r="F193" s="53"/>
      <c r="G193" s="53"/>
      <c r="H193" s="117"/>
      <c r="I193" s="65"/>
      <c r="J193" s="66"/>
      <c r="K193" s="53"/>
      <c r="L193" s="53"/>
      <c r="M193" s="53"/>
      <c r="N193" s="53"/>
      <c r="O193" s="53"/>
      <c r="P193" s="53"/>
      <c r="Q193" s="53"/>
      <c r="R193" s="53"/>
      <c r="S193" s="177"/>
      <c r="T193" s="68"/>
      <c r="U193" s="53"/>
    </row>
    <row r="194" spans="4:21" x14ac:dyDescent="0.3">
      <c r="D194" s="69"/>
      <c r="E194" s="54"/>
      <c r="F194" s="54"/>
      <c r="G194" s="54"/>
      <c r="H194" s="116"/>
      <c r="I194" s="71"/>
      <c r="J194" s="37"/>
      <c r="K194" s="54"/>
      <c r="L194" s="54"/>
      <c r="M194" s="54"/>
      <c r="N194" s="54"/>
      <c r="O194" s="54"/>
      <c r="P194" s="54"/>
      <c r="Q194" s="54"/>
      <c r="R194" s="54"/>
      <c r="S194" s="185"/>
      <c r="T194" s="72"/>
      <c r="U194" s="54"/>
    </row>
    <row r="195" spans="4:21" x14ac:dyDescent="0.3">
      <c r="D195" s="62"/>
      <c r="E195" s="53"/>
      <c r="F195" s="53"/>
      <c r="G195" s="53"/>
      <c r="H195" s="117"/>
      <c r="I195" s="65"/>
      <c r="J195" s="66"/>
      <c r="K195" s="53"/>
      <c r="L195" s="53"/>
      <c r="M195" s="53"/>
      <c r="N195" s="53"/>
      <c r="O195" s="53"/>
      <c r="P195" s="53"/>
      <c r="Q195" s="53"/>
      <c r="R195" s="53"/>
      <c r="S195" s="177"/>
      <c r="T195" s="68"/>
      <c r="U195" s="53"/>
    </row>
    <row r="196" spans="4:21" x14ac:dyDescent="0.3">
      <c r="D196" s="69"/>
      <c r="E196" s="54"/>
      <c r="F196" s="54"/>
      <c r="G196" s="54"/>
      <c r="H196" s="116"/>
      <c r="I196" s="71"/>
      <c r="J196" s="37"/>
      <c r="K196" s="54"/>
      <c r="L196" s="54"/>
      <c r="M196" s="54"/>
      <c r="N196" s="54"/>
      <c r="O196" s="54"/>
      <c r="P196" s="54"/>
      <c r="Q196" s="54"/>
      <c r="R196" s="54"/>
      <c r="S196" s="185"/>
      <c r="T196" s="72"/>
      <c r="U196" s="54"/>
    </row>
    <row r="197" spans="4:21" x14ac:dyDescent="0.3">
      <c r="D197" s="62"/>
      <c r="E197" s="53"/>
      <c r="F197" s="53"/>
      <c r="G197" s="53"/>
      <c r="H197" s="117"/>
      <c r="I197" s="65"/>
      <c r="J197" s="66"/>
      <c r="K197" s="53"/>
      <c r="L197" s="53"/>
      <c r="M197" s="53"/>
      <c r="N197" s="53"/>
      <c r="O197" s="53"/>
      <c r="P197" s="53"/>
      <c r="Q197" s="53"/>
      <c r="R197" s="53"/>
      <c r="S197" s="177"/>
      <c r="T197" s="68"/>
      <c r="U197" s="53"/>
    </row>
    <row r="198" spans="4:21" x14ac:dyDescent="0.3">
      <c r="D198" s="69"/>
      <c r="E198" s="54"/>
      <c r="F198" s="54"/>
      <c r="G198" s="54"/>
      <c r="H198" s="116"/>
      <c r="I198" s="71"/>
      <c r="J198" s="37"/>
      <c r="K198" s="54"/>
      <c r="L198" s="54"/>
      <c r="M198" s="54"/>
      <c r="N198" s="54"/>
      <c r="O198" s="54"/>
      <c r="P198" s="54"/>
      <c r="Q198" s="54"/>
      <c r="R198" s="54"/>
      <c r="S198" s="185"/>
      <c r="T198" s="72"/>
      <c r="U198" s="54"/>
    </row>
    <row r="199" spans="4:21" x14ac:dyDescent="0.3">
      <c r="D199" s="62"/>
      <c r="E199" s="53"/>
      <c r="F199" s="53"/>
      <c r="G199" s="53"/>
      <c r="H199" s="117"/>
      <c r="I199" s="65"/>
      <c r="J199" s="66"/>
      <c r="K199" s="53"/>
      <c r="L199" s="53"/>
      <c r="M199" s="53"/>
      <c r="N199" s="53"/>
      <c r="O199" s="53"/>
      <c r="P199" s="53"/>
      <c r="Q199" s="53"/>
      <c r="R199" s="53"/>
      <c r="S199" s="177"/>
      <c r="T199" s="68"/>
      <c r="U199" s="53"/>
    </row>
    <row r="200" spans="4:21" x14ac:dyDescent="0.3">
      <c r="D200" s="69"/>
      <c r="E200" s="54"/>
      <c r="F200" s="54"/>
      <c r="G200" s="54"/>
      <c r="H200" s="116"/>
      <c r="I200" s="71"/>
      <c r="J200" s="37"/>
      <c r="K200" s="54"/>
      <c r="L200" s="54"/>
      <c r="M200" s="54"/>
      <c r="N200" s="54"/>
      <c r="O200" s="54"/>
      <c r="P200" s="54"/>
      <c r="Q200" s="54"/>
      <c r="R200" s="54"/>
      <c r="S200" s="185"/>
      <c r="T200" s="72"/>
      <c r="U200" s="54"/>
    </row>
  </sheetData>
  <mergeCells count="13">
    <mergeCell ref="A16:B16"/>
    <mergeCell ref="A17:B17"/>
    <mergeCell ref="A18:B18"/>
    <mergeCell ref="M1:O1"/>
    <mergeCell ref="P1:R1"/>
    <mergeCell ref="A1:B1"/>
    <mergeCell ref="A12:B12"/>
    <mergeCell ref="A6:B6"/>
    <mergeCell ref="A13:B13"/>
    <mergeCell ref="A14:B14"/>
    <mergeCell ref="A15:B15"/>
    <mergeCell ref="D1:F1"/>
    <mergeCell ref="H1:J1"/>
  </mergeCells>
  <dataValidations count="2">
    <dataValidation type="custom" allowBlank="1" showInputMessage="1" showErrorMessage="1" errorTitle="invalid number entered" error="Please enter a number with 10 digits" sqref="I3:I200" xr:uid="{764E78E5-FB5C-4A34-A018-51ECB63E2932}">
      <formula1>AND(LEN(I3)=10,ISNUMBER(--I3))</formula1>
    </dataValidation>
    <dataValidation type="list" allowBlank="1" showInputMessage="1" showErrorMessage="1" sqref="B7" xr:uid="{33361705-F267-4306-A371-A16A93592A6B}">
      <formula1>"All,January,February,March,April,May,June,July,August,September,October,November,December"</formula1>
    </dataValidation>
  </dataValidations>
  <hyperlinks>
    <hyperlink ref="A13" location="Home!A1" display="Home" xr:uid="{6BABAE2B-5A6A-4C01-89F9-F7625843FCE1}"/>
    <hyperlink ref="A14:B14" location="Enrollment!A1" display="Enrollment" xr:uid="{FA1B681D-0FDC-4A44-84DE-CEFB08AD0EAB}"/>
    <hyperlink ref="A15:B15" location="Attendance!A1" display="Attendance" xr:uid="{65B268C6-739F-430A-8CD8-0ECC4C364B56}"/>
    <hyperlink ref="A16:B16" location="Teachers!A1" display="Teachers" xr:uid="{363C46AD-E35D-4BEA-9BDE-A68B549AB3E6}"/>
    <hyperlink ref="A17:B17" location="Classes!A1" display="Classes" xr:uid="{519A33F6-93E8-4E7F-8851-26F572B8B33E}"/>
    <hyperlink ref="A18:B18" location="Monthly_Report!A1" display="Monthly report" xr:uid="{E4A546E3-0F6C-4333-BB6E-085F2806B25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2B0A0-9EAD-4FDE-801D-F99B46B663A3}">
  <sheetPr codeName="Sheet1"/>
  <dimension ref="A1:BK200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B18"/>
    </sheetView>
  </sheetViews>
  <sheetFormatPr defaultRowHeight="14.4" x14ac:dyDescent="0.3"/>
  <cols>
    <col min="1" max="1" width="23.6640625" customWidth="1"/>
    <col min="2" max="2" width="16.109375" customWidth="1"/>
    <col min="3" max="3" width="6.77734375" customWidth="1"/>
    <col min="4" max="4" width="16.44140625" customWidth="1"/>
    <col min="5" max="5" width="15.6640625" customWidth="1"/>
    <col min="6" max="8" width="11.44140625" customWidth="1"/>
    <col min="9" max="9" width="18.109375" customWidth="1"/>
    <col min="10" max="10" width="11.77734375" customWidth="1"/>
    <col min="11" max="11" width="18.5546875" customWidth="1"/>
    <col min="12" max="12" width="13.5546875" customWidth="1"/>
    <col min="13" max="13" width="11.21875" customWidth="1"/>
    <col min="14" max="14" width="11.88671875" customWidth="1"/>
    <col min="15" max="15" width="10.5546875" customWidth="1"/>
    <col min="16" max="16" width="10.88671875" customWidth="1"/>
    <col min="17" max="17" width="11.6640625" customWidth="1"/>
    <col min="18" max="18" width="11.33203125" customWidth="1"/>
    <col min="19" max="19" width="18.44140625" customWidth="1"/>
    <col min="20" max="20" width="19.6640625" customWidth="1"/>
    <col min="21" max="21" width="30.88671875" customWidth="1"/>
    <col min="22" max="61" width="9.109375" customWidth="1"/>
  </cols>
  <sheetData>
    <row r="1" spans="1:63" ht="17.399999999999999" customHeight="1" x14ac:dyDescent="0.3">
      <c r="A1" s="311" t="s">
        <v>72</v>
      </c>
      <c r="B1" s="311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6.2" customHeight="1" x14ac:dyDescent="0.3">
      <c r="A2" s="108" t="s">
        <v>147</v>
      </c>
      <c r="B2" s="19" t="str">
        <f>Teachers!A4</f>
        <v>T-003</v>
      </c>
      <c r="C2" s="7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6.2" customHeight="1" x14ac:dyDescent="0.3">
      <c r="A3" s="20" t="s">
        <v>22</v>
      </c>
      <c r="B3" s="21" t="str">
        <f>_xlfn.XLOOKUP(T_Ahmadi!B2, teachers_table[*Teacher ID], teachers_table[*Teacher Name])</f>
        <v>Rashid Ahmadi</v>
      </c>
      <c r="C3" s="7"/>
      <c r="D3" s="75" t="str" cm="1">
        <f t="array" ref="D3">IF(B7 = "All", _xlfn._xlws.FILTER(enrollment_table[], enrollment_table[*Teacher Name] = T_Ahmadi!B3, "No Students Found"), _xlfn._xlws.FILTER(enrollment_table[], (enrollment_table[*Teacher Name] = T_Ahmadi!B3 ) * (enrollment_table[Enrollment Month] = B7), "No Students Found"))</f>
        <v>No Students Found</v>
      </c>
      <c r="E3" s="67"/>
      <c r="F3" s="67"/>
      <c r="G3" s="67"/>
      <c r="H3" s="121"/>
      <c r="I3" s="76"/>
      <c r="J3" s="67"/>
      <c r="K3" s="67"/>
      <c r="L3" s="82"/>
      <c r="M3" s="67"/>
      <c r="N3" s="67"/>
      <c r="O3" s="67"/>
      <c r="P3" s="67"/>
      <c r="Q3" s="67"/>
      <c r="R3" s="67"/>
      <c r="S3" s="187"/>
      <c r="T3" s="77"/>
      <c r="U3" s="67"/>
    </row>
    <row r="4" spans="1:63" ht="16.2" customHeight="1" x14ac:dyDescent="0.3">
      <c r="A4" s="89" t="s">
        <v>29</v>
      </c>
      <c r="B4" s="87">
        <f>_xlfn.XLOOKUP(B2, teachers_table[*Teacher ID], teachers_table[*Income Rate])</f>
        <v>0.7</v>
      </c>
      <c r="C4" s="17"/>
      <c r="D4" s="69"/>
      <c r="E4" s="54"/>
      <c r="F4" s="54"/>
      <c r="G4" s="54"/>
      <c r="H4" s="114"/>
      <c r="I4" s="71"/>
      <c r="J4" s="37"/>
      <c r="K4" s="54"/>
      <c r="L4" s="145"/>
      <c r="M4" s="54"/>
      <c r="N4" s="54"/>
      <c r="O4" s="54"/>
      <c r="P4" s="54"/>
      <c r="Q4" s="54"/>
      <c r="R4" s="54"/>
      <c r="S4" s="185"/>
      <c r="T4" s="72"/>
      <c r="U4" s="54"/>
    </row>
    <row r="5" spans="1:63" ht="16.2" customHeight="1" x14ac:dyDescent="0.3">
      <c r="C5" s="18"/>
      <c r="D5" s="62"/>
      <c r="E5" s="53"/>
      <c r="F5" s="53"/>
      <c r="G5" s="53"/>
      <c r="H5" s="115"/>
      <c r="I5" s="65"/>
      <c r="J5" s="66"/>
      <c r="K5" s="53"/>
      <c r="L5" s="141"/>
      <c r="M5" s="53"/>
      <c r="N5" s="53"/>
      <c r="O5" s="53"/>
      <c r="P5" s="53"/>
      <c r="Q5" s="53"/>
      <c r="R5" s="53"/>
      <c r="S5" s="177"/>
      <c r="T5" s="68"/>
      <c r="U5" s="53"/>
    </row>
    <row r="6" spans="1:63" ht="16.2" customHeight="1" x14ac:dyDescent="0.3">
      <c r="A6" s="310" t="s">
        <v>107</v>
      </c>
      <c r="B6" s="311"/>
      <c r="D6" s="69"/>
      <c r="E6" s="54"/>
      <c r="F6" s="54"/>
      <c r="G6" s="54"/>
      <c r="H6" s="116"/>
      <c r="I6" s="71"/>
      <c r="J6" s="37"/>
      <c r="K6" s="54"/>
      <c r="L6" s="140"/>
      <c r="M6" s="54"/>
      <c r="N6" s="54"/>
      <c r="O6" s="54"/>
      <c r="P6" s="54"/>
      <c r="Q6" s="54"/>
      <c r="R6" s="54"/>
      <c r="S6" s="185"/>
      <c r="T6" s="72"/>
      <c r="U6" s="54"/>
    </row>
    <row r="7" spans="1:63" ht="16.2" customHeight="1" x14ac:dyDescent="0.3">
      <c r="A7" s="47" t="s">
        <v>157</v>
      </c>
      <c r="B7" s="24" t="s">
        <v>162</v>
      </c>
      <c r="D7" s="62"/>
      <c r="E7" s="53"/>
      <c r="F7" s="53"/>
      <c r="G7" s="53"/>
      <c r="H7" s="117"/>
      <c r="I7" s="65"/>
      <c r="J7" s="66"/>
      <c r="K7" s="53"/>
      <c r="L7" s="141"/>
      <c r="M7" s="53"/>
      <c r="N7" s="53"/>
      <c r="O7" s="53"/>
      <c r="P7" s="53"/>
      <c r="Q7" s="53"/>
      <c r="R7" s="53"/>
      <c r="S7" s="177"/>
      <c r="T7" s="68"/>
      <c r="U7" s="53"/>
    </row>
    <row r="8" spans="1:63" ht="16.2" customHeight="1" x14ac:dyDescent="0.3">
      <c r="A8" s="84" t="s">
        <v>52</v>
      </c>
      <c r="B8" s="86">
        <f>IF(D3 = "No Students Found", 0, COUNTA(D3:D200))</f>
        <v>0</v>
      </c>
      <c r="D8" s="69"/>
      <c r="E8" s="54"/>
      <c r="F8" s="54"/>
      <c r="G8" s="54"/>
      <c r="H8" s="116"/>
      <c r="I8" s="71"/>
      <c r="J8" s="37"/>
      <c r="K8" s="54"/>
      <c r="L8" s="140"/>
      <c r="M8" s="54"/>
      <c r="N8" s="54"/>
      <c r="O8" s="54"/>
      <c r="P8" s="54"/>
      <c r="Q8" s="54"/>
      <c r="R8" s="54"/>
      <c r="S8" s="185"/>
      <c r="T8" s="72"/>
      <c r="U8" s="54"/>
    </row>
    <row r="9" spans="1:63" ht="16.2" customHeight="1" x14ac:dyDescent="0.3">
      <c r="A9" s="47" t="s">
        <v>106</v>
      </c>
      <c r="B9" s="156">
        <f>SUM(H3:H200)</f>
        <v>0</v>
      </c>
      <c r="D9" s="62"/>
      <c r="E9" s="53"/>
      <c r="F9" s="53"/>
      <c r="G9" s="53"/>
      <c r="H9" s="117"/>
      <c r="I9" s="65"/>
      <c r="J9" s="66"/>
      <c r="K9" s="53"/>
      <c r="L9" s="141"/>
      <c r="M9" s="53"/>
      <c r="N9" s="53"/>
      <c r="O9" s="53"/>
      <c r="P9" s="53"/>
      <c r="Q9" s="53"/>
      <c r="R9" s="53"/>
      <c r="S9" s="177"/>
      <c r="T9" s="68"/>
      <c r="U9" s="53"/>
    </row>
    <row r="10" spans="1:63" ht="16.2" customHeight="1" x14ac:dyDescent="0.3">
      <c r="A10" s="85" t="s">
        <v>44</v>
      </c>
      <c r="B10" s="155">
        <f>B9*B4</f>
        <v>0</v>
      </c>
      <c r="D10" s="69"/>
      <c r="E10" s="54"/>
      <c r="F10" s="54"/>
      <c r="G10" s="54"/>
      <c r="H10" s="116"/>
      <c r="I10" s="71"/>
      <c r="J10" s="37"/>
      <c r="K10" s="54"/>
      <c r="L10" s="140"/>
      <c r="M10" s="54"/>
      <c r="N10" s="54"/>
      <c r="O10" s="54"/>
      <c r="P10" s="54"/>
      <c r="Q10" s="54"/>
      <c r="R10" s="54"/>
      <c r="S10" s="185"/>
      <c r="T10" s="72"/>
      <c r="U10" s="54"/>
    </row>
    <row r="11" spans="1:63" ht="16.2" customHeight="1" x14ac:dyDescent="0.3">
      <c r="D11" s="62"/>
      <c r="E11" s="53"/>
      <c r="F11" s="53"/>
      <c r="G11" s="53"/>
      <c r="H11" s="117"/>
      <c r="I11" s="65"/>
      <c r="J11" s="66"/>
      <c r="K11" s="53"/>
      <c r="L11" s="141"/>
      <c r="M11" s="53"/>
      <c r="N11" s="53"/>
      <c r="O11" s="53"/>
      <c r="P11" s="53"/>
      <c r="Q11" s="53"/>
      <c r="R11" s="53"/>
      <c r="S11" s="177"/>
      <c r="T11" s="68"/>
      <c r="U11" s="53"/>
    </row>
    <row r="12" spans="1:63" ht="16.2" customHeight="1" x14ac:dyDescent="0.3">
      <c r="A12" s="312" t="s">
        <v>25</v>
      </c>
      <c r="B12" s="313"/>
      <c r="D12" s="69"/>
      <c r="E12" s="54"/>
      <c r="F12" s="54"/>
      <c r="G12" s="54"/>
      <c r="H12" s="116"/>
      <c r="I12" s="71"/>
      <c r="J12" s="37"/>
      <c r="K12" s="54"/>
      <c r="L12" s="140"/>
      <c r="M12" s="54"/>
      <c r="N12" s="54"/>
      <c r="O12" s="54"/>
      <c r="P12" s="54"/>
      <c r="Q12" s="54"/>
      <c r="R12" s="54"/>
      <c r="S12" s="185"/>
      <c r="T12" s="72"/>
      <c r="U12" s="54"/>
    </row>
    <row r="13" spans="1:63" ht="16.2" customHeight="1" x14ac:dyDescent="0.3">
      <c r="A13" s="314" t="s">
        <v>24</v>
      </c>
      <c r="B13" s="315"/>
      <c r="D13" s="62"/>
      <c r="E13" s="53"/>
      <c r="F13" s="53"/>
      <c r="G13" s="53"/>
      <c r="H13" s="117"/>
      <c r="I13" s="65"/>
      <c r="J13" s="66"/>
      <c r="K13" s="53"/>
      <c r="L13" s="141"/>
      <c r="M13" s="53"/>
      <c r="N13" s="53"/>
      <c r="O13" s="53"/>
      <c r="P13" s="53"/>
      <c r="Q13" s="53"/>
      <c r="R13" s="53"/>
      <c r="S13" s="177"/>
      <c r="T13" s="68"/>
      <c r="U13" s="53"/>
    </row>
    <row r="14" spans="1:63" ht="16.2" customHeight="1" x14ac:dyDescent="0.3">
      <c r="A14" s="307" t="s">
        <v>104</v>
      </c>
      <c r="B14" s="307"/>
      <c r="D14" s="69"/>
      <c r="E14" s="54"/>
      <c r="F14" s="54"/>
      <c r="G14" s="54"/>
      <c r="H14" s="116"/>
      <c r="I14" s="71"/>
      <c r="J14" s="37"/>
      <c r="K14" s="54"/>
      <c r="L14" s="140"/>
      <c r="M14" s="54"/>
      <c r="N14" s="54"/>
      <c r="O14" s="54"/>
      <c r="P14" s="54"/>
      <c r="Q14" s="54"/>
      <c r="R14" s="54"/>
      <c r="S14" s="185"/>
      <c r="T14" s="72"/>
      <c r="U14" s="54"/>
    </row>
    <row r="15" spans="1:63" ht="16.2" customHeight="1" x14ac:dyDescent="0.3">
      <c r="A15" s="316" t="s">
        <v>59</v>
      </c>
      <c r="B15" s="308"/>
      <c r="D15" s="62"/>
      <c r="E15" s="53"/>
      <c r="F15" s="53"/>
      <c r="G15" s="53"/>
      <c r="H15" s="118"/>
      <c r="I15" s="141"/>
      <c r="J15" s="53"/>
      <c r="K15" s="53"/>
      <c r="L15" s="141"/>
      <c r="M15" s="53"/>
      <c r="N15" s="53"/>
      <c r="O15" s="53"/>
      <c r="P15" s="53"/>
      <c r="Q15" s="53"/>
      <c r="R15" s="53"/>
      <c r="S15" s="180"/>
      <c r="T15" s="53"/>
      <c r="U15" s="53"/>
    </row>
    <row r="16" spans="1:63" ht="16.2" customHeight="1" x14ac:dyDescent="0.3">
      <c r="A16" s="307" t="s">
        <v>57</v>
      </c>
      <c r="B16" s="307"/>
      <c r="D16" s="69"/>
      <c r="E16" s="54"/>
      <c r="F16" s="54"/>
      <c r="G16" s="54"/>
      <c r="H16" s="119"/>
      <c r="I16" s="140"/>
      <c r="J16" s="54"/>
      <c r="K16" s="54"/>
      <c r="L16" s="140"/>
      <c r="M16" s="54"/>
      <c r="N16" s="54"/>
      <c r="O16" s="54"/>
      <c r="P16" s="54"/>
      <c r="Q16" s="54"/>
      <c r="R16" s="54"/>
      <c r="S16" s="181"/>
      <c r="T16" s="54"/>
      <c r="U16" s="54"/>
    </row>
    <row r="17" spans="1:21" ht="16.2" customHeight="1" x14ac:dyDescent="0.3">
      <c r="A17" s="308" t="s">
        <v>58</v>
      </c>
      <c r="B17" s="308"/>
      <c r="D17" s="62"/>
      <c r="E17" s="53"/>
      <c r="F17" s="53"/>
      <c r="G17" s="53"/>
      <c r="H17" s="118"/>
      <c r="I17" s="141"/>
      <c r="J17" s="53"/>
      <c r="K17" s="53"/>
      <c r="L17" s="141"/>
      <c r="M17" s="53"/>
      <c r="N17" s="53"/>
      <c r="O17" s="53"/>
      <c r="P17" s="53"/>
      <c r="Q17" s="53"/>
      <c r="R17" s="53"/>
      <c r="S17" s="180"/>
      <c r="T17" s="53"/>
      <c r="U17" s="53"/>
    </row>
    <row r="18" spans="1:21" ht="16.2" customHeight="1" x14ac:dyDescent="0.3">
      <c r="A18" s="309" t="s">
        <v>124</v>
      </c>
      <c r="B18" s="309"/>
      <c r="D18" s="69"/>
      <c r="E18" s="54"/>
      <c r="F18" s="54"/>
      <c r="G18" s="54"/>
      <c r="H18" s="119"/>
      <c r="I18" s="140"/>
      <c r="J18" s="54"/>
      <c r="K18" s="54"/>
      <c r="L18" s="140"/>
      <c r="M18" s="54"/>
      <c r="N18" s="54"/>
      <c r="O18" s="54"/>
      <c r="P18" s="54"/>
      <c r="Q18" s="54"/>
      <c r="R18" s="54"/>
      <c r="S18" s="181"/>
      <c r="T18" s="54"/>
      <c r="U18" s="54"/>
    </row>
    <row r="19" spans="1:21" ht="16.2" customHeight="1" x14ac:dyDescent="0.3">
      <c r="D19" s="62"/>
      <c r="E19" s="53"/>
      <c r="F19" s="53"/>
      <c r="G19" s="53"/>
      <c r="H19" s="118"/>
      <c r="I19" s="141"/>
      <c r="J19" s="53"/>
      <c r="K19" s="53"/>
      <c r="L19" s="141"/>
      <c r="M19" s="53"/>
      <c r="N19" s="53"/>
      <c r="O19" s="53"/>
      <c r="P19" s="53"/>
      <c r="Q19" s="53"/>
      <c r="R19" s="53"/>
      <c r="S19" s="180"/>
      <c r="T19" s="53"/>
      <c r="U19" s="53"/>
    </row>
    <row r="20" spans="1:21" ht="16.2" customHeight="1" x14ac:dyDescent="0.3">
      <c r="D20" s="69"/>
      <c r="E20" s="54"/>
      <c r="F20" s="54"/>
      <c r="G20" s="54"/>
      <c r="H20" s="119"/>
      <c r="I20" s="140"/>
      <c r="J20" s="54"/>
      <c r="K20" s="54"/>
      <c r="L20" s="140"/>
      <c r="M20" s="54"/>
      <c r="N20" s="54"/>
      <c r="O20" s="54"/>
      <c r="P20" s="54"/>
      <c r="Q20" s="54"/>
      <c r="R20" s="54"/>
      <c r="S20" s="181"/>
      <c r="T20" s="54"/>
      <c r="U20" s="54"/>
    </row>
    <row r="21" spans="1:21" ht="16.2" customHeight="1" x14ac:dyDescent="0.3">
      <c r="D21" s="62"/>
      <c r="E21" s="53"/>
      <c r="F21" s="53"/>
      <c r="G21" s="53"/>
      <c r="H21" s="118"/>
      <c r="I21" s="141"/>
      <c r="J21" s="53"/>
      <c r="K21" s="53"/>
      <c r="L21" s="141"/>
      <c r="M21" s="53"/>
      <c r="N21" s="53"/>
      <c r="O21" s="53"/>
      <c r="P21" s="53"/>
      <c r="Q21" s="53"/>
      <c r="R21" s="53"/>
      <c r="S21" s="180"/>
      <c r="T21" s="53"/>
      <c r="U21" s="53"/>
    </row>
    <row r="22" spans="1:21" ht="16.2" customHeight="1" x14ac:dyDescent="0.3">
      <c r="D22" s="69"/>
      <c r="E22" s="54"/>
      <c r="F22" s="54"/>
      <c r="G22" s="54"/>
      <c r="H22" s="119"/>
      <c r="I22" s="140"/>
      <c r="J22" s="54"/>
      <c r="K22" s="54"/>
      <c r="L22" s="140"/>
      <c r="M22" s="54"/>
      <c r="N22" s="54"/>
      <c r="O22" s="54"/>
      <c r="P22" s="54"/>
      <c r="Q22" s="54"/>
      <c r="R22" s="54"/>
      <c r="S22" s="181"/>
      <c r="T22" s="54"/>
      <c r="U22" s="54"/>
    </row>
    <row r="23" spans="1:21" ht="16.2" customHeight="1" x14ac:dyDescent="0.3">
      <c r="D23" s="62"/>
      <c r="E23" s="53"/>
      <c r="F23" s="53"/>
      <c r="G23" s="53"/>
      <c r="H23" s="118"/>
      <c r="I23" s="141"/>
      <c r="J23" s="53"/>
      <c r="K23" s="53"/>
      <c r="L23" s="141"/>
      <c r="M23" s="53"/>
      <c r="N23" s="53"/>
      <c r="O23" s="53"/>
      <c r="P23" s="53"/>
      <c r="Q23" s="53"/>
      <c r="R23" s="53"/>
      <c r="S23" s="180"/>
      <c r="T23" s="53"/>
      <c r="U23" s="53"/>
    </row>
    <row r="24" spans="1:21" ht="16.2" customHeight="1" x14ac:dyDescent="0.3">
      <c r="D24" s="69"/>
      <c r="E24" s="54"/>
      <c r="F24" s="54"/>
      <c r="G24" s="54"/>
      <c r="H24" s="119"/>
      <c r="I24" s="140"/>
      <c r="J24" s="54"/>
      <c r="K24" s="54"/>
      <c r="L24" s="140"/>
      <c r="M24" s="54"/>
      <c r="N24" s="54"/>
      <c r="O24" s="54"/>
      <c r="P24" s="54"/>
      <c r="Q24" s="54"/>
      <c r="R24" s="54"/>
      <c r="S24" s="181"/>
      <c r="T24" s="54"/>
      <c r="U24" s="54"/>
    </row>
    <row r="25" spans="1:21" ht="16.2" customHeight="1" x14ac:dyDescent="0.3">
      <c r="D25" s="62"/>
      <c r="E25" s="53"/>
      <c r="F25" s="53"/>
      <c r="G25" s="53"/>
      <c r="H25" s="118"/>
      <c r="I25" s="141"/>
      <c r="J25" s="53"/>
      <c r="K25" s="53"/>
      <c r="L25" s="141"/>
      <c r="M25" s="53"/>
      <c r="N25" s="53"/>
      <c r="O25" s="53"/>
      <c r="P25" s="53"/>
      <c r="Q25" s="53"/>
      <c r="R25" s="53"/>
      <c r="S25" s="180"/>
      <c r="T25" s="53"/>
      <c r="U25" s="53"/>
    </row>
    <row r="26" spans="1:21" x14ac:dyDescent="0.3">
      <c r="D26" s="69"/>
      <c r="E26" s="54"/>
      <c r="F26" s="54"/>
      <c r="G26" s="54"/>
      <c r="H26" s="119"/>
      <c r="I26" s="140"/>
      <c r="J26" s="54"/>
      <c r="K26" s="54"/>
      <c r="L26" s="140"/>
      <c r="M26" s="54"/>
      <c r="N26" s="54"/>
      <c r="O26" s="54"/>
      <c r="P26" s="54"/>
      <c r="Q26" s="54"/>
      <c r="R26" s="54"/>
      <c r="S26" s="181"/>
      <c r="T26" s="54"/>
      <c r="U26" s="54"/>
    </row>
    <row r="27" spans="1:21" x14ac:dyDescent="0.3">
      <c r="D27" s="62"/>
      <c r="E27" s="53"/>
      <c r="F27" s="53"/>
      <c r="G27" s="53"/>
      <c r="H27" s="118"/>
      <c r="I27" s="141"/>
      <c r="J27" s="53"/>
      <c r="K27" s="53"/>
      <c r="L27" s="141"/>
      <c r="M27" s="53"/>
      <c r="N27" s="53"/>
      <c r="O27" s="53"/>
      <c r="P27" s="53"/>
      <c r="Q27" s="53"/>
      <c r="R27" s="53"/>
      <c r="S27" s="180"/>
      <c r="T27" s="53"/>
      <c r="U27" s="53"/>
    </row>
    <row r="28" spans="1:21" x14ac:dyDescent="0.3">
      <c r="D28" s="69"/>
      <c r="E28" s="54"/>
      <c r="F28" s="54"/>
      <c r="G28" s="54"/>
      <c r="H28" s="119"/>
      <c r="I28" s="140"/>
      <c r="J28" s="54"/>
      <c r="K28" s="54"/>
      <c r="L28" s="140"/>
      <c r="M28" s="54"/>
      <c r="N28" s="54"/>
      <c r="O28" s="54"/>
      <c r="P28" s="54"/>
      <c r="Q28" s="54"/>
      <c r="R28" s="54"/>
      <c r="S28" s="181"/>
      <c r="T28" s="54"/>
      <c r="U28" s="54"/>
    </row>
    <row r="29" spans="1:21" x14ac:dyDescent="0.3">
      <c r="D29" s="62"/>
      <c r="E29" s="53"/>
      <c r="F29" s="53"/>
      <c r="G29" s="53"/>
      <c r="H29" s="118"/>
      <c r="I29" s="141"/>
      <c r="J29" s="53"/>
      <c r="K29" s="53"/>
      <c r="L29" s="141"/>
      <c r="M29" s="53"/>
      <c r="N29" s="53"/>
      <c r="O29" s="53"/>
      <c r="P29" s="53"/>
      <c r="Q29" s="53"/>
      <c r="R29" s="53"/>
      <c r="S29" s="180"/>
      <c r="T29" s="53"/>
      <c r="U29" s="53"/>
    </row>
    <row r="30" spans="1:21" x14ac:dyDescent="0.3">
      <c r="D30" s="69"/>
      <c r="E30" s="54"/>
      <c r="F30" s="54"/>
      <c r="G30" s="54"/>
      <c r="H30" s="119"/>
      <c r="I30" s="140"/>
      <c r="J30" s="54"/>
      <c r="K30" s="54"/>
      <c r="L30" s="140"/>
      <c r="M30" s="54"/>
      <c r="N30" s="54"/>
      <c r="O30" s="54"/>
      <c r="P30" s="54"/>
      <c r="Q30" s="54"/>
      <c r="R30" s="54"/>
      <c r="S30" s="181"/>
      <c r="T30" s="54"/>
      <c r="U30" s="54"/>
    </row>
    <row r="31" spans="1:21" x14ac:dyDescent="0.3">
      <c r="D31" s="62"/>
      <c r="E31" s="53"/>
      <c r="F31" s="53"/>
      <c r="G31" s="53"/>
      <c r="H31" s="118"/>
      <c r="I31" s="141"/>
      <c r="J31" s="53"/>
      <c r="K31" s="53"/>
      <c r="L31" s="141"/>
      <c r="M31" s="53"/>
      <c r="N31" s="53"/>
      <c r="O31" s="53"/>
      <c r="P31" s="53"/>
      <c r="Q31" s="53"/>
      <c r="R31" s="53"/>
      <c r="S31" s="180"/>
      <c r="T31" s="53"/>
      <c r="U31" s="53"/>
    </row>
    <row r="32" spans="1:21" x14ac:dyDescent="0.3">
      <c r="D32" s="69"/>
      <c r="E32" s="54"/>
      <c r="F32" s="54"/>
      <c r="G32" s="54"/>
      <c r="H32" s="119"/>
      <c r="I32" s="140"/>
      <c r="J32" s="54"/>
      <c r="K32" s="54"/>
      <c r="L32" s="140"/>
      <c r="M32" s="54"/>
      <c r="N32" s="54"/>
      <c r="O32" s="54"/>
      <c r="P32" s="54"/>
      <c r="Q32" s="54"/>
      <c r="R32" s="54"/>
      <c r="S32" s="181"/>
      <c r="T32" s="54"/>
      <c r="U32" s="54"/>
    </row>
    <row r="33" spans="4:21" x14ac:dyDescent="0.3">
      <c r="D33" s="62"/>
      <c r="E33" s="53"/>
      <c r="F33" s="53"/>
      <c r="G33" s="53"/>
      <c r="H33" s="118"/>
      <c r="I33" s="141"/>
      <c r="J33" s="53"/>
      <c r="K33" s="53"/>
      <c r="L33" s="141"/>
      <c r="M33" s="53"/>
      <c r="N33" s="53"/>
      <c r="O33" s="53"/>
      <c r="P33" s="53"/>
      <c r="Q33" s="53"/>
      <c r="R33" s="53"/>
      <c r="S33" s="180"/>
      <c r="T33" s="53"/>
      <c r="U33" s="53"/>
    </row>
    <row r="34" spans="4:21" x14ac:dyDescent="0.3">
      <c r="D34" s="69"/>
      <c r="E34" s="54"/>
      <c r="F34" s="54"/>
      <c r="G34" s="54"/>
      <c r="H34" s="119"/>
      <c r="I34" s="140"/>
      <c r="J34" s="54"/>
      <c r="K34" s="54"/>
      <c r="L34" s="140"/>
      <c r="M34" s="54"/>
      <c r="N34" s="54"/>
      <c r="O34" s="54"/>
      <c r="P34" s="54"/>
      <c r="Q34" s="54"/>
      <c r="R34" s="54"/>
      <c r="S34" s="181"/>
      <c r="T34" s="54"/>
      <c r="U34" s="54"/>
    </row>
    <row r="35" spans="4:21" x14ac:dyDescent="0.3">
      <c r="D35" s="62"/>
      <c r="E35" s="53"/>
      <c r="F35" s="53"/>
      <c r="G35" s="53"/>
      <c r="H35" s="118"/>
      <c r="I35" s="141"/>
      <c r="J35" s="53"/>
      <c r="K35" s="53"/>
      <c r="L35" s="141"/>
      <c r="M35" s="53"/>
      <c r="N35" s="53"/>
      <c r="O35" s="53"/>
      <c r="P35" s="53"/>
      <c r="Q35" s="53"/>
      <c r="R35" s="53"/>
      <c r="S35" s="180"/>
      <c r="T35" s="53"/>
      <c r="U35" s="53"/>
    </row>
    <row r="36" spans="4:21" x14ac:dyDescent="0.3">
      <c r="D36" s="69"/>
      <c r="E36" s="54"/>
      <c r="F36" s="54"/>
      <c r="G36" s="54"/>
      <c r="H36" s="119"/>
      <c r="I36" s="140"/>
      <c r="J36" s="54"/>
      <c r="K36" s="54"/>
      <c r="L36" s="140"/>
      <c r="M36" s="54"/>
      <c r="N36" s="54"/>
      <c r="O36" s="54"/>
      <c r="P36" s="54"/>
      <c r="Q36" s="54"/>
      <c r="R36" s="54"/>
      <c r="S36" s="181"/>
      <c r="T36" s="54"/>
      <c r="U36" s="54"/>
    </row>
    <row r="37" spans="4:21" x14ac:dyDescent="0.3">
      <c r="D37" s="62"/>
      <c r="E37" s="53"/>
      <c r="F37" s="53"/>
      <c r="G37" s="53"/>
      <c r="H37" s="118"/>
      <c r="I37" s="141"/>
      <c r="J37" s="53"/>
      <c r="K37" s="53"/>
      <c r="L37" s="141"/>
      <c r="M37" s="53"/>
      <c r="N37" s="53"/>
      <c r="O37" s="53"/>
      <c r="P37" s="53"/>
      <c r="Q37" s="53"/>
      <c r="R37" s="53"/>
      <c r="S37" s="180"/>
      <c r="T37" s="53"/>
      <c r="U37" s="53"/>
    </row>
    <row r="38" spans="4:21" x14ac:dyDescent="0.3">
      <c r="D38" s="69"/>
      <c r="E38" s="54"/>
      <c r="F38" s="54"/>
      <c r="G38" s="54"/>
      <c r="H38" s="119"/>
      <c r="I38" s="140"/>
      <c r="J38" s="54"/>
      <c r="K38" s="54"/>
      <c r="L38" s="140"/>
      <c r="M38" s="54"/>
      <c r="N38" s="54"/>
      <c r="O38" s="54"/>
      <c r="P38" s="54"/>
      <c r="Q38" s="54"/>
      <c r="R38" s="54"/>
      <c r="S38" s="181"/>
      <c r="T38" s="54"/>
      <c r="U38" s="54"/>
    </row>
    <row r="39" spans="4:21" x14ac:dyDescent="0.3">
      <c r="D39" s="62"/>
      <c r="E39" s="53"/>
      <c r="F39" s="53"/>
      <c r="G39" s="53"/>
      <c r="H39" s="118"/>
      <c r="I39" s="141"/>
      <c r="J39" s="53"/>
      <c r="K39" s="53"/>
      <c r="L39" s="141"/>
      <c r="M39" s="53"/>
      <c r="N39" s="53"/>
      <c r="O39" s="53"/>
      <c r="P39" s="53"/>
      <c r="Q39" s="53"/>
      <c r="R39" s="53"/>
      <c r="S39" s="180"/>
      <c r="T39" s="53"/>
      <c r="U39" s="53"/>
    </row>
    <row r="40" spans="4:21" x14ac:dyDescent="0.3">
      <c r="D40" s="69"/>
      <c r="E40" s="54"/>
      <c r="F40" s="54"/>
      <c r="G40" s="54"/>
      <c r="H40" s="119"/>
      <c r="I40" s="140"/>
      <c r="J40" s="54"/>
      <c r="K40" s="54"/>
      <c r="L40" s="140"/>
      <c r="M40" s="54"/>
      <c r="N40" s="54"/>
      <c r="O40" s="54"/>
      <c r="P40" s="54"/>
      <c r="Q40" s="54"/>
      <c r="R40" s="54"/>
      <c r="S40" s="181"/>
      <c r="T40" s="54"/>
      <c r="U40" s="54"/>
    </row>
    <row r="41" spans="4:21" x14ac:dyDescent="0.3">
      <c r="D41" s="62"/>
      <c r="E41" s="53"/>
      <c r="F41" s="53"/>
      <c r="G41" s="53"/>
      <c r="H41" s="118"/>
      <c r="I41" s="141"/>
      <c r="J41" s="53"/>
      <c r="K41" s="53"/>
      <c r="L41" s="141"/>
      <c r="M41" s="53"/>
      <c r="N41" s="53"/>
      <c r="O41" s="53"/>
      <c r="P41" s="53"/>
      <c r="Q41" s="53"/>
      <c r="R41" s="53"/>
      <c r="S41" s="180"/>
      <c r="T41" s="53"/>
      <c r="U41" s="53"/>
    </row>
    <row r="42" spans="4:21" x14ac:dyDescent="0.3">
      <c r="D42" s="69"/>
      <c r="E42" s="54"/>
      <c r="F42" s="54"/>
      <c r="G42" s="54"/>
      <c r="H42" s="119"/>
      <c r="I42" s="140"/>
      <c r="J42" s="54"/>
      <c r="K42" s="54"/>
      <c r="L42" s="140"/>
      <c r="M42" s="54"/>
      <c r="N42" s="54"/>
      <c r="O42" s="54"/>
      <c r="P42" s="54"/>
      <c r="Q42" s="54"/>
      <c r="R42" s="54"/>
      <c r="S42" s="181"/>
      <c r="T42" s="54"/>
      <c r="U42" s="54"/>
    </row>
    <row r="43" spans="4:21" x14ac:dyDescent="0.3">
      <c r="D43" s="62"/>
      <c r="E43" s="53"/>
      <c r="F43" s="53"/>
      <c r="G43" s="53"/>
      <c r="H43" s="118"/>
      <c r="I43" s="141"/>
      <c r="J43" s="53"/>
      <c r="K43" s="53"/>
      <c r="L43" s="141"/>
      <c r="M43" s="53"/>
      <c r="N43" s="53"/>
      <c r="O43" s="53"/>
      <c r="P43" s="53"/>
      <c r="Q43" s="53"/>
      <c r="R43" s="53"/>
      <c r="S43" s="180"/>
      <c r="T43" s="53"/>
      <c r="U43" s="53"/>
    </row>
    <row r="44" spans="4:21" x14ac:dyDescent="0.3">
      <c r="D44" s="69"/>
      <c r="E44" s="54"/>
      <c r="F44" s="54"/>
      <c r="G44" s="54"/>
      <c r="H44" s="119"/>
      <c r="I44" s="140"/>
      <c r="J44" s="54"/>
      <c r="K44" s="54"/>
      <c r="L44" s="140"/>
      <c r="M44" s="54"/>
      <c r="N44" s="54"/>
      <c r="O44" s="54"/>
      <c r="P44" s="54"/>
      <c r="Q44" s="54"/>
      <c r="R44" s="54"/>
      <c r="S44" s="181"/>
      <c r="T44" s="54"/>
      <c r="U44" s="54"/>
    </row>
    <row r="45" spans="4:21" x14ac:dyDescent="0.3">
      <c r="D45" s="62"/>
      <c r="E45" s="53"/>
      <c r="F45" s="53"/>
      <c r="G45" s="53"/>
      <c r="H45" s="118"/>
      <c r="I45" s="141"/>
      <c r="J45" s="53"/>
      <c r="K45" s="53"/>
      <c r="L45" s="141"/>
      <c r="M45" s="53"/>
      <c r="N45" s="53"/>
      <c r="O45" s="53"/>
      <c r="P45" s="53"/>
      <c r="Q45" s="53"/>
      <c r="R45" s="53"/>
      <c r="S45" s="180"/>
      <c r="T45" s="53"/>
      <c r="U45" s="53"/>
    </row>
    <row r="46" spans="4:21" x14ac:dyDescent="0.3">
      <c r="D46" s="69"/>
      <c r="E46" s="54"/>
      <c r="F46" s="54"/>
      <c r="G46" s="54"/>
      <c r="H46" s="119"/>
      <c r="I46" s="140"/>
      <c r="J46" s="54"/>
      <c r="K46" s="54"/>
      <c r="L46" s="140"/>
      <c r="M46" s="54"/>
      <c r="N46" s="54"/>
      <c r="O46" s="54"/>
      <c r="P46" s="54"/>
      <c r="Q46" s="54"/>
      <c r="R46" s="54"/>
      <c r="S46" s="181"/>
      <c r="T46" s="54"/>
      <c r="U46" s="54"/>
    </row>
    <row r="47" spans="4:21" x14ac:dyDescent="0.3">
      <c r="D47" s="62"/>
      <c r="E47" s="53"/>
      <c r="F47" s="53"/>
      <c r="G47" s="53"/>
      <c r="H47" s="118"/>
      <c r="I47" s="141"/>
      <c r="J47" s="53"/>
      <c r="K47" s="53"/>
      <c r="L47" s="141"/>
      <c r="M47" s="53"/>
      <c r="N47" s="53"/>
      <c r="O47" s="53"/>
      <c r="P47" s="53"/>
      <c r="Q47" s="53"/>
      <c r="R47" s="53"/>
      <c r="S47" s="180"/>
      <c r="T47" s="53"/>
      <c r="U47" s="53"/>
    </row>
    <row r="48" spans="4:21" x14ac:dyDescent="0.3">
      <c r="D48" s="69"/>
      <c r="E48" s="54"/>
      <c r="F48" s="54"/>
      <c r="G48" s="54"/>
      <c r="H48" s="119"/>
      <c r="I48" s="140"/>
      <c r="J48" s="54"/>
      <c r="K48" s="54"/>
      <c r="L48" s="140"/>
      <c r="M48" s="54"/>
      <c r="N48" s="54"/>
      <c r="O48" s="54"/>
      <c r="P48" s="54"/>
      <c r="Q48" s="54"/>
      <c r="R48" s="54"/>
      <c r="S48" s="181"/>
      <c r="T48" s="54"/>
      <c r="U48" s="54"/>
    </row>
    <row r="49" spans="4:21" x14ac:dyDescent="0.3">
      <c r="D49" s="62"/>
      <c r="E49" s="53"/>
      <c r="F49" s="53"/>
      <c r="G49" s="53"/>
      <c r="H49" s="118"/>
      <c r="I49" s="141"/>
      <c r="J49" s="53"/>
      <c r="K49" s="53"/>
      <c r="L49" s="141"/>
      <c r="M49" s="53"/>
      <c r="N49" s="53"/>
      <c r="O49" s="53"/>
      <c r="P49" s="53"/>
      <c r="Q49" s="53"/>
      <c r="R49" s="53"/>
      <c r="S49" s="180"/>
      <c r="T49" s="53"/>
      <c r="U49" s="53"/>
    </row>
    <row r="50" spans="4:21" x14ac:dyDescent="0.3">
      <c r="D50" s="69"/>
      <c r="E50" s="54"/>
      <c r="F50" s="54"/>
      <c r="G50" s="54"/>
      <c r="H50" s="119"/>
      <c r="I50" s="140"/>
      <c r="J50" s="54"/>
      <c r="K50" s="54"/>
      <c r="L50" s="140"/>
      <c r="M50" s="54"/>
      <c r="N50" s="54"/>
      <c r="O50" s="54"/>
      <c r="P50" s="54"/>
      <c r="Q50" s="54"/>
      <c r="R50" s="54"/>
      <c r="S50" s="181"/>
      <c r="T50" s="54"/>
      <c r="U50" s="54"/>
    </row>
    <row r="51" spans="4:21" x14ac:dyDescent="0.3">
      <c r="D51" s="62"/>
      <c r="E51" s="53"/>
      <c r="F51" s="53"/>
      <c r="G51" s="53"/>
      <c r="H51" s="118"/>
      <c r="I51" s="141"/>
      <c r="J51" s="53"/>
      <c r="K51" s="53"/>
      <c r="L51" s="141"/>
      <c r="M51" s="53"/>
      <c r="N51" s="53"/>
      <c r="O51" s="53"/>
      <c r="P51" s="53"/>
      <c r="Q51" s="53"/>
      <c r="R51" s="53"/>
      <c r="S51" s="180"/>
      <c r="T51" s="53"/>
      <c r="U51" s="53"/>
    </row>
    <row r="52" spans="4:21" x14ac:dyDescent="0.3">
      <c r="D52" s="69"/>
      <c r="E52" s="54"/>
      <c r="F52" s="54"/>
      <c r="G52" s="54"/>
      <c r="H52" s="119"/>
      <c r="I52" s="140"/>
      <c r="J52" s="54"/>
      <c r="K52" s="54"/>
      <c r="L52" s="140"/>
      <c r="M52" s="54"/>
      <c r="N52" s="54"/>
      <c r="O52" s="54"/>
      <c r="P52" s="54"/>
      <c r="Q52" s="54"/>
      <c r="R52" s="54"/>
      <c r="S52" s="181"/>
      <c r="T52" s="54"/>
      <c r="U52" s="54"/>
    </row>
    <row r="53" spans="4:21" x14ac:dyDescent="0.3">
      <c r="D53" s="62"/>
      <c r="E53" s="53"/>
      <c r="F53" s="53"/>
      <c r="G53" s="53"/>
      <c r="H53" s="118"/>
      <c r="I53" s="141"/>
      <c r="J53" s="53"/>
      <c r="K53" s="53"/>
      <c r="L53" s="141"/>
      <c r="M53" s="53"/>
      <c r="N53" s="53"/>
      <c r="O53" s="53"/>
      <c r="P53" s="53"/>
      <c r="Q53" s="53"/>
      <c r="R53" s="53"/>
      <c r="S53" s="180"/>
      <c r="T53" s="53"/>
      <c r="U53" s="53"/>
    </row>
    <row r="54" spans="4:21" x14ac:dyDescent="0.3">
      <c r="D54" s="69"/>
      <c r="E54" s="54"/>
      <c r="F54" s="54"/>
      <c r="G54" s="54"/>
      <c r="H54" s="119"/>
      <c r="I54" s="140"/>
      <c r="J54" s="54"/>
      <c r="K54" s="54"/>
      <c r="L54" s="140"/>
      <c r="M54" s="54"/>
      <c r="N54" s="54"/>
      <c r="O54" s="54"/>
      <c r="P54" s="54"/>
      <c r="Q54" s="54"/>
      <c r="R54" s="54"/>
      <c r="S54" s="181"/>
      <c r="T54" s="54"/>
      <c r="U54" s="54"/>
    </row>
    <row r="55" spans="4:21" x14ac:dyDescent="0.3">
      <c r="D55" s="62"/>
      <c r="E55" s="53"/>
      <c r="F55" s="53"/>
      <c r="G55" s="53"/>
      <c r="H55" s="118"/>
      <c r="I55" s="141"/>
      <c r="J55" s="53"/>
      <c r="K55" s="53"/>
      <c r="L55" s="141"/>
      <c r="M55" s="53"/>
      <c r="N55" s="53"/>
      <c r="O55" s="53"/>
      <c r="P55" s="53"/>
      <c r="Q55" s="53"/>
      <c r="R55" s="53"/>
      <c r="S55" s="180"/>
      <c r="T55" s="53"/>
      <c r="U55" s="53"/>
    </row>
    <row r="56" spans="4:21" x14ac:dyDescent="0.3">
      <c r="D56" s="69"/>
      <c r="E56" s="54"/>
      <c r="F56" s="54"/>
      <c r="G56" s="54"/>
      <c r="H56" s="119"/>
      <c r="I56" s="140"/>
      <c r="J56" s="54"/>
      <c r="K56" s="54"/>
      <c r="L56" s="140"/>
      <c r="M56" s="54"/>
      <c r="N56" s="54"/>
      <c r="O56" s="54"/>
      <c r="P56" s="54"/>
      <c r="Q56" s="54"/>
      <c r="R56" s="54"/>
      <c r="S56" s="181"/>
      <c r="T56" s="54"/>
      <c r="U56" s="54"/>
    </row>
    <row r="57" spans="4:21" x14ac:dyDescent="0.3">
      <c r="D57" s="62"/>
      <c r="E57" s="53"/>
      <c r="F57" s="53"/>
      <c r="G57" s="53"/>
      <c r="H57" s="118"/>
      <c r="I57" s="141"/>
      <c r="J57" s="53"/>
      <c r="K57" s="53"/>
      <c r="L57" s="141"/>
      <c r="M57" s="53"/>
      <c r="N57" s="53"/>
      <c r="O57" s="53"/>
      <c r="P57" s="53"/>
      <c r="Q57" s="53"/>
      <c r="R57" s="53"/>
      <c r="S57" s="180"/>
      <c r="T57" s="53"/>
      <c r="U57" s="53"/>
    </row>
    <row r="58" spans="4:21" x14ac:dyDescent="0.3">
      <c r="D58" s="69"/>
      <c r="E58" s="54"/>
      <c r="F58" s="54"/>
      <c r="G58" s="54"/>
      <c r="H58" s="119"/>
      <c r="I58" s="140"/>
      <c r="J58" s="54"/>
      <c r="K58" s="54"/>
      <c r="L58" s="140"/>
      <c r="M58" s="54"/>
      <c r="N58" s="54"/>
      <c r="O58" s="54"/>
      <c r="P58" s="54"/>
      <c r="Q58" s="54"/>
      <c r="R58" s="54"/>
      <c r="S58" s="181"/>
      <c r="T58" s="54"/>
      <c r="U58" s="54"/>
    </row>
    <row r="59" spans="4:21" x14ac:dyDescent="0.3">
      <c r="D59" s="62"/>
      <c r="E59" s="53"/>
      <c r="F59" s="53"/>
      <c r="G59" s="53"/>
      <c r="H59" s="118"/>
      <c r="I59" s="141"/>
      <c r="J59" s="53"/>
      <c r="K59" s="53"/>
      <c r="L59" s="141"/>
      <c r="M59" s="53"/>
      <c r="N59" s="53"/>
      <c r="O59" s="53"/>
      <c r="P59" s="53"/>
      <c r="Q59" s="53"/>
      <c r="R59" s="53"/>
      <c r="S59" s="180"/>
      <c r="T59" s="53"/>
      <c r="U59" s="53"/>
    </row>
    <row r="60" spans="4:21" x14ac:dyDescent="0.3">
      <c r="D60" s="69"/>
      <c r="E60" s="54"/>
      <c r="F60" s="54"/>
      <c r="G60" s="54"/>
      <c r="H60" s="119"/>
      <c r="I60" s="140"/>
      <c r="J60" s="54"/>
      <c r="K60" s="54"/>
      <c r="L60" s="140"/>
      <c r="M60" s="54"/>
      <c r="N60" s="54"/>
      <c r="O60" s="54"/>
      <c r="P60" s="54"/>
      <c r="Q60" s="54"/>
      <c r="R60" s="54"/>
      <c r="S60" s="181"/>
      <c r="T60" s="54"/>
      <c r="U60" s="54"/>
    </row>
    <row r="61" spans="4:21" x14ac:dyDescent="0.3">
      <c r="D61" s="62"/>
      <c r="E61" s="53"/>
      <c r="F61" s="53"/>
      <c r="G61" s="53"/>
      <c r="H61" s="118"/>
      <c r="I61" s="141"/>
      <c r="J61" s="53"/>
      <c r="K61" s="53"/>
      <c r="L61" s="141"/>
      <c r="M61" s="53"/>
      <c r="N61" s="53"/>
      <c r="O61" s="53"/>
      <c r="P61" s="53"/>
      <c r="Q61" s="53"/>
      <c r="R61" s="53"/>
      <c r="S61" s="180"/>
      <c r="T61" s="53"/>
      <c r="U61" s="53"/>
    </row>
    <row r="62" spans="4:21" x14ac:dyDescent="0.3">
      <c r="D62" s="69"/>
      <c r="E62" s="54"/>
      <c r="F62" s="54"/>
      <c r="G62" s="54"/>
      <c r="H62" s="119"/>
      <c r="I62" s="140"/>
      <c r="J62" s="54"/>
      <c r="K62" s="54"/>
      <c r="L62" s="140"/>
      <c r="M62" s="54"/>
      <c r="N62" s="54"/>
      <c r="O62" s="54"/>
      <c r="P62" s="54"/>
      <c r="Q62" s="54"/>
      <c r="R62" s="54"/>
      <c r="S62" s="181"/>
      <c r="T62" s="54"/>
      <c r="U62" s="54"/>
    </row>
    <row r="63" spans="4:21" x14ac:dyDescent="0.3">
      <c r="D63" s="62"/>
      <c r="E63" s="53"/>
      <c r="F63" s="53"/>
      <c r="G63" s="53"/>
      <c r="H63" s="118"/>
      <c r="I63" s="141"/>
      <c r="J63" s="53"/>
      <c r="K63" s="53"/>
      <c r="L63" s="141"/>
      <c r="M63" s="53"/>
      <c r="N63" s="53"/>
      <c r="O63" s="53"/>
      <c r="P63" s="53"/>
      <c r="Q63" s="53"/>
      <c r="R63" s="53"/>
      <c r="S63" s="180"/>
      <c r="T63" s="53"/>
      <c r="U63" s="53"/>
    </row>
    <row r="64" spans="4:21" x14ac:dyDescent="0.3">
      <c r="D64" s="69"/>
      <c r="E64" s="54"/>
      <c r="F64" s="54"/>
      <c r="G64" s="54"/>
      <c r="H64" s="119"/>
      <c r="I64" s="140"/>
      <c r="J64" s="54"/>
      <c r="K64" s="54"/>
      <c r="L64" s="140"/>
      <c r="M64" s="54"/>
      <c r="N64" s="54"/>
      <c r="O64" s="54"/>
      <c r="P64" s="54"/>
      <c r="Q64" s="54"/>
      <c r="R64" s="54"/>
      <c r="S64" s="181"/>
      <c r="T64" s="54"/>
      <c r="U64" s="54"/>
    </row>
    <row r="65" spans="4:21" x14ac:dyDescent="0.3">
      <c r="D65" s="62"/>
      <c r="E65" s="53"/>
      <c r="F65" s="53"/>
      <c r="G65" s="53"/>
      <c r="H65" s="118"/>
      <c r="I65" s="141"/>
      <c r="J65" s="53"/>
      <c r="K65" s="53"/>
      <c r="L65" s="141"/>
      <c r="M65" s="53"/>
      <c r="N65" s="53"/>
      <c r="O65" s="53"/>
      <c r="P65" s="53"/>
      <c r="Q65" s="53"/>
      <c r="R65" s="53"/>
      <c r="S65" s="180"/>
      <c r="T65" s="53"/>
      <c r="U65" s="53"/>
    </row>
    <row r="66" spans="4:21" x14ac:dyDescent="0.3">
      <c r="D66" s="69"/>
      <c r="E66" s="54"/>
      <c r="F66" s="54"/>
      <c r="G66" s="54"/>
      <c r="H66" s="119"/>
      <c r="I66" s="140"/>
      <c r="J66" s="54"/>
      <c r="K66" s="54"/>
      <c r="L66" s="140"/>
      <c r="M66" s="54"/>
      <c r="N66" s="54"/>
      <c r="O66" s="54"/>
      <c r="P66" s="54"/>
      <c r="Q66" s="54"/>
      <c r="R66" s="54"/>
      <c r="S66" s="181"/>
      <c r="T66" s="54"/>
      <c r="U66" s="54"/>
    </row>
    <row r="67" spans="4:21" x14ac:dyDescent="0.3">
      <c r="D67" s="62"/>
      <c r="E67" s="53"/>
      <c r="F67" s="53"/>
      <c r="G67" s="53"/>
      <c r="H67" s="118"/>
      <c r="I67" s="141"/>
      <c r="J67" s="53"/>
      <c r="K67" s="53"/>
      <c r="L67" s="141"/>
      <c r="M67" s="53"/>
      <c r="N67" s="53"/>
      <c r="O67" s="53"/>
      <c r="P67" s="53"/>
      <c r="Q67" s="53"/>
      <c r="R67" s="53"/>
      <c r="S67" s="180"/>
      <c r="T67" s="53"/>
      <c r="U67" s="53"/>
    </row>
    <row r="68" spans="4:21" x14ac:dyDescent="0.3">
      <c r="D68" s="69"/>
      <c r="E68" s="54"/>
      <c r="F68" s="54"/>
      <c r="G68" s="54"/>
      <c r="H68" s="119"/>
      <c r="I68" s="140"/>
      <c r="J68" s="54"/>
      <c r="K68" s="54"/>
      <c r="L68" s="140"/>
      <c r="M68" s="54"/>
      <c r="N68" s="54"/>
      <c r="O68" s="54"/>
      <c r="P68" s="54"/>
      <c r="Q68" s="54"/>
      <c r="R68" s="54"/>
      <c r="S68" s="181"/>
      <c r="T68" s="54"/>
      <c r="U68" s="54"/>
    </row>
    <row r="69" spans="4:21" x14ac:dyDescent="0.3">
      <c r="D69" s="62"/>
      <c r="E69" s="53"/>
      <c r="F69" s="53"/>
      <c r="G69" s="53"/>
      <c r="H69" s="118"/>
      <c r="I69" s="141"/>
      <c r="J69" s="53"/>
      <c r="K69" s="53"/>
      <c r="L69" s="141"/>
      <c r="M69" s="53"/>
      <c r="N69" s="53"/>
      <c r="O69" s="53"/>
      <c r="P69" s="53"/>
      <c r="Q69" s="53"/>
      <c r="R69" s="53"/>
      <c r="S69" s="180"/>
      <c r="T69" s="53"/>
      <c r="U69" s="53"/>
    </row>
    <row r="70" spans="4:21" x14ac:dyDescent="0.3">
      <c r="D70" s="69"/>
      <c r="E70" s="54"/>
      <c r="F70" s="54"/>
      <c r="G70" s="54"/>
      <c r="H70" s="119"/>
      <c r="I70" s="140"/>
      <c r="J70" s="54"/>
      <c r="K70" s="54"/>
      <c r="L70" s="140"/>
      <c r="M70" s="54"/>
      <c r="N70" s="54"/>
      <c r="O70" s="54"/>
      <c r="P70" s="54"/>
      <c r="Q70" s="54"/>
      <c r="R70" s="54"/>
      <c r="S70" s="181"/>
      <c r="T70" s="54"/>
      <c r="U70" s="54"/>
    </row>
    <row r="71" spans="4:21" x14ac:dyDescent="0.3">
      <c r="D71" s="62"/>
      <c r="E71" s="53"/>
      <c r="F71" s="53"/>
      <c r="G71" s="53"/>
      <c r="H71" s="118"/>
      <c r="I71" s="141"/>
      <c r="J71" s="53"/>
      <c r="K71" s="53"/>
      <c r="L71" s="141"/>
      <c r="M71" s="53"/>
      <c r="N71" s="53"/>
      <c r="O71" s="53"/>
      <c r="P71" s="53"/>
      <c r="Q71" s="53"/>
      <c r="R71" s="53"/>
      <c r="S71" s="180"/>
      <c r="T71" s="53"/>
      <c r="U71" s="53"/>
    </row>
    <row r="72" spans="4:21" x14ac:dyDescent="0.3">
      <c r="D72" s="69"/>
      <c r="E72" s="54"/>
      <c r="F72" s="54"/>
      <c r="G72" s="54"/>
      <c r="H72" s="119"/>
      <c r="I72" s="140"/>
      <c r="J72" s="54"/>
      <c r="K72" s="54"/>
      <c r="L72" s="140"/>
      <c r="M72" s="54"/>
      <c r="N72" s="54"/>
      <c r="O72" s="54"/>
      <c r="P72" s="54"/>
      <c r="Q72" s="54"/>
      <c r="R72" s="54"/>
      <c r="S72" s="181"/>
      <c r="T72" s="54"/>
      <c r="U72" s="54"/>
    </row>
    <row r="73" spans="4:21" x14ac:dyDescent="0.3">
      <c r="D73" s="62"/>
      <c r="E73" s="53"/>
      <c r="F73" s="53"/>
      <c r="G73" s="53"/>
      <c r="H73" s="118"/>
      <c r="I73" s="141"/>
      <c r="J73" s="53"/>
      <c r="K73" s="53"/>
      <c r="L73" s="141"/>
      <c r="M73" s="53"/>
      <c r="N73" s="53"/>
      <c r="O73" s="53"/>
      <c r="P73" s="53"/>
      <c r="Q73" s="53"/>
      <c r="R73" s="53"/>
      <c r="S73" s="180"/>
      <c r="T73" s="53"/>
      <c r="U73" s="53"/>
    </row>
    <row r="74" spans="4:21" x14ac:dyDescent="0.3">
      <c r="D74" s="69"/>
      <c r="E74" s="54"/>
      <c r="F74" s="54"/>
      <c r="G74" s="54"/>
      <c r="H74" s="119"/>
      <c r="I74" s="140"/>
      <c r="J74" s="54"/>
      <c r="K74" s="54"/>
      <c r="L74" s="140"/>
      <c r="M74" s="54"/>
      <c r="N74" s="54"/>
      <c r="O74" s="54"/>
      <c r="P74" s="54"/>
      <c r="Q74" s="54"/>
      <c r="R74" s="54"/>
      <c r="S74" s="181"/>
      <c r="T74" s="54"/>
      <c r="U74" s="54"/>
    </row>
    <row r="75" spans="4:21" x14ac:dyDescent="0.3">
      <c r="D75" s="62"/>
      <c r="E75" s="53"/>
      <c r="F75" s="53"/>
      <c r="G75" s="53"/>
      <c r="H75" s="118"/>
      <c r="I75" s="141"/>
      <c r="J75" s="53"/>
      <c r="K75" s="53"/>
      <c r="L75" s="141"/>
      <c r="M75" s="53"/>
      <c r="N75" s="53"/>
      <c r="O75" s="53"/>
      <c r="P75" s="53"/>
      <c r="Q75" s="53"/>
      <c r="R75" s="53"/>
      <c r="S75" s="180"/>
      <c r="T75" s="53"/>
      <c r="U75" s="53"/>
    </row>
    <row r="76" spans="4:21" x14ac:dyDescent="0.3">
      <c r="D76" s="69"/>
      <c r="E76" s="54"/>
      <c r="F76" s="54"/>
      <c r="G76" s="54"/>
      <c r="H76" s="119"/>
      <c r="I76" s="140"/>
      <c r="J76" s="54"/>
      <c r="K76" s="54"/>
      <c r="L76" s="140"/>
      <c r="M76" s="54"/>
      <c r="N76" s="54"/>
      <c r="O76" s="54"/>
      <c r="P76" s="54"/>
      <c r="Q76" s="54"/>
      <c r="R76" s="54"/>
      <c r="S76" s="181"/>
      <c r="T76" s="54"/>
      <c r="U76" s="54"/>
    </row>
    <row r="77" spans="4:21" x14ac:dyDescent="0.3">
      <c r="D77" s="62"/>
      <c r="E77" s="53"/>
      <c r="F77" s="53"/>
      <c r="G77" s="53"/>
      <c r="H77" s="118"/>
      <c r="I77" s="141"/>
      <c r="J77" s="53"/>
      <c r="K77" s="53"/>
      <c r="L77" s="141"/>
      <c r="M77" s="53"/>
      <c r="N77" s="53"/>
      <c r="O77" s="53"/>
      <c r="P77" s="53"/>
      <c r="Q77" s="53"/>
      <c r="R77" s="53"/>
      <c r="S77" s="180"/>
      <c r="T77" s="53"/>
      <c r="U77" s="53"/>
    </row>
    <row r="78" spans="4:21" x14ac:dyDescent="0.3">
      <c r="D78" s="69"/>
      <c r="E78" s="54"/>
      <c r="F78" s="54"/>
      <c r="G78" s="54"/>
      <c r="H78" s="119"/>
      <c r="I78" s="140"/>
      <c r="J78" s="54"/>
      <c r="K78" s="54"/>
      <c r="L78" s="140"/>
      <c r="M78" s="54"/>
      <c r="N78" s="54"/>
      <c r="O78" s="54"/>
      <c r="P78" s="54"/>
      <c r="Q78" s="54"/>
      <c r="R78" s="54"/>
      <c r="S78" s="181"/>
      <c r="T78" s="54"/>
      <c r="U78" s="54"/>
    </row>
    <row r="79" spans="4:21" x14ac:dyDescent="0.3">
      <c r="D79" s="62"/>
      <c r="E79" s="53"/>
      <c r="F79" s="53"/>
      <c r="G79" s="53"/>
      <c r="H79" s="118"/>
      <c r="I79" s="141"/>
      <c r="J79" s="53"/>
      <c r="K79" s="53"/>
      <c r="L79" s="141"/>
      <c r="M79" s="53"/>
      <c r="N79" s="53"/>
      <c r="O79" s="53"/>
      <c r="P79" s="53"/>
      <c r="Q79" s="53"/>
      <c r="R79" s="53"/>
      <c r="S79" s="180"/>
      <c r="T79" s="53"/>
      <c r="U79" s="53"/>
    </row>
    <row r="80" spans="4:21" x14ac:dyDescent="0.3">
      <c r="D80" s="69"/>
      <c r="E80" s="54"/>
      <c r="F80" s="54"/>
      <c r="G80" s="54"/>
      <c r="H80" s="119"/>
      <c r="I80" s="140"/>
      <c r="J80" s="54"/>
      <c r="K80" s="54"/>
      <c r="L80" s="140"/>
      <c r="M80" s="54"/>
      <c r="N80" s="54"/>
      <c r="O80" s="54"/>
      <c r="P80" s="54"/>
      <c r="Q80" s="54"/>
      <c r="R80" s="54"/>
      <c r="S80" s="181"/>
      <c r="T80" s="54"/>
      <c r="U80" s="54"/>
    </row>
    <row r="81" spans="4:21" x14ac:dyDescent="0.3">
      <c r="D81" s="62"/>
      <c r="E81" s="53"/>
      <c r="F81" s="53"/>
      <c r="G81" s="53"/>
      <c r="H81" s="118"/>
      <c r="I81" s="141"/>
      <c r="J81" s="53"/>
      <c r="K81" s="53"/>
      <c r="L81" s="141"/>
      <c r="M81" s="53"/>
      <c r="N81" s="53"/>
      <c r="O81" s="53"/>
      <c r="P81" s="53"/>
      <c r="Q81" s="53"/>
      <c r="R81" s="53"/>
      <c r="S81" s="180"/>
      <c r="T81" s="53"/>
      <c r="U81" s="53"/>
    </row>
    <row r="82" spans="4:21" x14ac:dyDescent="0.3">
      <c r="D82" s="69"/>
      <c r="E82" s="54"/>
      <c r="F82" s="54"/>
      <c r="G82" s="54"/>
      <c r="H82" s="119"/>
      <c r="I82" s="140"/>
      <c r="J82" s="54"/>
      <c r="K82" s="54"/>
      <c r="L82" s="140"/>
      <c r="M82" s="54"/>
      <c r="N82" s="54"/>
      <c r="O82" s="54"/>
      <c r="P82" s="54"/>
      <c r="Q82" s="54"/>
      <c r="R82" s="54"/>
      <c r="S82" s="181"/>
      <c r="T82" s="54"/>
      <c r="U82" s="54"/>
    </row>
    <row r="83" spans="4:21" x14ac:dyDescent="0.3">
      <c r="D83" s="62"/>
      <c r="E83" s="53"/>
      <c r="F83" s="53"/>
      <c r="G83" s="53"/>
      <c r="H83" s="118"/>
      <c r="I83" s="141"/>
      <c r="J83" s="53"/>
      <c r="K83" s="53"/>
      <c r="L83" s="141"/>
      <c r="M83" s="53"/>
      <c r="N83" s="53"/>
      <c r="O83" s="53"/>
      <c r="P83" s="53"/>
      <c r="Q83" s="53"/>
      <c r="R83" s="53"/>
      <c r="S83" s="180"/>
      <c r="T83" s="53"/>
      <c r="U83" s="53"/>
    </row>
    <row r="84" spans="4:21" x14ac:dyDescent="0.3">
      <c r="D84" s="69"/>
      <c r="E84" s="54"/>
      <c r="F84" s="54"/>
      <c r="G84" s="54"/>
      <c r="H84" s="119"/>
      <c r="I84" s="140"/>
      <c r="J84" s="54"/>
      <c r="K84" s="54"/>
      <c r="L84" s="140"/>
      <c r="M84" s="54"/>
      <c r="N84" s="54"/>
      <c r="O84" s="54"/>
      <c r="P84" s="54"/>
      <c r="Q84" s="54"/>
      <c r="R84" s="54"/>
      <c r="S84" s="181"/>
      <c r="T84" s="54"/>
      <c r="U84" s="54"/>
    </row>
    <row r="85" spans="4:21" x14ac:dyDescent="0.3">
      <c r="D85" s="62"/>
      <c r="E85" s="53"/>
      <c r="F85" s="53"/>
      <c r="G85" s="53"/>
      <c r="H85" s="118"/>
      <c r="I85" s="141"/>
      <c r="J85" s="53"/>
      <c r="K85" s="53"/>
      <c r="L85" s="141"/>
      <c r="M85" s="53"/>
      <c r="N85" s="53"/>
      <c r="O85" s="53"/>
      <c r="P85" s="53"/>
      <c r="Q85" s="53"/>
      <c r="R85" s="53"/>
      <c r="S85" s="180"/>
      <c r="T85" s="53"/>
      <c r="U85" s="53"/>
    </row>
    <row r="86" spans="4:21" x14ac:dyDescent="0.3">
      <c r="D86" s="69"/>
      <c r="E86" s="54"/>
      <c r="F86" s="54"/>
      <c r="G86" s="54"/>
      <c r="H86" s="119"/>
      <c r="I86" s="140"/>
      <c r="J86" s="54"/>
      <c r="K86" s="54"/>
      <c r="L86" s="140"/>
      <c r="M86" s="54"/>
      <c r="N86" s="54"/>
      <c r="O86" s="54"/>
      <c r="P86" s="54"/>
      <c r="Q86" s="54"/>
      <c r="R86" s="54"/>
      <c r="S86" s="181"/>
      <c r="T86" s="54"/>
      <c r="U86" s="54"/>
    </row>
    <row r="87" spans="4:21" x14ac:dyDescent="0.3">
      <c r="D87" s="62"/>
      <c r="E87" s="53"/>
      <c r="F87" s="53"/>
      <c r="G87" s="53"/>
      <c r="H87" s="118"/>
      <c r="I87" s="141"/>
      <c r="J87" s="53"/>
      <c r="K87" s="53"/>
      <c r="L87" s="141"/>
      <c r="M87" s="53"/>
      <c r="N87" s="53"/>
      <c r="O87" s="53"/>
      <c r="P87" s="53"/>
      <c r="Q87" s="53"/>
      <c r="R87" s="53"/>
      <c r="S87" s="180"/>
      <c r="T87" s="53"/>
      <c r="U87" s="53"/>
    </row>
    <row r="88" spans="4:21" x14ac:dyDescent="0.3">
      <c r="D88" s="69"/>
      <c r="E88" s="54"/>
      <c r="F88" s="54"/>
      <c r="G88" s="54"/>
      <c r="H88" s="119"/>
      <c r="I88" s="140"/>
      <c r="J88" s="54"/>
      <c r="K88" s="54"/>
      <c r="L88" s="140"/>
      <c r="M88" s="54"/>
      <c r="N88" s="54"/>
      <c r="O88" s="54"/>
      <c r="P88" s="54"/>
      <c r="Q88" s="54"/>
      <c r="R88" s="54"/>
      <c r="S88" s="181"/>
      <c r="T88" s="54"/>
      <c r="U88" s="54"/>
    </row>
    <row r="89" spans="4:21" x14ac:dyDescent="0.3">
      <c r="D89" s="62"/>
      <c r="E89" s="53"/>
      <c r="F89" s="53"/>
      <c r="G89" s="53"/>
      <c r="H89" s="118"/>
      <c r="I89" s="141"/>
      <c r="J89" s="53"/>
      <c r="K89" s="53"/>
      <c r="L89" s="141"/>
      <c r="M89" s="53"/>
      <c r="N89" s="53"/>
      <c r="O89" s="53"/>
      <c r="P89" s="53"/>
      <c r="Q89" s="53"/>
      <c r="R89" s="53"/>
      <c r="S89" s="180"/>
      <c r="T89" s="53"/>
      <c r="U89" s="53"/>
    </row>
    <row r="90" spans="4:21" x14ac:dyDescent="0.3">
      <c r="D90" s="69"/>
      <c r="E90" s="54"/>
      <c r="F90" s="54"/>
      <c r="G90" s="54"/>
      <c r="H90" s="119"/>
      <c r="I90" s="140"/>
      <c r="J90" s="54"/>
      <c r="K90" s="54"/>
      <c r="L90" s="140"/>
      <c r="M90" s="54"/>
      <c r="N90" s="54"/>
      <c r="O90" s="54"/>
      <c r="P90" s="54"/>
      <c r="Q90" s="54"/>
      <c r="R90" s="54"/>
      <c r="S90" s="181"/>
      <c r="T90" s="54"/>
      <c r="U90" s="54"/>
    </row>
    <row r="91" spans="4:21" x14ac:dyDescent="0.3">
      <c r="D91" s="62"/>
      <c r="E91" s="53"/>
      <c r="F91" s="53"/>
      <c r="G91" s="53"/>
      <c r="H91" s="118"/>
      <c r="I91" s="141"/>
      <c r="J91" s="53"/>
      <c r="K91" s="53"/>
      <c r="L91" s="141"/>
      <c r="M91" s="53"/>
      <c r="N91" s="53"/>
      <c r="O91" s="53"/>
      <c r="P91" s="53"/>
      <c r="Q91" s="53"/>
      <c r="R91" s="53"/>
      <c r="S91" s="180"/>
      <c r="T91" s="53"/>
      <c r="U91" s="53"/>
    </row>
    <row r="92" spans="4:21" x14ac:dyDescent="0.3">
      <c r="D92" s="69"/>
      <c r="E92" s="54"/>
      <c r="F92" s="54"/>
      <c r="G92" s="54"/>
      <c r="H92" s="119"/>
      <c r="I92" s="140"/>
      <c r="J92" s="54"/>
      <c r="K92" s="54"/>
      <c r="L92" s="140"/>
      <c r="M92" s="54"/>
      <c r="N92" s="54"/>
      <c r="O92" s="54"/>
      <c r="P92" s="54"/>
      <c r="Q92" s="54"/>
      <c r="R92" s="54"/>
      <c r="S92" s="181"/>
      <c r="T92" s="54"/>
      <c r="U92" s="54"/>
    </row>
    <row r="93" spans="4:21" x14ac:dyDescent="0.3">
      <c r="D93" s="62"/>
      <c r="E93" s="53"/>
      <c r="F93" s="53"/>
      <c r="G93" s="53"/>
      <c r="H93" s="118"/>
      <c r="I93" s="141"/>
      <c r="J93" s="53"/>
      <c r="K93" s="53"/>
      <c r="L93" s="141"/>
      <c r="M93" s="53"/>
      <c r="N93" s="53"/>
      <c r="O93" s="53"/>
      <c r="P93" s="53"/>
      <c r="Q93" s="53"/>
      <c r="R93" s="53"/>
      <c r="S93" s="180"/>
      <c r="T93" s="53"/>
      <c r="U93" s="53"/>
    </row>
    <row r="94" spans="4:21" x14ac:dyDescent="0.3">
      <c r="D94" s="69"/>
      <c r="E94" s="54"/>
      <c r="F94" s="54"/>
      <c r="G94" s="54"/>
      <c r="H94" s="119"/>
      <c r="I94" s="140"/>
      <c r="J94" s="54"/>
      <c r="K94" s="54"/>
      <c r="L94" s="140"/>
      <c r="M94" s="54"/>
      <c r="N94" s="54"/>
      <c r="O94" s="54"/>
      <c r="P94" s="54"/>
      <c r="Q94" s="54"/>
      <c r="R94" s="54"/>
      <c r="S94" s="181"/>
      <c r="T94" s="54"/>
      <c r="U94" s="54"/>
    </row>
    <row r="95" spans="4:21" x14ac:dyDescent="0.3">
      <c r="D95" s="62"/>
      <c r="E95" s="53"/>
      <c r="F95" s="53"/>
      <c r="G95" s="53"/>
      <c r="H95" s="118"/>
      <c r="I95" s="141"/>
      <c r="J95" s="53"/>
      <c r="K95" s="53"/>
      <c r="L95" s="141"/>
      <c r="M95" s="53"/>
      <c r="N95" s="53"/>
      <c r="O95" s="53"/>
      <c r="P95" s="53"/>
      <c r="Q95" s="53"/>
      <c r="R95" s="53"/>
      <c r="S95" s="180"/>
      <c r="T95" s="53"/>
      <c r="U95" s="53"/>
    </row>
    <row r="96" spans="4:21" x14ac:dyDescent="0.3">
      <c r="D96" s="69"/>
      <c r="E96" s="54"/>
      <c r="F96" s="54"/>
      <c r="G96" s="54"/>
      <c r="H96" s="119"/>
      <c r="I96" s="140"/>
      <c r="J96" s="54"/>
      <c r="K96" s="54"/>
      <c r="L96" s="140"/>
      <c r="M96" s="54"/>
      <c r="N96" s="54"/>
      <c r="O96" s="54"/>
      <c r="P96" s="54"/>
      <c r="Q96" s="54"/>
      <c r="R96" s="54"/>
      <c r="S96" s="181"/>
      <c r="T96" s="54"/>
      <c r="U96" s="54"/>
    </row>
    <row r="97" spans="4:21" x14ac:dyDescent="0.3">
      <c r="D97" s="62"/>
      <c r="E97" s="53"/>
      <c r="F97" s="53"/>
      <c r="G97" s="53"/>
      <c r="H97" s="118"/>
      <c r="I97" s="141"/>
      <c r="J97" s="53"/>
      <c r="K97" s="53"/>
      <c r="L97" s="141"/>
      <c r="M97" s="53"/>
      <c r="N97" s="53"/>
      <c r="O97" s="53"/>
      <c r="P97" s="53"/>
      <c r="Q97" s="53"/>
      <c r="R97" s="53"/>
      <c r="S97" s="180"/>
      <c r="T97" s="53"/>
      <c r="U97" s="53"/>
    </row>
    <row r="98" spans="4:21" x14ac:dyDescent="0.3">
      <c r="D98" s="69"/>
      <c r="E98" s="54"/>
      <c r="F98" s="54"/>
      <c r="G98" s="54"/>
      <c r="H98" s="119"/>
      <c r="I98" s="140"/>
      <c r="J98" s="54"/>
      <c r="K98" s="54"/>
      <c r="L98" s="140"/>
      <c r="M98" s="54"/>
      <c r="N98" s="54"/>
      <c r="O98" s="54"/>
      <c r="P98" s="54"/>
      <c r="Q98" s="54"/>
      <c r="R98" s="54"/>
      <c r="S98" s="181"/>
      <c r="T98" s="54"/>
      <c r="U98" s="54"/>
    </row>
    <row r="99" spans="4:21" x14ac:dyDescent="0.3">
      <c r="D99" s="62"/>
      <c r="E99" s="53"/>
      <c r="F99" s="53"/>
      <c r="G99" s="53"/>
      <c r="H99" s="118"/>
      <c r="I99" s="141"/>
      <c r="J99" s="53"/>
      <c r="K99" s="53"/>
      <c r="L99" s="141"/>
      <c r="M99" s="53"/>
      <c r="N99" s="53"/>
      <c r="O99" s="53"/>
      <c r="P99" s="53"/>
      <c r="Q99" s="53"/>
      <c r="R99" s="53"/>
      <c r="S99" s="180"/>
      <c r="T99" s="53"/>
      <c r="U99" s="53"/>
    </row>
    <row r="100" spans="4:21" x14ac:dyDescent="0.3">
      <c r="D100" s="69"/>
      <c r="E100" s="54"/>
      <c r="F100" s="54"/>
      <c r="G100" s="54"/>
      <c r="H100" s="119"/>
      <c r="I100" s="140"/>
      <c r="J100" s="54"/>
      <c r="K100" s="54"/>
      <c r="L100" s="140"/>
      <c r="M100" s="54"/>
      <c r="N100" s="54"/>
      <c r="O100" s="54"/>
      <c r="P100" s="54"/>
      <c r="Q100" s="54"/>
      <c r="R100" s="54"/>
      <c r="S100" s="181"/>
      <c r="T100" s="54"/>
      <c r="U100" s="54"/>
    </row>
    <row r="101" spans="4:21" x14ac:dyDescent="0.3">
      <c r="D101" s="62"/>
      <c r="E101" s="53"/>
      <c r="F101" s="53"/>
      <c r="G101" s="53"/>
      <c r="H101" s="118"/>
      <c r="I101" s="141"/>
      <c r="J101" s="53"/>
      <c r="K101" s="53"/>
      <c r="L101" s="141"/>
      <c r="M101" s="53"/>
      <c r="N101" s="53"/>
      <c r="O101" s="53"/>
      <c r="P101" s="53"/>
      <c r="Q101" s="53"/>
      <c r="R101" s="53"/>
      <c r="S101" s="180"/>
      <c r="T101" s="53"/>
      <c r="U101" s="53"/>
    </row>
    <row r="102" spans="4:21" x14ac:dyDescent="0.3">
      <c r="D102" s="69"/>
      <c r="E102" s="54"/>
      <c r="F102" s="54"/>
      <c r="G102" s="54"/>
      <c r="H102" s="119"/>
      <c r="I102" s="140"/>
      <c r="J102" s="54"/>
      <c r="K102" s="54"/>
      <c r="L102" s="140"/>
      <c r="M102" s="54"/>
      <c r="N102" s="54"/>
      <c r="O102" s="54"/>
      <c r="P102" s="54"/>
      <c r="Q102" s="54"/>
      <c r="R102" s="54"/>
      <c r="S102" s="181"/>
      <c r="T102" s="54"/>
      <c r="U102" s="54"/>
    </row>
    <row r="103" spans="4:21" x14ac:dyDescent="0.3">
      <c r="D103" s="62"/>
      <c r="E103" s="53"/>
      <c r="F103" s="53"/>
      <c r="G103" s="53"/>
      <c r="H103" s="118"/>
      <c r="I103" s="141"/>
      <c r="J103" s="53"/>
      <c r="K103" s="53"/>
      <c r="L103" s="141"/>
      <c r="M103" s="53"/>
      <c r="N103" s="53"/>
      <c r="O103" s="53"/>
      <c r="P103" s="53"/>
      <c r="Q103" s="53"/>
      <c r="R103" s="53"/>
      <c r="S103" s="180"/>
      <c r="T103" s="53"/>
      <c r="U103" s="53"/>
    </row>
    <row r="104" spans="4:21" x14ac:dyDescent="0.3">
      <c r="D104" s="69"/>
      <c r="E104" s="54"/>
      <c r="F104" s="54"/>
      <c r="G104" s="54"/>
      <c r="H104" s="119"/>
      <c r="I104" s="140"/>
      <c r="J104" s="54"/>
      <c r="K104" s="54"/>
      <c r="L104" s="140"/>
      <c r="M104" s="54"/>
      <c r="N104" s="54"/>
      <c r="O104" s="54"/>
      <c r="P104" s="54"/>
      <c r="Q104" s="54"/>
      <c r="R104" s="54"/>
      <c r="S104" s="181"/>
      <c r="T104" s="54"/>
      <c r="U104" s="54"/>
    </row>
    <row r="105" spans="4:21" x14ac:dyDescent="0.3">
      <c r="D105" s="62"/>
      <c r="E105" s="53"/>
      <c r="F105" s="53"/>
      <c r="G105" s="53"/>
      <c r="H105" s="118"/>
      <c r="I105" s="141"/>
      <c r="J105" s="53"/>
      <c r="K105" s="53"/>
      <c r="L105" s="141"/>
      <c r="M105" s="53"/>
      <c r="N105" s="53"/>
      <c r="O105" s="53"/>
      <c r="P105" s="53"/>
      <c r="Q105" s="53"/>
      <c r="R105" s="53"/>
      <c r="S105" s="180"/>
      <c r="T105" s="53"/>
      <c r="U105" s="53"/>
    </row>
    <row r="106" spans="4:21" x14ac:dyDescent="0.3">
      <c r="D106" s="69"/>
      <c r="E106" s="54"/>
      <c r="F106" s="54"/>
      <c r="G106" s="54"/>
      <c r="H106" s="119"/>
      <c r="I106" s="140"/>
      <c r="J106" s="54"/>
      <c r="K106" s="54"/>
      <c r="L106" s="140"/>
      <c r="M106" s="54"/>
      <c r="N106" s="54"/>
      <c r="O106" s="54"/>
      <c r="P106" s="54"/>
      <c r="Q106" s="54"/>
      <c r="R106" s="54"/>
      <c r="S106" s="181"/>
      <c r="T106" s="54"/>
      <c r="U106" s="54"/>
    </row>
    <row r="107" spans="4:21" x14ac:dyDescent="0.3">
      <c r="D107" s="62"/>
      <c r="E107" s="53"/>
      <c r="F107" s="53"/>
      <c r="G107" s="53"/>
      <c r="H107" s="118"/>
      <c r="I107" s="141"/>
      <c r="J107" s="53"/>
      <c r="K107" s="53"/>
      <c r="L107" s="141"/>
      <c r="M107" s="53"/>
      <c r="N107" s="53"/>
      <c r="O107" s="53"/>
      <c r="P107" s="53"/>
      <c r="Q107" s="53"/>
      <c r="R107" s="53"/>
      <c r="S107" s="180"/>
      <c r="T107" s="53"/>
      <c r="U107" s="53"/>
    </row>
    <row r="108" spans="4:21" x14ac:dyDescent="0.3">
      <c r="D108" s="69"/>
      <c r="E108" s="54"/>
      <c r="F108" s="54"/>
      <c r="G108" s="54"/>
      <c r="H108" s="119"/>
      <c r="I108" s="140"/>
      <c r="J108" s="54"/>
      <c r="K108" s="54"/>
      <c r="L108" s="140"/>
      <c r="M108" s="54"/>
      <c r="N108" s="54"/>
      <c r="O108" s="54"/>
      <c r="P108" s="54"/>
      <c r="Q108" s="54"/>
      <c r="R108" s="54"/>
      <c r="S108" s="181"/>
      <c r="T108" s="54"/>
      <c r="U108" s="54"/>
    </row>
    <row r="109" spans="4:21" x14ac:dyDescent="0.3">
      <c r="D109" s="62"/>
      <c r="E109" s="53"/>
      <c r="F109" s="53"/>
      <c r="G109" s="53"/>
      <c r="H109" s="118"/>
      <c r="I109" s="141"/>
      <c r="J109" s="53"/>
      <c r="K109" s="53"/>
      <c r="L109" s="141"/>
      <c r="M109" s="53"/>
      <c r="N109" s="53"/>
      <c r="O109" s="53"/>
      <c r="P109" s="53"/>
      <c r="Q109" s="53"/>
      <c r="R109" s="53"/>
      <c r="S109" s="180"/>
      <c r="T109" s="53"/>
      <c r="U109" s="53"/>
    </row>
    <row r="110" spans="4:21" x14ac:dyDescent="0.3">
      <c r="D110" s="69"/>
      <c r="E110" s="54"/>
      <c r="F110" s="54"/>
      <c r="G110" s="54"/>
      <c r="H110" s="119"/>
      <c r="I110" s="140"/>
      <c r="J110" s="54"/>
      <c r="K110" s="54"/>
      <c r="L110" s="140"/>
      <c r="M110" s="54"/>
      <c r="N110" s="54"/>
      <c r="O110" s="54"/>
      <c r="P110" s="54"/>
      <c r="Q110" s="54"/>
      <c r="R110" s="54"/>
      <c r="S110" s="181"/>
      <c r="T110" s="54"/>
      <c r="U110" s="54"/>
    </row>
    <row r="111" spans="4:21" x14ac:dyDescent="0.3">
      <c r="D111" s="62"/>
      <c r="E111" s="53"/>
      <c r="F111" s="53"/>
      <c r="G111" s="53"/>
      <c r="H111" s="118"/>
      <c r="I111" s="141"/>
      <c r="J111" s="53"/>
      <c r="K111" s="53"/>
      <c r="L111" s="141"/>
      <c r="M111" s="53"/>
      <c r="N111" s="53"/>
      <c r="O111" s="53"/>
      <c r="P111" s="53"/>
      <c r="Q111" s="53"/>
      <c r="R111" s="53"/>
      <c r="S111" s="180"/>
      <c r="T111" s="53"/>
      <c r="U111" s="53"/>
    </row>
    <row r="112" spans="4:21" x14ac:dyDescent="0.3">
      <c r="D112" s="69"/>
      <c r="E112" s="54"/>
      <c r="F112" s="54"/>
      <c r="G112" s="54"/>
      <c r="H112" s="119"/>
      <c r="I112" s="140"/>
      <c r="J112" s="54"/>
      <c r="K112" s="54"/>
      <c r="L112" s="140"/>
      <c r="M112" s="54"/>
      <c r="N112" s="54"/>
      <c r="O112" s="54"/>
      <c r="P112" s="54"/>
      <c r="Q112" s="54"/>
      <c r="R112" s="54"/>
      <c r="S112" s="181"/>
      <c r="T112" s="54"/>
      <c r="U112" s="54"/>
    </row>
    <row r="113" spans="4:21" x14ac:dyDescent="0.3">
      <c r="D113" s="62"/>
      <c r="E113" s="53"/>
      <c r="F113" s="53"/>
      <c r="G113" s="53"/>
      <c r="H113" s="118"/>
      <c r="I113" s="141"/>
      <c r="J113" s="53"/>
      <c r="K113" s="53"/>
      <c r="L113" s="141"/>
      <c r="M113" s="53"/>
      <c r="N113" s="53"/>
      <c r="O113" s="53"/>
      <c r="P113" s="53"/>
      <c r="Q113" s="53"/>
      <c r="R113" s="53"/>
      <c r="S113" s="180"/>
      <c r="T113" s="53"/>
      <c r="U113" s="53"/>
    </row>
    <row r="114" spans="4:21" x14ac:dyDescent="0.3">
      <c r="D114" s="69"/>
      <c r="E114" s="54"/>
      <c r="F114" s="54"/>
      <c r="G114" s="54"/>
      <c r="H114" s="119"/>
      <c r="I114" s="140"/>
      <c r="J114" s="54"/>
      <c r="K114" s="54"/>
      <c r="L114" s="140"/>
      <c r="M114" s="54"/>
      <c r="N114" s="54"/>
      <c r="O114" s="54"/>
      <c r="P114" s="54"/>
      <c r="Q114" s="54"/>
      <c r="R114" s="54"/>
      <c r="S114" s="181"/>
      <c r="T114" s="54"/>
      <c r="U114" s="54"/>
    </row>
    <row r="115" spans="4:21" x14ac:dyDescent="0.3">
      <c r="D115" s="62"/>
      <c r="E115" s="53"/>
      <c r="F115" s="53"/>
      <c r="G115" s="53"/>
      <c r="H115" s="118"/>
      <c r="I115" s="141"/>
      <c r="J115" s="53"/>
      <c r="K115" s="53"/>
      <c r="L115" s="141"/>
      <c r="M115" s="53"/>
      <c r="N115" s="53"/>
      <c r="O115" s="53"/>
      <c r="P115" s="53"/>
      <c r="Q115" s="53"/>
      <c r="R115" s="53"/>
      <c r="S115" s="180"/>
      <c r="T115" s="53"/>
      <c r="U115" s="53"/>
    </row>
    <row r="116" spans="4:21" x14ac:dyDescent="0.3">
      <c r="D116" s="69"/>
      <c r="E116" s="54"/>
      <c r="F116" s="54"/>
      <c r="G116" s="54"/>
      <c r="H116" s="119"/>
      <c r="I116" s="140"/>
      <c r="J116" s="54"/>
      <c r="K116" s="54"/>
      <c r="L116" s="140"/>
      <c r="M116" s="54"/>
      <c r="N116" s="54"/>
      <c r="O116" s="54"/>
      <c r="P116" s="54"/>
      <c r="Q116" s="54"/>
      <c r="R116" s="54"/>
      <c r="S116" s="181"/>
      <c r="T116" s="54"/>
      <c r="U116" s="54"/>
    </row>
    <row r="117" spans="4:21" x14ac:dyDescent="0.3">
      <c r="D117" s="62"/>
      <c r="E117" s="53"/>
      <c r="F117" s="53"/>
      <c r="G117" s="53"/>
      <c r="H117" s="118"/>
      <c r="I117" s="141"/>
      <c r="J117" s="53"/>
      <c r="K117" s="53"/>
      <c r="L117" s="141"/>
      <c r="M117" s="53"/>
      <c r="N117" s="53"/>
      <c r="O117" s="53"/>
      <c r="P117" s="53"/>
      <c r="Q117" s="53"/>
      <c r="R117" s="53"/>
      <c r="S117" s="180"/>
      <c r="T117" s="53"/>
      <c r="U117" s="53"/>
    </row>
    <row r="118" spans="4:21" x14ac:dyDescent="0.3">
      <c r="D118" s="69"/>
      <c r="E118" s="54"/>
      <c r="F118" s="54"/>
      <c r="G118" s="54"/>
      <c r="H118" s="119"/>
      <c r="I118" s="140"/>
      <c r="J118" s="54"/>
      <c r="K118" s="54"/>
      <c r="L118" s="140"/>
      <c r="M118" s="54"/>
      <c r="N118" s="54"/>
      <c r="O118" s="54"/>
      <c r="P118" s="54"/>
      <c r="Q118" s="54"/>
      <c r="R118" s="54"/>
      <c r="S118" s="181"/>
      <c r="T118" s="54"/>
      <c r="U118" s="54"/>
    </row>
    <row r="119" spans="4:21" x14ac:dyDescent="0.3">
      <c r="D119" s="62"/>
      <c r="E119" s="53"/>
      <c r="F119" s="53"/>
      <c r="G119" s="53"/>
      <c r="H119" s="118"/>
      <c r="I119" s="141"/>
      <c r="J119" s="53"/>
      <c r="K119" s="53"/>
      <c r="L119" s="141"/>
      <c r="M119" s="53"/>
      <c r="N119" s="53"/>
      <c r="O119" s="53"/>
      <c r="P119" s="53"/>
      <c r="Q119" s="53"/>
      <c r="R119" s="53"/>
      <c r="S119" s="180"/>
      <c r="T119" s="53"/>
      <c r="U119" s="53"/>
    </row>
    <row r="120" spans="4:21" x14ac:dyDescent="0.3">
      <c r="D120" s="69"/>
      <c r="E120" s="54"/>
      <c r="F120" s="54"/>
      <c r="G120" s="54"/>
      <c r="H120" s="119"/>
      <c r="I120" s="140"/>
      <c r="J120" s="54"/>
      <c r="K120" s="54"/>
      <c r="L120" s="140"/>
      <c r="M120" s="54"/>
      <c r="N120" s="54"/>
      <c r="O120" s="54"/>
      <c r="P120" s="54"/>
      <c r="Q120" s="54"/>
      <c r="R120" s="54"/>
      <c r="S120" s="181"/>
      <c r="T120" s="54"/>
      <c r="U120" s="54"/>
    </row>
    <row r="121" spans="4:21" x14ac:dyDescent="0.3">
      <c r="D121" s="62"/>
      <c r="E121" s="53"/>
      <c r="F121" s="53"/>
      <c r="G121" s="53"/>
      <c r="H121" s="118"/>
      <c r="I121" s="141"/>
      <c r="J121" s="53"/>
      <c r="K121" s="53"/>
      <c r="L121" s="141"/>
      <c r="M121" s="53"/>
      <c r="N121" s="53"/>
      <c r="O121" s="53"/>
      <c r="P121" s="53"/>
      <c r="Q121" s="53"/>
      <c r="R121" s="53"/>
      <c r="S121" s="180"/>
      <c r="T121" s="53"/>
      <c r="U121" s="53"/>
    </row>
    <row r="122" spans="4:21" x14ac:dyDescent="0.3">
      <c r="D122" s="69"/>
      <c r="E122" s="54"/>
      <c r="F122" s="54"/>
      <c r="G122" s="54"/>
      <c r="H122" s="119"/>
      <c r="I122" s="140"/>
      <c r="J122" s="54"/>
      <c r="K122" s="54"/>
      <c r="L122" s="140"/>
      <c r="M122" s="54"/>
      <c r="N122" s="54"/>
      <c r="O122" s="54"/>
      <c r="P122" s="54"/>
      <c r="Q122" s="54"/>
      <c r="R122" s="54"/>
      <c r="S122" s="181"/>
      <c r="T122" s="54"/>
      <c r="U122" s="54"/>
    </row>
    <row r="123" spans="4:21" x14ac:dyDescent="0.3">
      <c r="D123" s="62"/>
      <c r="E123" s="53"/>
      <c r="F123" s="53"/>
      <c r="G123" s="53"/>
      <c r="H123" s="118"/>
      <c r="I123" s="141"/>
      <c r="J123" s="53"/>
      <c r="K123" s="53"/>
      <c r="L123" s="141"/>
      <c r="M123" s="53"/>
      <c r="N123" s="53"/>
      <c r="O123" s="53"/>
      <c r="P123" s="53"/>
      <c r="Q123" s="53"/>
      <c r="R123" s="53"/>
      <c r="S123" s="180"/>
      <c r="T123" s="53"/>
      <c r="U123" s="53"/>
    </row>
    <row r="124" spans="4:21" x14ac:dyDescent="0.3">
      <c r="D124" s="69"/>
      <c r="E124" s="54"/>
      <c r="F124" s="54"/>
      <c r="G124" s="54"/>
      <c r="H124" s="119"/>
      <c r="I124" s="140"/>
      <c r="J124" s="54"/>
      <c r="K124" s="54"/>
      <c r="L124" s="140"/>
      <c r="M124" s="54"/>
      <c r="N124" s="54"/>
      <c r="O124" s="54"/>
      <c r="P124" s="54"/>
      <c r="Q124" s="54"/>
      <c r="R124" s="54"/>
      <c r="S124" s="181"/>
      <c r="T124" s="54"/>
      <c r="U124" s="54"/>
    </row>
    <row r="125" spans="4:21" x14ac:dyDescent="0.3">
      <c r="D125" s="62"/>
      <c r="E125" s="53"/>
      <c r="F125" s="53"/>
      <c r="G125" s="53"/>
      <c r="H125" s="118"/>
      <c r="I125" s="141"/>
      <c r="J125" s="53"/>
      <c r="K125" s="53"/>
      <c r="L125" s="141"/>
      <c r="M125" s="53"/>
      <c r="N125" s="53"/>
      <c r="O125" s="53"/>
      <c r="P125" s="53"/>
      <c r="Q125" s="53"/>
      <c r="R125" s="53"/>
      <c r="S125" s="180"/>
      <c r="T125" s="53"/>
      <c r="U125" s="53"/>
    </row>
    <row r="126" spans="4:21" x14ac:dyDescent="0.3">
      <c r="D126" s="69"/>
      <c r="E126" s="54"/>
      <c r="F126" s="54"/>
      <c r="G126" s="54"/>
      <c r="H126" s="119"/>
      <c r="I126" s="140"/>
      <c r="J126" s="54"/>
      <c r="K126" s="54"/>
      <c r="L126" s="140"/>
      <c r="M126" s="54"/>
      <c r="N126" s="54"/>
      <c r="O126" s="54"/>
      <c r="P126" s="54"/>
      <c r="Q126" s="54"/>
      <c r="R126" s="54"/>
      <c r="S126" s="181"/>
      <c r="T126" s="54"/>
      <c r="U126" s="54"/>
    </row>
    <row r="127" spans="4:21" x14ac:dyDescent="0.3">
      <c r="D127" s="62"/>
      <c r="E127" s="53"/>
      <c r="F127" s="53"/>
      <c r="G127" s="53"/>
      <c r="H127" s="118"/>
      <c r="I127" s="141"/>
      <c r="J127" s="53"/>
      <c r="K127" s="53"/>
      <c r="L127" s="141"/>
      <c r="M127" s="53"/>
      <c r="N127" s="53"/>
      <c r="O127" s="53"/>
      <c r="P127" s="53"/>
      <c r="Q127" s="53"/>
      <c r="R127" s="53"/>
      <c r="S127" s="180"/>
      <c r="T127" s="53"/>
      <c r="U127" s="53"/>
    </row>
    <row r="128" spans="4:21" x14ac:dyDescent="0.3">
      <c r="D128" s="69"/>
      <c r="E128" s="54"/>
      <c r="F128" s="54"/>
      <c r="G128" s="54"/>
      <c r="H128" s="119"/>
      <c r="I128" s="140"/>
      <c r="J128" s="54"/>
      <c r="K128" s="54"/>
      <c r="L128" s="140"/>
      <c r="M128" s="54"/>
      <c r="N128" s="54"/>
      <c r="O128" s="54"/>
      <c r="P128" s="54"/>
      <c r="Q128" s="54"/>
      <c r="R128" s="54"/>
      <c r="S128" s="181"/>
      <c r="T128" s="54"/>
      <c r="U128" s="54"/>
    </row>
    <row r="129" spans="4:21" x14ac:dyDescent="0.3">
      <c r="D129" s="62"/>
      <c r="E129" s="53"/>
      <c r="F129" s="53"/>
      <c r="G129" s="53"/>
      <c r="H129" s="118"/>
      <c r="I129" s="141"/>
      <c r="J129" s="53"/>
      <c r="K129" s="53"/>
      <c r="L129" s="141"/>
      <c r="M129" s="53"/>
      <c r="N129" s="53"/>
      <c r="O129" s="53"/>
      <c r="P129" s="53"/>
      <c r="Q129" s="53"/>
      <c r="R129" s="53"/>
      <c r="S129" s="180"/>
      <c r="T129" s="53"/>
      <c r="U129" s="53"/>
    </row>
    <row r="130" spans="4:21" x14ac:dyDescent="0.3">
      <c r="D130" s="69"/>
      <c r="E130" s="54"/>
      <c r="F130" s="54"/>
      <c r="G130" s="54"/>
      <c r="H130" s="119"/>
      <c r="I130" s="140"/>
      <c r="J130" s="54"/>
      <c r="K130" s="54"/>
      <c r="L130" s="140"/>
      <c r="M130" s="54"/>
      <c r="N130" s="54"/>
      <c r="O130" s="54"/>
      <c r="P130" s="54"/>
      <c r="Q130" s="54"/>
      <c r="R130" s="54"/>
      <c r="S130" s="181"/>
      <c r="T130" s="54"/>
      <c r="U130" s="54"/>
    </row>
    <row r="131" spans="4:21" x14ac:dyDescent="0.3">
      <c r="D131" s="62"/>
      <c r="E131" s="53"/>
      <c r="F131" s="53"/>
      <c r="G131" s="53"/>
      <c r="H131" s="118"/>
      <c r="I131" s="141"/>
      <c r="J131" s="53"/>
      <c r="K131" s="53"/>
      <c r="L131" s="141"/>
      <c r="M131" s="53"/>
      <c r="N131" s="53"/>
      <c r="O131" s="53"/>
      <c r="P131" s="53"/>
      <c r="Q131" s="53"/>
      <c r="R131" s="53"/>
      <c r="S131" s="180"/>
      <c r="T131" s="53"/>
      <c r="U131" s="53"/>
    </row>
    <row r="132" spans="4:21" x14ac:dyDescent="0.3">
      <c r="D132" s="69"/>
      <c r="E132" s="54"/>
      <c r="F132" s="54"/>
      <c r="G132" s="54"/>
      <c r="H132" s="119"/>
      <c r="I132" s="140"/>
      <c r="J132" s="54"/>
      <c r="K132" s="54"/>
      <c r="L132" s="140"/>
      <c r="M132" s="54"/>
      <c r="N132" s="54"/>
      <c r="O132" s="54"/>
      <c r="P132" s="54"/>
      <c r="Q132" s="54"/>
      <c r="R132" s="54"/>
      <c r="S132" s="181"/>
      <c r="T132" s="54"/>
      <c r="U132" s="54"/>
    </row>
    <row r="133" spans="4:21" x14ac:dyDescent="0.3">
      <c r="D133" s="62"/>
      <c r="E133" s="53"/>
      <c r="F133" s="53"/>
      <c r="G133" s="53"/>
      <c r="H133" s="118"/>
      <c r="I133" s="141"/>
      <c r="J133" s="53"/>
      <c r="K133" s="53"/>
      <c r="L133" s="141"/>
      <c r="M133" s="53"/>
      <c r="N133" s="53"/>
      <c r="O133" s="53"/>
      <c r="P133" s="53"/>
      <c r="Q133" s="53"/>
      <c r="R133" s="53"/>
      <c r="S133" s="180"/>
      <c r="T133" s="53"/>
      <c r="U133" s="53"/>
    </row>
    <row r="134" spans="4:21" x14ac:dyDescent="0.3">
      <c r="D134" s="69"/>
      <c r="E134" s="54"/>
      <c r="F134" s="54"/>
      <c r="G134" s="54"/>
      <c r="H134" s="119"/>
      <c r="I134" s="140"/>
      <c r="J134" s="54"/>
      <c r="K134" s="54"/>
      <c r="L134" s="140"/>
      <c r="M134" s="54"/>
      <c r="N134" s="54"/>
      <c r="O134" s="54"/>
      <c r="P134" s="54"/>
      <c r="Q134" s="54"/>
      <c r="R134" s="54"/>
      <c r="S134" s="181"/>
      <c r="T134" s="54"/>
      <c r="U134" s="54"/>
    </row>
    <row r="135" spans="4:21" x14ac:dyDescent="0.3">
      <c r="D135" s="62"/>
      <c r="E135" s="53"/>
      <c r="F135" s="53"/>
      <c r="G135" s="53"/>
      <c r="H135" s="118"/>
      <c r="I135" s="141"/>
      <c r="J135" s="53"/>
      <c r="K135" s="53"/>
      <c r="L135" s="141"/>
      <c r="M135" s="53"/>
      <c r="N135" s="53"/>
      <c r="O135" s="53"/>
      <c r="P135" s="53"/>
      <c r="Q135" s="53"/>
      <c r="R135" s="53"/>
      <c r="S135" s="180"/>
      <c r="T135" s="53"/>
      <c r="U135" s="53"/>
    </row>
    <row r="136" spans="4:21" x14ac:dyDescent="0.3">
      <c r="D136" s="69"/>
      <c r="E136" s="54"/>
      <c r="F136" s="54"/>
      <c r="G136" s="54"/>
      <c r="H136" s="119"/>
      <c r="I136" s="140"/>
      <c r="J136" s="54"/>
      <c r="K136" s="54"/>
      <c r="L136" s="140"/>
      <c r="M136" s="54"/>
      <c r="N136" s="54"/>
      <c r="O136" s="54"/>
      <c r="P136" s="54"/>
      <c r="Q136" s="54"/>
      <c r="R136" s="54"/>
      <c r="S136" s="181"/>
      <c r="T136" s="54"/>
      <c r="U136" s="54"/>
    </row>
    <row r="137" spans="4:21" x14ac:dyDescent="0.3">
      <c r="D137" s="62"/>
      <c r="E137" s="53"/>
      <c r="F137" s="53"/>
      <c r="G137" s="53"/>
      <c r="H137" s="118"/>
      <c r="I137" s="141"/>
      <c r="J137" s="53"/>
      <c r="K137" s="53"/>
      <c r="L137" s="141"/>
      <c r="M137" s="53"/>
      <c r="N137" s="53"/>
      <c r="O137" s="53"/>
      <c r="P137" s="53"/>
      <c r="Q137" s="53"/>
      <c r="R137" s="53"/>
      <c r="S137" s="180"/>
      <c r="T137" s="53"/>
      <c r="U137" s="53"/>
    </row>
    <row r="138" spans="4:21" x14ac:dyDescent="0.3">
      <c r="D138" s="69"/>
      <c r="E138" s="54"/>
      <c r="F138" s="54"/>
      <c r="G138" s="54"/>
      <c r="H138" s="119"/>
      <c r="I138" s="140"/>
      <c r="J138" s="54"/>
      <c r="K138" s="54"/>
      <c r="L138" s="140"/>
      <c r="M138" s="54"/>
      <c r="N138" s="54"/>
      <c r="O138" s="54"/>
      <c r="P138" s="54"/>
      <c r="Q138" s="54"/>
      <c r="R138" s="54"/>
      <c r="S138" s="181"/>
      <c r="T138" s="54"/>
      <c r="U138" s="54"/>
    </row>
    <row r="139" spans="4:21" x14ac:dyDescent="0.3">
      <c r="D139" s="62"/>
      <c r="E139" s="53"/>
      <c r="F139" s="53"/>
      <c r="G139" s="53"/>
      <c r="H139" s="118"/>
      <c r="I139" s="141"/>
      <c r="J139" s="53"/>
      <c r="K139" s="53"/>
      <c r="L139" s="141"/>
      <c r="M139" s="53"/>
      <c r="N139" s="53"/>
      <c r="O139" s="53"/>
      <c r="P139" s="53"/>
      <c r="Q139" s="53"/>
      <c r="R139" s="53"/>
      <c r="S139" s="180"/>
      <c r="T139" s="53"/>
      <c r="U139" s="53"/>
    </row>
    <row r="140" spans="4:21" x14ac:dyDescent="0.3">
      <c r="D140" s="69"/>
      <c r="E140" s="54"/>
      <c r="F140" s="54"/>
      <c r="G140" s="54"/>
      <c r="H140" s="119"/>
      <c r="I140" s="140"/>
      <c r="J140" s="54"/>
      <c r="K140" s="54"/>
      <c r="L140" s="140"/>
      <c r="M140" s="54"/>
      <c r="N140" s="54"/>
      <c r="O140" s="54"/>
      <c r="P140" s="54"/>
      <c r="Q140" s="54"/>
      <c r="R140" s="54"/>
      <c r="S140" s="181"/>
      <c r="T140" s="54"/>
      <c r="U140" s="54"/>
    </row>
    <row r="141" spans="4:21" x14ac:dyDescent="0.3">
      <c r="D141" s="62"/>
      <c r="E141" s="53"/>
      <c r="F141" s="53"/>
      <c r="G141" s="53"/>
      <c r="H141" s="118"/>
      <c r="I141" s="141"/>
      <c r="J141" s="53"/>
      <c r="K141" s="53"/>
      <c r="L141" s="141"/>
      <c r="M141" s="53"/>
      <c r="N141" s="53"/>
      <c r="O141" s="53"/>
      <c r="P141" s="53"/>
      <c r="Q141" s="53"/>
      <c r="R141" s="53"/>
      <c r="S141" s="180"/>
      <c r="T141" s="53"/>
      <c r="U141" s="53"/>
    </row>
    <row r="142" spans="4:21" x14ac:dyDescent="0.3">
      <c r="D142" s="69"/>
      <c r="E142" s="54"/>
      <c r="F142" s="54"/>
      <c r="G142" s="54"/>
      <c r="H142" s="119"/>
      <c r="I142" s="140"/>
      <c r="J142" s="54"/>
      <c r="K142" s="54"/>
      <c r="L142" s="140"/>
      <c r="M142" s="54"/>
      <c r="N142" s="54"/>
      <c r="O142" s="54"/>
      <c r="P142" s="54"/>
      <c r="Q142" s="54"/>
      <c r="R142" s="54"/>
      <c r="S142" s="181"/>
      <c r="T142" s="54"/>
      <c r="U142" s="54"/>
    </row>
    <row r="143" spans="4:21" x14ac:dyDescent="0.3">
      <c r="D143" s="62"/>
      <c r="E143" s="53"/>
      <c r="F143" s="53"/>
      <c r="G143" s="53"/>
      <c r="H143" s="118"/>
      <c r="I143" s="141"/>
      <c r="J143" s="53"/>
      <c r="K143" s="53"/>
      <c r="L143" s="141"/>
      <c r="M143" s="53"/>
      <c r="N143" s="53"/>
      <c r="O143" s="53"/>
      <c r="P143" s="53"/>
      <c r="Q143" s="53"/>
      <c r="R143" s="53"/>
      <c r="S143" s="180"/>
      <c r="T143" s="53"/>
      <c r="U143" s="53"/>
    </row>
    <row r="144" spans="4:21" x14ac:dyDescent="0.3">
      <c r="D144" s="69"/>
      <c r="E144" s="54"/>
      <c r="F144" s="54"/>
      <c r="G144" s="54"/>
      <c r="H144" s="119"/>
      <c r="I144" s="140"/>
      <c r="J144" s="54"/>
      <c r="K144" s="54"/>
      <c r="L144" s="140"/>
      <c r="M144" s="54"/>
      <c r="N144" s="54"/>
      <c r="O144" s="54"/>
      <c r="P144" s="54"/>
      <c r="Q144" s="54"/>
      <c r="R144" s="54"/>
      <c r="S144" s="181"/>
      <c r="T144" s="54"/>
      <c r="U144" s="54"/>
    </row>
    <row r="145" spans="4:21" x14ac:dyDescent="0.3">
      <c r="D145" s="62"/>
      <c r="E145" s="53"/>
      <c r="F145" s="53"/>
      <c r="G145" s="53"/>
      <c r="H145" s="118"/>
      <c r="I145" s="141"/>
      <c r="J145" s="53"/>
      <c r="K145" s="53"/>
      <c r="L145" s="141"/>
      <c r="M145" s="53"/>
      <c r="N145" s="53"/>
      <c r="O145" s="53"/>
      <c r="P145" s="53"/>
      <c r="Q145" s="53"/>
      <c r="R145" s="53"/>
      <c r="S145" s="180"/>
      <c r="T145" s="53"/>
      <c r="U145" s="53"/>
    </row>
    <row r="146" spans="4:21" x14ac:dyDescent="0.3">
      <c r="D146" s="69"/>
      <c r="E146" s="54"/>
      <c r="F146" s="54"/>
      <c r="G146" s="54"/>
      <c r="H146" s="119"/>
      <c r="I146" s="140"/>
      <c r="J146" s="54"/>
      <c r="K146" s="54"/>
      <c r="L146" s="140"/>
      <c r="M146" s="54"/>
      <c r="N146" s="54"/>
      <c r="O146" s="54"/>
      <c r="P146" s="54"/>
      <c r="Q146" s="54"/>
      <c r="R146" s="54"/>
      <c r="S146" s="181"/>
      <c r="T146" s="54"/>
      <c r="U146" s="54"/>
    </row>
    <row r="147" spans="4:21" x14ac:dyDescent="0.3">
      <c r="D147" s="62"/>
      <c r="E147" s="53"/>
      <c r="F147" s="53"/>
      <c r="G147" s="53"/>
      <c r="H147" s="118"/>
      <c r="I147" s="141"/>
      <c r="J147" s="53"/>
      <c r="K147" s="53"/>
      <c r="L147" s="141"/>
      <c r="M147" s="53"/>
      <c r="N147" s="53"/>
      <c r="O147" s="53"/>
      <c r="P147" s="53"/>
      <c r="Q147" s="53"/>
      <c r="R147" s="53"/>
      <c r="S147" s="180"/>
      <c r="T147" s="53"/>
      <c r="U147" s="53"/>
    </row>
    <row r="148" spans="4:21" x14ac:dyDescent="0.3">
      <c r="D148" s="69"/>
      <c r="E148" s="54"/>
      <c r="F148" s="54"/>
      <c r="G148" s="54"/>
      <c r="H148" s="119"/>
      <c r="I148" s="140"/>
      <c r="J148" s="54"/>
      <c r="K148" s="54"/>
      <c r="L148" s="140"/>
      <c r="M148" s="54"/>
      <c r="N148" s="54"/>
      <c r="O148" s="54"/>
      <c r="P148" s="54"/>
      <c r="Q148" s="54"/>
      <c r="R148" s="54"/>
      <c r="S148" s="181"/>
      <c r="T148" s="54"/>
      <c r="U148" s="54"/>
    </row>
    <row r="149" spans="4:21" x14ac:dyDescent="0.3">
      <c r="D149" s="62"/>
      <c r="E149" s="53"/>
      <c r="F149" s="53"/>
      <c r="G149" s="53"/>
      <c r="H149" s="118"/>
      <c r="I149" s="141"/>
      <c r="J149" s="53"/>
      <c r="K149" s="53"/>
      <c r="L149" s="141"/>
      <c r="M149" s="53"/>
      <c r="N149" s="53"/>
      <c r="O149" s="53"/>
      <c r="P149" s="53"/>
      <c r="Q149" s="53"/>
      <c r="R149" s="53"/>
      <c r="S149" s="180"/>
      <c r="T149" s="53"/>
      <c r="U149" s="53"/>
    </row>
    <row r="150" spans="4:21" x14ac:dyDescent="0.3">
      <c r="D150" s="69"/>
      <c r="E150" s="54"/>
      <c r="F150" s="54"/>
      <c r="G150" s="54"/>
      <c r="H150" s="119"/>
      <c r="I150" s="140"/>
      <c r="J150" s="54"/>
      <c r="K150" s="54"/>
      <c r="L150" s="140"/>
      <c r="M150" s="54"/>
      <c r="N150" s="54"/>
      <c r="O150" s="54"/>
      <c r="P150" s="54"/>
      <c r="Q150" s="54"/>
      <c r="R150" s="54"/>
      <c r="S150" s="181"/>
      <c r="T150" s="54"/>
      <c r="U150" s="54"/>
    </row>
    <row r="151" spans="4:21" x14ac:dyDescent="0.3">
      <c r="D151" s="62"/>
      <c r="E151" s="53"/>
      <c r="F151" s="53"/>
      <c r="G151" s="53"/>
      <c r="H151" s="118"/>
      <c r="I151" s="141"/>
      <c r="J151" s="53"/>
      <c r="K151" s="53"/>
      <c r="L151" s="141"/>
      <c r="M151" s="53"/>
      <c r="N151" s="53"/>
      <c r="O151" s="53"/>
      <c r="P151" s="53"/>
      <c r="Q151" s="53"/>
      <c r="R151" s="53"/>
      <c r="S151" s="180"/>
      <c r="T151" s="53"/>
      <c r="U151" s="53"/>
    </row>
    <row r="152" spans="4:21" x14ac:dyDescent="0.3">
      <c r="D152" s="69"/>
      <c r="E152" s="54"/>
      <c r="F152" s="54"/>
      <c r="G152" s="54"/>
      <c r="H152" s="119"/>
      <c r="I152" s="140"/>
      <c r="J152" s="54"/>
      <c r="K152" s="54"/>
      <c r="L152" s="140"/>
      <c r="M152" s="54"/>
      <c r="N152" s="54"/>
      <c r="O152" s="54"/>
      <c r="P152" s="54"/>
      <c r="Q152" s="54"/>
      <c r="R152" s="54"/>
      <c r="S152" s="181"/>
      <c r="T152" s="54"/>
      <c r="U152" s="54"/>
    </row>
    <row r="153" spans="4:21" x14ac:dyDescent="0.3">
      <c r="D153" s="62"/>
      <c r="E153" s="53"/>
      <c r="F153" s="53"/>
      <c r="G153" s="53"/>
      <c r="H153" s="118"/>
      <c r="I153" s="141"/>
      <c r="J153" s="53"/>
      <c r="K153" s="53"/>
      <c r="L153" s="141"/>
      <c r="M153" s="53"/>
      <c r="N153" s="53"/>
      <c r="O153" s="53"/>
      <c r="P153" s="53"/>
      <c r="Q153" s="53"/>
      <c r="R153" s="53"/>
      <c r="S153" s="180"/>
      <c r="T153" s="53"/>
      <c r="U153" s="53"/>
    </row>
    <row r="154" spans="4:21" x14ac:dyDescent="0.3">
      <c r="D154" s="69"/>
      <c r="E154" s="54"/>
      <c r="F154" s="54"/>
      <c r="G154" s="54"/>
      <c r="H154" s="119"/>
      <c r="I154" s="140"/>
      <c r="J154" s="54"/>
      <c r="K154" s="54"/>
      <c r="L154" s="140"/>
      <c r="M154" s="54"/>
      <c r="N154" s="54"/>
      <c r="O154" s="54"/>
      <c r="P154" s="54"/>
      <c r="Q154" s="54"/>
      <c r="R154" s="54"/>
      <c r="S154" s="181"/>
      <c r="T154" s="54"/>
      <c r="U154" s="54"/>
    </row>
    <row r="155" spans="4:21" x14ac:dyDescent="0.3">
      <c r="D155" s="62"/>
      <c r="E155" s="53"/>
      <c r="F155" s="53"/>
      <c r="G155" s="53"/>
      <c r="H155" s="118"/>
      <c r="I155" s="141"/>
      <c r="J155" s="53"/>
      <c r="K155" s="53"/>
      <c r="L155" s="141"/>
      <c r="M155" s="53"/>
      <c r="N155" s="53"/>
      <c r="O155" s="53"/>
      <c r="P155" s="53"/>
      <c r="Q155" s="53"/>
      <c r="R155" s="53"/>
      <c r="S155" s="180"/>
      <c r="T155" s="53"/>
      <c r="U155" s="53"/>
    </row>
    <row r="156" spans="4:21" x14ac:dyDescent="0.3">
      <c r="D156" s="69"/>
      <c r="E156" s="54"/>
      <c r="F156" s="54"/>
      <c r="G156" s="54"/>
      <c r="H156" s="119"/>
      <c r="I156" s="140"/>
      <c r="J156" s="54"/>
      <c r="K156" s="54"/>
      <c r="L156" s="140"/>
      <c r="M156" s="54"/>
      <c r="N156" s="54"/>
      <c r="O156" s="54"/>
      <c r="P156" s="54"/>
      <c r="Q156" s="54"/>
      <c r="R156" s="54"/>
      <c r="S156" s="181"/>
      <c r="T156" s="54"/>
      <c r="U156" s="54"/>
    </row>
    <row r="157" spans="4:21" x14ac:dyDescent="0.3">
      <c r="D157" s="62"/>
      <c r="E157" s="53"/>
      <c r="F157" s="53"/>
      <c r="G157" s="53"/>
      <c r="H157" s="118"/>
      <c r="I157" s="141"/>
      <c r="J157" s="53"/>
      <c r="K157" s="53"/>
      <c r="L157" s="141"/>
      <c r="M157" s="53"/>
      <c r="N157" s="53"/>
      <c r="O157" s="53"/>
      <c r="P157" s="53"/>
      <c r="Q157" s="53"/>
      <c r="R157" s="53"/>
      <c r="S157" s="180"/>
      <c r="T157" s="53"/>
      <c r="U157" s="53"/>
    </row>
    <row r="158" spans="4:21" x14ac:dyDescent="0.3">
      <c r="D158" s="69"/>
      <c r="E158" s="54"/>
      <c r="F158" s="54"/>
      <c r="G158" s="54"/>
      <c r="H158" s="119"/>
      <c r="I158" s="140"/>
      <c r="J158" s="54"/>
      <c r="K158" s="54"/>
      <c r="L158" s="140"/>
      <c r="M158" s="54"/>
      <c r="N158" s="54"/>
      <c r="O158" s="54"/>
      <c r="P158" s="54"/>
      <c r="Q158" s="54"/>
      <c r="R158" s="54"/>
      <c r="S158" s="181"/>
      <c r="T158" s="54"/>
      <c r="U158" s="54"/>
    </row>
    <row r="159" spans="4:21" x14ac:dyDescent="0.3">
      <c r="D159" s="62"/>
      <c r="E159" s="53"/>
      <c r="F159" s="53"/>
      <c r="G159" s="53"/>
      <c r="H159" s="118"/>
      <c r="I159" s="141"/>
      <c r="J159" s="53"/>
      <c r="K159" s="53"/>
      <c r="L159" s="141"/>
      <c r="M159" s="53"/>
      <c r="N159" s="53"/>
      <c r="O159" s="53"/>
      <c r="P159" s="53"/>
      <c r="Q159" s="53"/>
      <c r="R159" s="53"/>
      <c r="S159" s="180"/>
      <c r="T159" s="53"/>
      <c r="U159" s="53"/>
    </row>
    <row r="160" spans="4:21" x14ac:dyDescent="0.3">
      <c r="D160" s="69"/>
      <c r="E160" s="54"/>
      <c r="F160" s="54"/>
      <c r="G160" s="54"/>
      <c r="H160" s="119"/>
      <c r="I160" s="140"/>
      <c r="J160" s="54"/>
      <c r="K160" s="54"/>
      <c r="L160" s="140"/>
      <c r="M160" s="54"/>
      <c r="N160" s="54"/>
      <c r="O160" s="54"/>
      <c r="P160" s="54"/>
      <c r="Q160" s="54"/>
      <c r="R160" s="54"/>
      <c r="S160" s="181"/>
      <c r="T160" s="54"/>
      <c r="U160" s="54"/>
    </row>
    <row r="161" spans="4:21" x14ac:dyDescent="0.3">
      <c r="D161" s="62"/>
      <c r="E161" s="53"/>
      <c r="F161" s="53"/>
      <c r="G161" s="53"/>
      <c r="H161" s="118"/>
      <c r="I161" s="141"/>
      <c r="J161" s="53"/>
      <c r="K161" s="53"/>
      <c r="L161" s="141"/>
      <c r="M161" s="53"/>
      <c r="N161" s="53"/>
      <c r="O161" s="53"/>
      <c r="P161" s="53"/>
      <c r="Q161" s="53"/>
      <c r="R161" s="53"/>
      <c r="S161" s="180"/>
      <c r="T161" s="53"/>
      <c r="U161" s="53"/>
    </row>
    <row r="162" spans="4:21" x14ac:dyDescent="0.3">
      <c r="D162" s="69"/>
      <c r="E162" s="54"/>
      <c r="F162" s="54"/>
      <c r="G162" s="54"/>
      <c r="H162" s="119"/>
      <c r="I162" s="140"/>
      <c r="J162" s="54"/>
      <c r="K162" s="54"/>
      <c r="L162" s="140"/>
      <c r="M162" s="54"/>
      <c r="N162" s="54"/>
      <c r="O162" s="54"/>
      <c r="P162" s="54"/>
      <c r="Q162" s="54"/>
      <c r="R162" s="54"/>
      <c r="S162" s="181"/>
      <c r="T162" s="54"/>
      <c r="U162" s="54"/>
    </row>
    <row r="163" spans="4:21" x14ac:dyDescent="0.3">
      <c r="D163" s="62"/>
      <c r="E163" s="53"/>
      <c r="F163" s="53"/>
      <c r="G163" s="53"/>
      <c r="H163" s="118"/>
      <c r="I163" s="141"/>
      <c r="J163" s="53"/>
      <c r="K163" s="53"/>
      <c r="L163" s="141"/>
      <c r="M163" s="53"/>
      <c r="N163" s="53"/>
      <c r="O163" s="53"/>
      <c r="P163" s="53"/>
      <c r="Q163" s="53"/>
      <c r="R163" s="53"/>
      <c r="S163" s="180"/>
      <c r="T163" s="53"/>
      <c r="U163" s="53"/>
    </row>
    <row r="164" spans="4:21" x14ac:dyDescent="0.3">
      <c r="D164" s="69"/>
      <c r="E164" s="54"/>
      <c r="F164" s="54"/>
      <c r="G164" s="54"/>
      <c r="H164" s="119"/>
      <c r="I164" s="140"/>
      <c r="J164" s="54"/>
      <c r="K164" s="54"/>
      <c r="L164" s="140"/>
      <c r="M164" s="54"/>
      <c r="N164" s="54"/>
      <c r="O164" s="54"/>
      <c r="P164" s="54"/>
      <c r="Q164" s="54"/>
      <c r="R164" s="54"/>
      <c r="S164" s="181"/>
      <c r="T164" s="54"/>
      <c r="U164" s="54"/>
    </row>
    <row r="165" spans="4:21" x14ac:dyDescent="0.3">
      <c r="D165" s="62"/>
      <c r="E165" s="53"/>
      <c r="F165" s="53"/>
      <c r="G165" s="53"/>
      <c r="H165" s="118"/>
      <c r="I165" s="141"/>
      <c r="J165" s="53"/>
      <c r="K165" s="53"/>
      <c r="L165" s="141"/>
      <c r="M165" s="53"/>
      <c r="N165" s="53"/>
      <c r="O165" s="53"/>
      <c r="P165" s="53"/>
      <c r="Q165" s="53"/>
      <c r="R165" s="53"/>
      <c r="S165" s="180"/>
      <c r="T165" s="53"/>
      <c r="U165" s="53"/>
    </row>
    <row r="166" spans="4:21" x14ac:dyDescent="0.3">
      <c r="D166" s="69"/>
      <c r="E166" s="54"/>
      <c r="F166" s="54"/>
      <c r="G166" s="54"/>
      <c r="H166" s="119"/>
      <c r="I166" s="140"/>
      <c r="J166" s="54"/>
      <c r="K166" s="54"/>
      <c r="L166" s="140"/>
      <c r="M166" s="54"/>
      <c r="N166" s="54"/>
      <c r="O166" s="54"/>
      <c r="P166" s="54"/>
      <c r="Q166" s="54"/>
      <c r="R166" s="54"/>
      <c r="S166" s="181"/>
      <c r="T166" s="54"/>
      <c r="U166" s="54"/>
    </row>
    <row r="167" spans="4:21" x14ac:dyDescent="0.3">
      <c r="D167" s="62"/>
      <c r="E167" s="53"/>
      <c r="F167" s="53"/>
      <c r="G167" s="53"/>
      <c r="H167" s="118"/>
      <c r="I167" s="141"/>
      <c r="J167" s="53"/>
      <c r="K167" s="53"/>
      <c r="L167" s="141"/>
      <c r="M167" s="53"/>
      <c r="N167" s="53"/>
      <c r="O167" s="53"/>
      <c r="P167" s="53"/>
      <c r="Q167" s="53"/>
      <c r="R167" s="53"/>
      <c r="S167" s="180"/>
      <c r="T167" s="53"/>
      <c r="U167" s="53"/>
    </row>
    <row r="168" spans="4:21" x14ac:dyDescent="0.3">
      <c r="D168" s="69"/>
      <c r="E168" s="54"/>
      <c r="F168" s="54"/>
      <c r="G168" s="54"/>
      <c r="H168" s="119"/>
      <c r="I168" s="140"/>
      <c r="J168" s="54"/>
      <c r="K168" s="54"/>
      <c r="L168" s="140"/>
      <c r="M168" s="54"/>
      <c r="N168" s="54"/>
      <c r="O168" s="54"/>
      <c r="P168" s="54"/>
      <c r="Q168" s="54"/>
      <c r="R168" s="54"/>
      <c r="S168" s="181"/>
      <c r="T168" s="54"/>
      <c r="U168" s="54"/>
    </row>
    <row r="169" spans="4:21" x14ac:dyDescent="0.3">
      <c r="D169" s="62"/>
      <c r="E169" s="53"/>
      <c r="F169" s="53"/>
      <c r="G169" s="53"/>
      <c r="H169" s="118"/>
      <c r="I169" s="141"/>
      <c r="J169" s="53"/>
      <c r="K169" s="53"/>
      <c r="L169" s="141"/>
      <c r="M169" s="53"/>
      <c r="N169" s="53"/>
      <c r="O169" s="53"/>
      <c r="P169" s="53"/>
      <c r="Q169" s="53"/>
      <c r="R169" s="53"/>
      <c r="S169" s="180"/>
      <c r="T169" s="53"/>
      <c r="U169" s="53"/>
    </row>
    <row r="170" spans="4:21" x14ac:dyDescent="0.3">
      <c r="D170" s="69"/>
      <c r="E170" s="54"/>
      <c r="F170" s="54"/>
      <c r="G170" s="54"/>
      <c r="H170" s="119"/>
      <c r="I170" s="140"/>
      <c r="J170" s="54"/>
      <c r="K170" s="54"/>
      <c r="L170" s="140"/>
      <c r="M170" s="54"/>
      <c r="N170" s="54"/>
      <c r="O170" s="54"/>
      <c r="P170" s="54"/>
      <c r="Q170" s="54"/>
      <c r="R170" s="54"/>
      <c r="S170" s="181"/>
      <c r="T170" s="54"/>
      <c r="U170" s="54"/>
    </row>
    <row r="171" spans="4:21" x14ac:dyDescent="0.3">
      <c r="D171" s="62"/>
      <c r="E171" s="53"/>
      <c r="F171" s="53"/>
      <c r="G171" s="53"/>
      <c r="H171" s="118"/>
      <c r="I171" s="141"/>
      <c r="J171" s="53"/>
      <c r="K171" s="53"/>
      <c r="L171" s="141"/>
      <c r="M171" s="53"/>
      <c r="N171" s="53"/>
      <c r="O171" s="53"/>
      <c r="P171" s="53"/>
      <c r="Q171" s="53"/>
      <c r="R171" s="53"/>
      <c r="S171" s="180"/>
      <c r="T171" s="53"/>
      <c r="U171" s="53"/>
    </row>
    <row r="172" spans="4:21" x14ac:dyDescent="0.3">
      <c r="D172" s="69"/>
      <c r="E172" s="54"/>
      <c r="F172" s="54"/>
      <c r="G172" s="54"/>
      <c r="H172" s="119"/>
      <c r="I172" s="140"/>
      <c r="J172" s="54"/>
      <c r="K172" s="54"/>
      <c r="L172" s="140"/>
      <c r="M172" s="54"/>
      <c r="N172" s="54"/>
      <c r="O172" s="54"/>
      <c r="P172" s="54"/>
      <c r="Q172" s="54"/>
      <c r="R172" s="54"/>
      <c r="S172" s="181"/>
      <c r="T172" s="54"/>
      <c r="U172" s="54"/>
    </row>
    <row r="173" spans="4:21" x14ac:dyDescent="0.3">
      <c r="D173" s="62"/>
      <c r="E173" s="53"/>
      <c r="F173" s="53"/>
      <c r="G173" s="53"/>
      <c r="H173" s="118"/>
      <c r="I173" s="141"/>
      <c r="J173" s="53"/>
      <c r="K173" s="53"/>
      <c r="L173" s="141"/>
      <c r="M173" s="53"/>
      <c r="N173" s="53"/>
      <c r="O173" s="53"/>
      <c r="P173" s="53"/>
      <c r="Q173" s="53"/>
      <c r="R173" s="53"/>
      <c r="S173" s="180"/>
      <c r="T173" s="53"/>
      <c r="U173" s="53"/>
    </row>
    <row r="174" spans="4:21" x14ac:dyDescent="0.3">
      <c r="D174" s="69"/>
      <c r="E174" s="54"/>
      <c r="F174" s="54"/>
      <c r="G174" s="54"/>
      <c r="H174" s="119"/>
      <c r="I174" s="140"/>
      <c r="J174" s="54"/>
      <c r="K174" s="54"/>
      <c r="L174" s="140"/>
      <c r="M174" s="54"/>
      <c r="N174" s="54"/>
      <c r="O174" s="54"/>
      <c r="P174" s="54"/>
      <c r="Q174" s="54"/>
      <c r="R174" s="54"/>
      <c r="S174" s="181"/>
      <c r="T174" s="54"/>
      <c r="U174" s="54"/>
    </row>
    <row r="175" spans="4:21" x14ac:dyDescent="0.3">
      <c r="D175" s="62"/>
      <c r="E175" s="53"/>
      <c r="F175" s="53"/>
      <c r="G175" s="53"/>
      <c r="H175" s="118"/>
      <c r="I175" s="141"/>
      <c r="J175" s="53"/>
      <c r="K175" s="53"/>
      <c r="L175" s="141"/>
      <c r="M175" s="53"/>
      <c r="N175" s="53"/>
      <c r="O175" s="53"/>
      <c r="P175" s="53"/>
      <c r="Q175" s="53"/>
      <c r="R175" s="53"/>
      <c r="S175" s="180"/>
      <c r="T175" s="53"/>
      <c r="U175" s="53"/>
    </row>
    <row r="176" spans="4:21" x14ac:dyDescent="0.3">
      <c r="D176" s="69"/>
      <c r="E176" s="54"/>
      <c r="F176" s="54"/>
      <c r="G176" s="54"/>
      <c r="H176" s="119"/>
      <c r="I176" s="140"/>
      <c r="J176" s="54"/>
      <c r="K176" s="54"/>
      <c r="L176" s="140"/>
      <c r="M176" s="54"/>
      <c r="N176" s="54"/>
      <c r="O176" s="54"/>
      <c r="P176" s="54"/>
      <c r="Q176" s="54"/>
      <c r="R176" s="54"/>
      <c r="S176" s="181"/>
      <c r="T176" s="54"/>
      <c r="U176" s="54"/>
    </row>
    <row r="177" spans="4:21" x14ac:dyDescent="0.3">
      <c r="D177" s="62"/>
      <c r="E177" s="53"/>
      <c r="F177" s="53"/>
      <c r="G177" s="53"/>
      <c r="H177" s="118"/>
      <c r="I177" s="141"/>
      <c r="J177" s="53"/>
      <c r="K177" s="53"/>
      <c r="L177" s="141"/>
      <c r="M177" s="53"/>
      <c r="N177" s="53"/>
      <c r="O177" s="53"/>
      <c r="P177" s="53"/>
      <c r="Q177" s="53"/>
      <c r="R177" s="53"/>
      <c r="S177" s="180"/>
      <c r="T177" s="53"/>
      <c r="U177" s="53"/>
    </row>
    <row r="178" spans="4:21" x14ac:dyDescent="0.3">
      <c r="D178" s="69"/>
      <c r="E178" s="54"/>
      <c r="F178" s="54"/>
      <c r="G178" s="54"/>
      <c r="H178" s="119"/>
      <c r="I178" s="140"/>
      <c r="J178" s="54"/>
      <c r="K178" s="54"/>
      <c r="L178" s="140"/>
      <c r="M178" s="54"/>
      <c r="N178" s="54"/>
      <c r="O178" s="54"/>
      <c r="P178" s="54"/>
      <c r="Q178" s="54"/>
      <c r="R178" s="54"/>
      <c r="S178" s="181"/>
      <c r="T178" s="54"/>
      <c r="U178" s="54"/>
    </row>
    <row r="179" spans="4:21" x14ac:dyDescent="0.3">
      <c r="D179" s="62"/>
      <c r="E179" s="53"/>
      <c r="F179" s="53"/>
      <c r="G179" s="53"/>
      <c r="H179" s="118"/>
      <c r="I179" s="141"/>
      <c r="J179" s="53"/>
      <c r="K179" s="53"/>
      <c r="L179" s="141"/>
      <c r="M179" s="53"/>
      <c r="N179" s="53"/>
      <c r="O179" s="53"/>
      <c r="P179" s="53"/>
      <c r="Q179" s="53"/>
      <c r="R179" s="53"/>
      <c r="S179" s="180"/>
      <c r="T179" s="53"/>
      <c r="U179" s="53"/>
    </row>
    <row r="180" spans="4:21" x14ac:dyDescent="0.3">
      <c r="D180" s="69"/>
      <c r="E180" s="54"/>
      <c r="F180" s="54"/>
      <c r="G180" s="54"/>
      <c r="H180" s="119"/>
      <c r="I180" s="140"/>
      <c r="J180" s="54"/>
      <c r="K180" s="54"/>
      <c r="L180" s="140"/>
      <c r="M180" s="54"/>
      <c r="N180" s="54"/>
      <c r="O180" s="54"/>
      <c r="P180" s="54"/>
      <c r="Q180" s="54"/>
      <c r="R180" s="54"/>
      <c r="S180" s="181"/>
      <c r="T180" s="54"/>
      <c r="U180" s="54"/>
    </row>
    <row r="181" spans="4:21" x14ac:dyDescent="0.3">
      <c r="D181" s="62"/>
      <c r="E181" s="53"/>
      <c r="F181" s="53"/>
      <c r="G181" s="53"/>
      <c r="H181" s="118"/>
      <c r="I181" s="141"/>
      <c r="J181" s="53"/>
      <c r="K181" s="53"/>
      <c r="L181" s="141"/>
      <c r="M181" s="53"/>
      <c r="N181" s="53"/>
      <c r="O181" s="53"/>
      <c r="P181" s="53"/>
      <c r="Q181" s="53"/>
      <c r="R181" s="53"/>
      <c r="S181" s="180"/>
      <c r="T181" s="53"/>
      <c r="U181" s="53"/>
    </row>
    <row r="182" spans="4:21" x14ac:dyDescent="0.3">
      <c r="D182" s="69"/>
      <c r="E182" s="54"/>
      <c r="F182" s="54"/>
      <c r="G182" s="54"/>
      <c r="H182" s="119"/>
      <c r="I182" s="140"/>
      <c r="J182" s="54"/>
      <c r="K182" s="54"/>
      <c r="L182" s="140"/>
      <c r="M182" s="54"/>
      <c r="N182" s="54"/>
      <c r="O182" s="54"/>
      <c r="P182" s="54"/>
      <c r="Q182" s="54"/>
      <c r="R182" s="54"/>
      <c r="S182" s="181"/>
      <c r="T182" s="54"/>
      <c r="U182" s="54"/>
    </row>
    <row r="183" spans="4:21" x14ac:dyDescent="0.3">
      <c r="D183" s="62"/>
      <c r="E183" s="53"/>
      <c r="F183" s="53"/>
      <c r="G183" s="53"/>
      <c r="H183" s="118"/>
      <c r="I183" s="141"/>
      <c r="J183" s="53"/>
      <c r="K183" s="53"/>
      <c r="L183" s="141"/>
      <c r="M183" s="53"/>
      <c r="N183" s="53"/>
      <c r="O183" s="53"/>
      <c r="P183" s="53"/>
      <c r="Q183" s="53"/>
      <c r="R183" s="53"/>
      <c r="S183" s="180"/>
      <c r="T183" s="53"/>
      <c r="U183" s="53"/>
    </row>
    <row r="184" spans="4:21" x14ac:dyDescent="0.3">
      <c r="D184" s="69"/>
      <c r="E184" s="54"/>
      <c r="F184" s="54"/>
      <c r="G184" s="54"/>
      <c r="H184" s="119"/>
      <c r="I184" s="140"/>
      <c r="J184" s="54"/>
      <c r="K184" s="54"/>
      <c r="L184" s="140"/>
      <c r="M184" s="54"/>
      <c r="N184" s="54"/>
      <c r="O184" s="54"/>
      <c r="P184" s="54"/>
      <c r="Q184" s="54"/>
      <c r="R184" s="54"/>
      <c r="S184" s="181"/>
      <c r="T184" s="54"/>
      <c r="U184" s="54"/>
    </row>
    <row r="185" spans="4:21" x14ac:dyDescent="0.3">
      <c r="D185" s="62"/>
      <c r="E185" s="53"/>
      <c r="F185" s="53"/>
      <c r="G185" s="53"/>
      <c r="H185" s="118"/>
      <c r="I185" s="141"/>
      <c r="J185" s="53"/>
      <c r="K185" s="53"/>
      <c r="L185" s="141"/>
      <c r="M185" s="53"/>
      <c r="N185" s="53"/>
      <c r="O185" s="53"/>
      <c r="P185" s="53"/>
      <c r="Q185" s="53"/>
      <c r="R185" s="53"/>
      <c r="S185" s="180"/>
      <c r="T185" s="53"/>
      <c r="U185" s="53"/>
    </row>
    <row r="186" spans="4:21" x14ac:dyDescent="0.3">
      <c r="D186" s="69"/>
      <c r="E186" s="54"/>
      <c r="F186" s="54"/>
      <c r="G186" s="54"/>
      <c r="H186" s="119"/>
      <c r="I186" s="140"/>
      <c r="J186" s="54"/>
      <c r="K186" s="54"/>
      <c r="L186" s="140"/>
      <c r="M186" s="54"/>
      <c r="N186" s="54"/>
      <c r="O186" s="54"/>
      <c r="P186" s="54"/>
      <c r="Q186" s="54"/>
      <c r="R186" s="54"/>
      <c r="S186" s="181"/>
      <c r="T186" s="54"/>
      <c r="U186" s="54"/>
    </row>
    <row r="187" spans="4:21" x14ac:dyDescent="0.3">
      <c r="D187" s="62"/>
      <c r="E187" s="53"/>
      <c r="F187" s="53"/>
      <c r="G187" s="53"/>
      <c r="H187" s="118"/>
      <c r="I187" s="141"/>
      <c r="J187" s="53"/>
      <c r="K187" s="53"/>
      <c r="L187" s="141"/>
      <c r="M187" s="53"/>
      <c r="N187" s="53"/>
      <c r="O187" s="53"/>
      <c r="P187" s="53"/>
      <c r="Q187" s="53"/>
      <c r="R187" s="53"/>
      <c r="S187" s="180"/>
      <c r="T187" s="53"/>
      <c r="U187" s="53"/>
    </row>
    <row r="188" spans="4:21" x14ac:dyDescent="0.3">
      <c r="D188" s="69"/>
      <c r="E188" s="54"/>
      <c r="F188" s="54"/>
      <c r="G188" s="54"/>
      <c r="H188" s="119"/>
      <c r="I188" s="140"/>
      <c r="J188" s="54"/>
      <c r="K188" s="54"/>
      <c r="L188" s="140"/>
      <c r="M188" s="54"/>
      <c r="N188" s="54"/>
      <c r="O188" s="54"/>
      <c r="P188" s="54"/>
      <c r="Q188" s="54"/>
      <c r="R188" s="54"/>
      <c r="S188" s="181"/>
      <c r="T188" s="54"/>
      <c r="U188" s="54"/>
    </row>
    <row r="189" spans="4:21" x14ac:dyDescent="0.3">
      <c r="D189" s="62"/>
      <c r="E189" s="53"/>
      <c r="F189" s="53"/>
      <c r="G189" s="53"/>
      <c r="H189" s="118"/>
      <c r="I189" s="141"/>
      <c r="J189" s="53"/>
      <c r="K189" s="53"/>
      <c r="L189" s="141"/>
      <c r="M189" s="53"/>
      <c r="N189" s="53"/>
      <c r="O189" s="53"/>
      <c r="P189" s="53"/>
      <c r="Q189" s="53"/>
      <c r="R189" s="53"/>
      <c r="S189" s="180"/>
      <c r="T189" s="53"/>
      <c r="U189" s="53"/>
    </row>
    <row r="190" spans="4:21" x14ac:dyDescent="0.3">
      <c r="D190" s="69"/>
      <c r="E190" s="54"/>
      <c r="F190" s="54"/>
      <c r="G190" s="54"/>
      <c r="H190" s="119"/>
      <c r="I190" s="140"/>
      <c r="J190" s="54"/>
      <c r="K190" s="54"/>
      <c r="L190" s="140"/>
      <c r="M190" s="54"/>
      <c r="N190" s="54"/>
      <c r="O190" s="54"/>
      <c r="P190" s="54"/>
      <c r="Q190" s="54"/>
      <c r="R190" s="54"/>
      <c r="S190" s="181"/>
      <c r="T190" s="54"/>
      <c r="U190" s="54"/>
    </row>
    <row r="191" spans="4:21" x14ac:dyDescent="0.3">
      <c r="D191" s="62"/>
      <c r="E191" s="53"/>
      <c r="F191" s="53"/>
      <c r="G191" s="53"/>
      <c r="H191" s="118"/>
      <c r="I191" s="141"/>
      <c r="J191" s="53"/>
      <c r="K191" s="53"/>
      <c r="L191" s="141"/>
      <c r="M191" s="53"/>
      <c r="N191" s="53"/>
      <c r="O191" s="53"/>
      <c r="P191" s="53"/>
      <c r="Q191" s="53"/>
      <c r="R191" s="53"/>
      <c r="S191" s="180"/>
      <c r="T191" s="53"/>
      <c r="U191" s="53"/>
    </row>
    <row r="192" spans="4:21" x14ac:dyDescent="0.3">
      <c r="D192" s="69"/>
      <c r="E192" s="54"/>
      <c r="F192" s="54"/>
      <c r="G192" s="54"/>
      <c r="H192" s="119"/>
      <c r="I192" s="140"/>
      <c r="J192" s="54"/>
      <c r="K192" s="54"/>
      <c r="L192" s="140"/>
      <c r="M192" s="54"/>
      <c r="N192" s="54"/>
      <c r="O192" s="54"/>
      <c r="P192" s="54"/>
      <c r="Q192" s="54"/>
      <c r="R192" s="54"/>
      <c r="S192" s="181"/>
      <c r="T192" s="54"/>
      <c r="U192" s="54"/>
    </row>
    <row r="193" spans="4:21" x14ac:dyDescent="0.3">
      <c r="D193" s="62"/>
      <c r="E193" s="53"/>
      <c r="F193" s="53"/>
      <c r="G193" s="53"/>
      <c r="H193" s="118"/>
      <c r="I193" s="141"/>
      <c r="J193" s="53"/>
      <c r="K193" s="53"/>
      <c r="L193" s="141"/>
      <c r="M193" s="53"/>
      <c r="N193" s="53"/>
      <c r="O193" s="53"/>
      <c r="P193" s="53"/>
      <c r="Q193" s="53"/>
      <c r="R193" s="53"/>
      <c r="S193" s="180"/>
      <c r="T193" s="53"/>
      <c r="U193" s="53"/>
    </row>
    <row r="194" spans="4:21" x14ac:dyDescent="0.3">
      <c r="D194" s="69"/>
      <c r="E194" s="54"/>
      <c r="F194" s="54"/>
      <c r="G194" s="54"/>
      <c r="H194" s="119"/>
      <c r="I194" s="140"/>
      <c r="J194" s="54"/>
      <c r="K194" s="54"/>
      <c r="L194" s="140"/>
      <c r="M194" s="54"/>
      <c r="N194" s="54"/>
      <c r="O194" s="54"/>
      <c r="P194" s="54"/>
      <c r="Q194" s="54"/>
      <c r="R194" s="54"/>
      <c r="S194" s="181"/>
      <c r="T194" s="54"/>
      <c r="U194" s="54"/>
    </row>
    <row r="195" spans="4:21" x14ac:dyDescent="0.3">
      <c r="D195" s="62"/>
      <c r="E195" s="53"/>
      <c r="F195" s="53"/>
      <c r="G195" s="53"/>
      <c r="H195" s="118"/>
      <c r="I195" s="141"/>
      <c r="J195" s="53"/>
      <c r="K195" s="53"/>
      <c r="L195" s="141"/>
      <c r="M195" s="53"/>
      <c r="N195" s="53"/>
      <c r="O195" s="53"/>
      <c r="P195" s="53"/>
      <c r="Q195" s="53"/>
      <c r="R195" s="53"/>
      <c r="S195" s="180"/>
      <c r="T195" s="53"/>
      <c r="U195" s="53"/>
    </row>
    <row r="196" spans="4:21" x14ac:dyDescent="0.3">
      <c r="D196" s="69"/>
      <c r="E196" s="54"/>
      <c r="F196" s="54"/>
      <c r="G196" s="54"/>
      <c r="H196" s="119"/>
      <c r="I196" s="140"/>
      <c r="J196" s="54"/>
      <c r="K196" s="54"/>
      <c r="L196" s="140"/>
      <c r="M196" s="54"/>
      <c r="N196" s="54"/>
      <c r="O196" s="54"/>
      <c r="P196" s="54"/>
      <c r="Q196" s="54"/>
      <c r="R196" s="54"/>
      <c r="S196" s="181"/>
      <c r="T196" s="54"/>
      <c r="U196" s="54"/>
    </row>
    <row r="197" spans="4:21" x14ac:dyDescent="0.3">
      <c r="D197" s="62"/>
      <c r="E197" s="53"/>
      <c r="F197" s="53"/>
      <c r="G197" s="53"/>
      <c r="H197" s="118"/>
      <c r="I197" s="141"/>
      <c r="J197" s="53"/>
      <c r="K197" s="53"/>
      <c r="L197" s="141"/>
      <c r="M197" s="53"/>
      <c r="N197" s="53"/>
      <c r="O197" s="53"/>
      <c r="P197" s="53"/>
      <c r="Q197" s="53"/>
      <c r="R197" s="53"/>
      <c r="S197" s="180"/>
      <c r="T197" s="53"/>
      <c r="U197" s="53"/>
    </row>
    <row r="198" spans="4:21" x14ac:dyDescent="0.3">
      <c r="D198" s="69"/>
      <c r="E198" s="54"/>
      <c r="F198" s="54"/>
      <c r="G198" s="54"/>
      <c r="H198" s="119"/>
      <c r="I198" s="140"/>
      <c r="J198" s="54"/>
      <c r="K198" s="54"/>
      <c r="L198" s="140"/>
      <c r="M198" s="54"/>
      <c r="N198" s="54"/>
      <c r="O198" s="54"/>
      <c r="P198" s="54"/>
      <c r="Q198" s="54"/>
      <c r="R198" s="54"/>
      <c r="S198" s="181"/>
      <c r="T198" s="54"/>
      <c r="U198" s="54"/>
    </row>
    <row r="199" spans="4:21" x14ac:dyDescent="0.3">
      <c r="D199" s="62"/>
      <c r="E199" s="53"/>
      <c r="F199" s="53"/>
      <c r="G199" s="53"/>
      <c r="H199" s="118"/>
      <c r="I199" s="141"/>
      <c r="J199" s="53"/>
      <c r="K199" s="53"/>
      <c r="L199" s="141"/>
      <c r="M199" s="53"/>
      <c r="N199" s="53"/>
      <c r="O199" s="53"/>
      <c r="P199" s="53"/>
      <c r="Q199" s="53"/>
      <c r="R199" s="53"/>
      <c r="S199" s="180"/>
      <c r="T199" s="53"/>
      <c r="U199" s="53"/>
    </row>
    <row r="200" spans="4:21" x14ac:dyDescent="0.3">
      <c r="D200" s="69"/>
      <c r="E200" s="54"/>
      <c r="F200" s="54"/>
      <c r="G200" s="54"/>
      <c r="H200" s="119"/>
      <c r="I200" s="140"/>
      <c r="J200" s="54"/>
      <c r="K200" s="54"/>
      <c r="L200" s="140"/>
      <c r="M200" s="54"/>
      <c r="N200" s="54"/>
      <c r="O200" s="54"/>
      <c r="P200" s="54"/>
      <c r="Q200" s="54"/>
      <c r="R200" s="54"/>
      <c r="S200" s="181"/>
      <c r="T200" s="54"/>
      <c r="U200" s="54"/>
    </row>
  </sheetData>
  <mergeCells count="13">
    <mergeCell ref="A16:B16"/>
    <mergeCell ref="A17:B17"/>
    <mergeCell ref="A18:B18"/>
    <mergeCell ref="M1:O1"/>
    <mergeCell ref="P1:R1"/>
    <mergeCell ref="A1:B1"/>
    <mergeCell ref="A12:B12"/>
    <mergeCell ref="A6:B6"/>
    <mergeCell ref="A13:B13"/>
    <mergeCell ref="A14:B14"/>
    <mergeCell ref="A15:B15"/>
    <mergeCell ref="D1:F1"/>
    <mergeCell ref="H1:J1"/>
  </mergeCells>
  <dataValidations count="2">
    <dataValidation type="custom" allowBlank="1" showInputMessage="1" showErrorMessage="1" errorTitle="invalid number entered" error="Please enter a number with 10 digits" sqref="I3:I14" xr:uid="{01E026C5-DF0E-4EE7-902F-6F580E6DFED6}">
      <formula1>AND(LEN(I3)=10,ISNUMBER(--I3))</formula1>
    </dataValidation>
    <dataValidation type="list" allowBlank="1" showInputMessage="1" showErrorMessage="1" sqref="B7" xr:uid="{2F9432D9-9B81-4C9D-B4C3-48B9E63AC657}">
      <formula1>"All,January,February,March,April,May,June,July,August,September,October,November,December"</formula1>
    </dataValidation>
  </dataValidations>
  <hyperlinks>
    <hyperlink ref="A13" location="Home!A1" display="Home" xr:uid="{DE9294F6-B4AE-4AB7-A3EF-4041CCA4414B}"/>
    <hyperlink ref="A14:B14" location="Enrollment!A1" display="Enrollment" xr:uid="{DEAF3E8B-B03C-4E27-B18D-F91B01002CA2}"/>
    <hyperlink ref="A15:B15" location="Attendance!A1" display="Attendance" xr:uid="{A182773D-F78C-465C-8315-99FDF4E10783}"/>
    <hyperlink ref="A16:B16" location="Teachers!A1" display="Teachers" xr:uid="{3FA717A6-0C8F-4591-86B4-37293E410365}"/>
    <hyperlink ref="A17:B17" location="Classes!A1" display="Classes" xr:uid="{06B6089C-FEC7-42EC-9E1D-A771E23E8846}"/>
    <hyperlink ref="A18:B18" location="Monthly_Report!A1" display="Monthly report" xr:uid="{6D412A05-6EFA-40D2-A9D8-C747CDC03D5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A6323-CD0E-4367-8683-259A98B3E8FF}">
  <sheetPr codeName="Sheet15"/>
  <dimension ref="A1:BK2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B18"/>
    </sheetView>
  </sheetViews>
  <sheetFormatPr defaultRowHeight="14.4" x14ac:dyDescent="0.3"/>
  <cols>
    <col min="1" max="1" width="22.44140625" customWidth="1"/>
    <col min="2" max="2" width="17" bestFit="1" customWidth="1"/>
    <col min="4" max="4" width="17.77734375" customWidth="1"/>
    <col min="5" max="5" width="16.21875" customWidth="1"/>
    <col min="6" max="7" width="14.5546875" customWidth="1"/>
    <col min="8" max="8" width="12.6640625" customWidth="1"/>
    <col min="9" max="9" width="16.6640625" customWidth="1"/>
    <col min="10" max="10" width="10.77734375" customWidth="1"/>
    <col min="11" max="11" width="18.109375" customWidth="1"/>
    <col min="12" max="12" width="13.77734375" customWidth="1"/>
    <col min="13" max="18" width="12.33203125" customWidth="1"/>
    <col min="19" max="19" width="18.88671875" customWidth="1"/>
    <col min="20" max="20" width="20.21875" customWidth="1"/>
    <col min="21" max="21" width="23.33203125" customWidth="1"/>
    <col min="22" max="60" width="12.33203125" customWidth="1"/>
  </cols>
  <sheetData>
    <row r="1" spans="1:63" ht="15.6" customHeight="1" x14ac:dyDescent="0.3">
      <c r="A1" s="310" t="s">
        <v>105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 t="str">
        <f>Teachers!A5</f>
        <v>T-004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str">
        <f>_xlfn.XLOOKUP(B2, teachers_table[*Teacher ID], teachers_table[*Teacher Name])</f>
        <v>Rahmatullah Yawari</v>
      </c>
      <c r="C3" s="26"/>
      <c r="D3" s="62" t="str" cm="1">
        <f t="array" ref="D3">IF(B7 = "All", _xlfn._xlws.FILTER(enrollment_table[], enrollment_table[*Teacher Name] = T_Yawari!B3, "No Students Found"), _xlfn._xlws.FILTER(enrollment_table[], (enrollment_table[*Teacher Name] = T_Yawari!B3 ) * (enrollment_table[Enrollment Month] = B7), "No Students Found"))</f>
        <v>No Students Found</v>
      </c>
      <c r="E3" s="53"/>
      <c r="F3" s="53"/>
      <c r="G3" s="131"/>
      <c r="H3" s="115"/>
      <c r="I3" s="64"/>
      <c r="J3" s="64"/>
      <c r="K3" s="183"/>
      <c r="L3" s="64"/>
      <c r="M3" s="64"/>
      <c r="N3" s="64"/>
      <c r="O3" s="64"/>
      <c r="P3" s="64"/>
      <c r="Q3" s="64"/>
      <c r="R3" s="64"/>
      <c r="S3" s="177"/>
      <c r="T3" s="64"/>
      <c r="U3" s="64"/>
    </row>
    <row r="4" spans="1:63" ht="15.6" customHeight="1" x14ac:dyDescent="0.3">
      <c r="A4" s="88" t="s">
        <v>29</v>
      </c>
      <c r="B4" s="87">
        <f>_xlfn.XLOOKUP(B2, teachers_table[*Teacher ID], teachers_table[*Income Rate])</f>
        <v>0.6</v>
      </c>
      <c r="C4" s="27"/>
      <c r="D4" s="69"/>
      <c r="E4" s="54"/>
      <c r="F4" s="54"/>
      <c r="G4" s="132"/>
      <c r="H4" s="114"/>
      <c r="I4" s="71"/>
      <c r="J4" s="37"/>
      <c r="K4" s="54"/>
      <c r="L4" s="145"/>
      <c r="M4" s="54"/>
      <c r="N4" s="54"/>
      <c r="O4" s="54"/>
      <c r="P4" s="54"/>
      <c r="Q4" s="54"/>
      <c r="R4" s="54"/>
      <c r="S4" s="185"/>
      <c r="T4" s="72"/>
      <c r="U4" s="54"/>
    </row>
    <row r="5" spans="1:63" ht="15.6" customHeight="1" x14ac:dyDescent="0.3">
      <c r="C5" s="28"/>
      <c r="D5" s="62"/>
      <c r="E5" s="53"/>
      <c r="F5" s="53"/>
      <c r="G5" s="133"/>
      <c r="H5" s="115"/>
      <c r="I5" s="65"/>
      <c r="J5" s="66"/>
      <c r="K5" s="53"/>
      <c r="L5" s="141"/>
      <c r="M5" s="53"/>
      <c r="N5" s="53"/>
      <c r="O5" s="53"/>
      <c r="P5" s="53"/>
      <c r="Q5" s="53"/>
      <c r="R5" s="53"/>
      <c r="S5" s="177"/>
      <c r="T5" s="68"/>
      <c r="U5" s="53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132"/>
      <c r="H6" s="116"/>
      <c r="I6" s="71"/>
      <c r="J6" s="37"/>
      <c r="K6" s="54"/>
      <c r="L6" s="140"/>
      <c r="M6" s="54"/>
      <c r="N6" s="54"/>
      <c r="O6" s="54"/>
      <c r="P6" s="54"/>
      <c r="Q6" s="54"/>
      <c r="R6" s="54"/>
      <c r="S6" s="185"/>
      <c r="T6" s="72"/>
      <c r="U6" s="54"/>
    </row>
    <row r="7" spans="1:63" ht="15.6" customHeight="1" x14ac:dyDescent="0.3">
      <c r="A7" s="47" t="s">
        <v>157</v>
      </c>
      <c r="B7" s="24" t="s">
        <v>162</v>
      </c>
      <c r="D7" s="62"/>
      <c r="E7" s="53"/>
      <c r="F7" s="53"/>
      <c r="G7" s="133"/>
      <c r="H7" s="117"/>
      <c r="I7" s="65"/>
      <c r="J7" s="66"/>
      <c r="K7" s="53"/>
      <c r="L7" s="141"/>
      <c r="M7" s="53"/>
      <c r="N7" s="53"/>
      <c r="O7" s="53"/>
      <c r="P7" s="53"/>
      <c r="Q7" s="53"/>
      <c r="R7" s="53"/>
      <c r="S7" s="177"/>
      <c r="T7" s="68"/>
      <c r="U7" s="53"/>
    </row>
    <row r="8" spans="1:63" ht="15.6" customHeight="1" x14ac:dyDescent="0.3">
      <c r="A8" s="84" t="s">
        <v>52</v>
      </c>
      <c r="B8" s="86">
        <f>IF(D3 = "No Students Found", 0, COUNTA(D3:D200))</f>
        <v>0</v>
      </c>
      <c r="C8" s="30"/>
      <c r="D8" s="69"/>
      <c r="E8" s="54"/>
      <c r="F8" s="54"/>
      <c r="G8" s="132"/>
      <c r="H8" s="116"/>
      <c r="I8" s="71"/>
      <c r="J8" s="37"/>
      <c r="K8" s="54"/>
      <c r="L8" s="140"/>
      <c r="M8" s="54"/>
      <c r="N8" s="54"/>
      <c r="O8" s="54"/>
      <c r="P8" s="54"/>
      <c r="Q8" s="54"/>
      <c r="R8" s="54"/>
      <c r="S8" s="185"/>
      <c r="T8" s="72"/>
      <c r="U8" s="54"/>
    </row>
    <row r="9" spans="1:63" ht="15.6" customHeight="1" x14ac:dyDescent="0.3">
      <c r="A9" s="47" t="s">
        <v>106</v>
      </c>
      <c r="B9" s="156">
        <f>SUM(H3:H200)</f>
        <v>0</v>
      </c>
      <c r="C9" s="31"/>
      <c r="D9" s="62"/>
      <c r="E9" s="53"/>
      <c r="F9" s="53"/>
      <c r="G9" s="133"/>
      <c r="H9" s="117"/>
      <c r="I9" s="65"/>
      <c r="J9" s="66"/>
      <c r="K9" s="53"/>
      <c r="L9" s="141"/>
      <c r="M9" s="53"/>
      <c r="N9" s="53"/>
      <c r="O9" s="53"/>
      <c r="P9" s="53"/>
      <c r="Q9" s="53"/>
      <c r="R9" s="53"/>
      <c r="S9" s="177"/>
      <c r="T9" s="68"/>
      <c r="U9" s="53"/>
    </row>
    <row r="10" spans="1:63" ht="15.6" customHeight="1" x14ac:dyDescent="0.3">
      <c r="A10" s="85" t="s">
        <v>44</v>
      </c>
      <c r="B10" s="155">
        <f>B9*B4</f>
        <v>0</v>
      </c>
      <c r="C10" s="31"/>
      <c r="D10" s="69"/>
      <c r="E10" s="54"/>
      <c r="F10" s="54"/>
      <c r="G10" s="134"/>
      <c r="H10" s="116"/>
      <c r="I10" s="71"/>
      <c r="J10" s="37"/>
      <c r="K10" s="54"/>
      <c r="L10" s="140"/>
      <c r="M10" s="54"/>
      <c r="N10" s="54"/>
      <c r="O10" s="54"/>
      <c r="P10" s="54"/>
      <c r="Q10" s="54"/>
      <c r="R10" s="54"/>
      <c r="S10" s="185"/>
      <c r="T10" s="72"/>
      <c r="U10" s="54"/>
    </row>
    <row r="11" spans="1:63" ht="15.6" customHeight="1" x14ac:dyDescent="0.3">
      <c r="B11" s="7"/>
      <c r="C11" s="31"/>
      <c r="D11" s="62"/>
      <c r="E11" s="53"/>
      <c r="F11" s="53"/>
      <c r="G11" s="135"/>
      <c r="H11" s="117"/>
      <c r="I11" s="65"/>
      <c r="J11" s="66"/>
      <c r="K11" s="53"/>
      <c r="L11" s="141"/>
      <c r="M11" s="53"/>
      <c r="N11" s="53"/>
      <c r="O11" s="53"/>
      <c r="P11" s="53"/>
      <c r="Q11" s="53"/>
      <c r="R11" s="53"/>
      <c r="S11" s="177"/>
      <c r="T11" s="68"/>
      <c r="U11" s="53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134"/>
      <c r="H12" s="116"/>
      <c r="I12" s="71"/>
      <c r="J12" s="37"/>
      <c r="K12" s="54"/>
      <c r="L12" s="140"/>
      <c r="M12" s="54"/>
      <c r="N12" s="54"/>
      <c r="O12" s="54"/>
      <c r="P12" s="54"/>
      <c r="Q12" s="54"/>
      <c r="R12" s="54"/>
      <c r="S12" s="185"/>
      <c r="T12" s="72"/>
      <c r="U12" s="5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135"/>
      <c r="H13" s="117"/>
      <c r="I13" s="65"/>
      <c r="J13" s="66"/>
      <c r="K13" s="53"/>
      <c r="L13" s="141"/>
      <c r="M13" s="53"/>
      <c r="N13" s="53"/>
      <c r="O13" s="53"/>
      <c r="P13" s="53"/>
      <c r="Q13" s="53"/>
      <c r="R13" s="53"/>
      <c r="S13" s="177"/>
      <c r="T13" s="68"/>
      <c r="U13" s="53"/>
    </row>
    <row r="14" spans="1:63" ht="15.6" customHeight="1" x14ac:dyDescent="0.3">
      <c r="A14" s="307" t="s">
        <v>104</v>
      </c>
      <c r="B14" s="307"/>
      <c r="D14" s="69"/>
      <c r="E14" s="54"/>
      <c r="F14" s="54"/>
      <c r="G14" s="134"/>
      <c r="H14" s="116"/>
      <c r="I14" s="71"/>
      <c r="J14" s="37"/>
      <c r="K14" s="54"/>
      <c r="L14" s="140"/>
      <c r="M14" s="54"/>
      <c r="N14" s="54"/>
      <c r="O14" s="54"/>
      <c r="P14" s="54"/>
      <c r="Q14" s="54"/>
      <c r="R14" s="54"/>
      <c r="S14" s="185"/>
      <c r="T14" s="72"/>
      <c r="U14" s="5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135"/>
      <c r="H15" s="118"/>
      <c r="I15" s="141"/>
      <c r="J15" s="53"/>
      <c r="K15" s="53"/>
      <c r="L15" s="141"/>
      <c r="M15" s="53"/>
      <c r="N15" s="53"/>
      <c r="O15" s="53"/>
      <c r="P15" s="53"/>
      <c r="Q15" s="53"/>
      <c r="R15" s="53"/>
      <c r="S15" s="186"/>
      <c r="T15" s="141"/>
      <c r="U15" s="53"/>
    </row>
    <row r="16" spans="1:63" ht="15.6" customHeight="1" x14ac:dyDescent="0.3">
      <c r="A16" s="307" t="s">
        <v>57</v>
      </c>
      <c r="B16" s="307"/>
      <c r="D16" s="69"/>
      <c r="E16" s="54"/>
      <c r="F16" s="54"/>
      <c r="G16" s="134"/>
      <c r="H16" s="119"/>
      <c r="I16" s="140"/>
      <c r="J16" s="54"/>
      <c r="K16" s="54"/>
      <c r="L16" s="140"/>
      <c r="M16" s="54"/>
      <c r="N16" s="54"/>
      <c r="O16" s="54"/>
      <c r="P16" s="54"/>
      <c r="Q16" s="54"/>
      <c r="R16" s="54"/>
      <c r="S16" s="188"/>
      <c r="T16" s="140"/>
      <c r="U16" s="54"/>
    </row>
    <row r="17" spans="1:21" ht="15.6" customHeight="1" x14ac:dyDescent="0.3">
      <c r="A17" s="308" t="s">
        <v>58</v>
      </c>
      <c r="B17" s="308"/>
      <c r="D17" s="62"/>
      <c r="E17" s="53"/>
      <c r="F17" s="53"/>
      <c r="G17" s="135"/>
      <c r="H17" s="118"/>
      <c r="I17" s="141"/>
      <c r="J17" s="53"/>
      <c r="K17" s="53"/>
      <c r="L17" s="141"/>
      <c r="M17" s="53"/>
      <c r="N17" s="53"/>
      <c r="O17" s="53"/>
      <c r="P17" s="53"/>
      <c r="Q17" s="53"/>
      <c r="R17" s="53"/>
      <c r="S17" s="186"/>
      <c r="T17" s="141"/>
      <c r="U17" s="53"/>
    </row>
    <row r="18" spans="1:21" ht="15.6" customHeight="1" x14ac:dyDescent="0.3">
      <c r="A18" s="309" t="s">
        <v>124</v>
      </c>
      <c r="B18" s="309"/>
      <c r="D18" s="69"/>
      <c r="E18" s="54"/>
      <c r="F18" s="54"/>
      <c r="G18" s="134"/>
      <c r="H18" s="119"/>
      <c r="I18" s="140"/>
      <c r="J18" s="54"/>
      <c r="K18" s="54"/>
      <c r="L18" s="140"/>
      <c r="M18" s="54"/>
      <c r="N18" s="54"/>
      <c r="O18" s="54"/>
      <c r="P18" s="54"/>
      <c r="Q18" s="54"/>
      <c r="R18" s="54"/>
      <c r="S18" s="188"/>
      <c r="T18" s="140"/>
      <c r="U18" s="54"/>
    </row>
    <row r="19" spans="1:21" ht="15.6" customHeight="1" x14ac:dyDescent="0.3">
      <c r="D19" s="62"/>
      <c r="E19" s="53"/>
      <c r="F19" s="53"/>
      <c r="G19" s="135"/>
      <c r="H19" s="118"/>
      <c r="I19" s="141"/>
      <c r="J19" s="53"/>
      <c r="K19" s="53"/>
      <c r="L19" s="141"/>
      <c r="M19" s="53"/>
      <c r="N19" s="53"/>
      <c r="O19" s="53"/>
      <c r="P19" s="53"/>
      <c r="Q19" s="53"/>
      <c r="R19" s="53"/>
      <c r="S19" s="186"/>
      <c r="T19" s="141"/>
      <c r="U19" s="53"/>
    </row>
    <row r="20" spans="1:21" ht="15.6" customHeight="1" x14ac:dyDescent="0.3">
      <c r="D20" s="69"/>
      <c r="E20" s="54"/>
      <c r="F20" s="54"/>
      <c r="G20" s="134"/>
      <c r="H20" s="119"/>
      <c r="I20" s="140"/>
      <c r="J20" s="54"/>
      <c r="K20" s="54"/>
      <c r="L20" s="140"/>
      <c r="M20" s="54"/>
      <c r="N20" s="54"/>
      <c r="O20" s="54"/>
      <c r="P20" s="54"/>
      <c r="Q20" s="54"/>
      <c r="R20" s="54"/>
      <c r="S20" s="188"/>
      <c r="T20" s="140"/>
      <c r="U20" s="54"/>
    </row>
    <row r="21" spans="1:21" ht="15.6" customHeight="1" x14ac:dyDescent="0.3">
      <c r="D21" s="62"/>
      <c r="E21" s="53"/>
      <c r="F21" s="53"/>
      <c r="G21" s="135"/>
      <c r="H21" s="118"/>
      <c r="I21" s="141"/>
      <c r="J21" s="53"/>
      <c r="K21" s="53"/>
      <c r="L21" s="141"/>
      <c r="M21" s="53"/>
      <c r="N21" s="53"/>
      <c r="O21" s="53"/>
      <c r="P21" s="53"/>
      <c r="Q21" s="53"/>
      <c r="R21" s="53"/>
      <c r="S21" s="186"/>
      <c r="T21" s="141"/>
      <c r="U21" s="53"/>
    </row>
    <row r="22" spans="1:21" ht="15.6" customHeight="1" x14ac:dyDescent="0.3">
      <c r="D22" s="69"/>
      <c r="E22" s="54"/>
      <c r="F22" s="54"/>
      <c r="G22" s="134"/>
      <c r="H22" s="119"/>
      <c r="I22" s="140"/>
      <c r="J22" s="54"/>
      <c r="K22" s="54"/>
      <c r="L22" s="140"/>
      <c r="M22" s="54"/>
      <c r="N22" s="54"/>
      <c r="O22" s="54"/>
      <c r="P22" s="54"/>
      <c r="Q22" s="54"/>
      <c r="R22" s="54"/>
      <c r="S22" s="188"/>
      <c r="T22" s="140"/>
      <c r="U22" s="54"/>
    </row>
    <row r="23" spans="1:21" ht="15.6" customHeight="1" x14ac:dyDescent="0.3">
      <c r="D23" s="62"/>
      <c r="E23" s="53"/>
      <c r="F23" s="53"/>
      <c r="G23" s="135"/>
      <c r="H23" s="118"/>
      <c r="I23" s="141"/>
      <c r="J23" s="53"/>
      <c r="K23" s="53"/>
      <c r="L23" s="141"/>
      <c r="M23" s="53"/>
      <c r="N23" s="53"/>
      <c r="O23" s="53"/>
      <c r="P23" s="53"/>
      <c r="Q23" s="53"/>
      <c r="R23" s="53"/>
      <c r="S23" s="186"/>
      <c r="T23" s="141"/>
      <c r="U23" s="53"/>
    </row>
    <row r="24" spans="1:21" ht="15.6" customHeight="1" x14ac:dyDescent="0.3">
      <c r="D24" s="69"/>
      <c r="E24" s="54"/>
      <c r="F24" s="54"/>
      <c r="G24" s="134"/>
      <c r="H24" s="119"/>
      <c r="I24" s="140"/>
      <c r="J24" s="54"/>
      <c r="K24" s="54"/>
      <c r="L24" s="140"/>
      <c r="M24" s="54"/>
      <c r="N24" s="54"/>
      <c r="O24" s="54"/>
      <c r="P24" s="54"/>
      <c r="Q24" s="54"/>
      <c r="R24" s="54"/>
      <c r="S24" s="188"/>
      <c r="T24" s="140"/>
      <c r="U24" s="54"/>
    </row>
    <row r="25" spans="1:21" x14ac:dyDescent="0.3">
      <c r="D25" s="62"/>
      <c r="E25" s="53"/>
      <c r="F25" s="53"/>
      <c r="G25" s="135"/>
      <c r="H25" s="118"/>
      <c r="I25" s="141"/>
      <c r="J25" s="53"/>
      <c r="K25" s="53"/>
      <c r="L25" s="141"/>
      <c r="M25" s="53"/>
      <c r="N25" s="53"/>
      <c r="O25" s="53"/>
      <c r="P25" s="53"/>
      <c r="Q25" s="53"/>
      <c r="R25" s="53"/>
      <c r="S25" s="186"/>
      <c r="T25" s="141"/>
      <c r="U25" s="53"/>
    </row>
    <row r="26" spans="1:21" x14ac:dyDescent="0.3">
      <c r="D26" s="69"/>
      <c r="E26" s="54"/>
      <c r="F26" s="54"/>
      <c r="G26" s="134"/>
      <c r="H26" s="119"/>
      <c r="I26" s="140"/>
      <c r="J26" s="54"/>
      <c r="K26" s="54"/>
      <c r="L26" s="140"/>
      <c r="M26" s="54"/>
      <c r="N26" s="54"/>
      <c r="O26" s="54"/>
      <c r="P26" s="54"/>
      <c r="Q26" s="54"/>
      <c r="R26" s="54"/>
      <c r="S26" s="188"/>
      <c r="T26" s="140"/>
      <c r="U26" s="54"/>
    </row>
    <row r="27" spans="1:21" x14ac:dyDescent="0.3">
      <c r="D27" s="62"/>
      <c r="E27" s="53"/>
      <c r="F27" s="53"/>
      <c r="G27" s="135"/>
      <c r="H27" s="118"/>
      <c r="I27" s="141"/>
      <c r="J27" s="53"/>
      <c r="K27" s="53"/>
      <c r="L27" s="141"/>
      <c r="M27" s="53"/>
      <c r="N27" s="53"/>
      <c r="O27" s="53"/>
      <c r="P27" s="53"/>
      <c r="Q27" s="53"/>
      <c r="R27" s="53"/>
      <c r="S27" s="186"/>
      <c r="T27" s="141"/>
      <c r="U27" s="53"/>
    </row>
    <row r="28" spans="1:21" x14ac:dyDescent="0.3">
      <c r="D28" s="69"/>
      <c r="E28" s="54"/>
      <c r="F28" s="54"/>
      <c r="G28" s="134"/>
      <c r="H28" s="119"/>
      <c r="I28" s="140"/>
      <c r="J28" s="54"/>
      <c r="K28" s="54"/>
      <c r="L28" s="140"/>
      <c r="M28" s="54"/>
      <c r="N28" s="54"/>
      <c r="O28" s="54"/>
      <c r="P28" s="54"/>
      <c r="Q28" s="54"/>
      <c r="R28" s="54"/>
      <c r="S28" s="188"/>
      <c r="T28" s="140"/>
      <c r="U28" s="54"/>
    </row>
    <row r="29" spans="1:21" x14ac:dyDescent="0.3">
      <c r="D29" s="62"/>
      <c r="E29" s="53"/>
      <c r="F29" s="53"/>
      <c r="G29" s="135"/>
      <c r="H29" s="118"/>
      <c r="I29" s="141"/>
      <c r="J29" s="53"/>
      <c r="K29" s="53"/>
      <c r="L29" s="141"/>
      <c r="M29" s="53"/>
      <c r="N29" s="53"/>
      <c r="O29" s="53"/>
      <c r="P29" s="53"/>
      <c r="Q29" s="53"/>
      <c r="R29" s="53"/>
      <c r="S29" s="186"/>
      <c r="T29" s="141"/>
      <c r="U29" s="53"/>
    </row>
    <row r="30" spans="1:21" x14ac:dyDescent="0.3">
      <c r="D30" s="69"/>
      <c r="E30" s="54"/>
      <c r="F30" s="54"/>
      <c r="G30" s="134"/>
      <c r="H30" s="119"/>
      <c r="I30" s="140"/>
      <c r="J30" s="54"/>
      <c r="K30" s="54"/>
      <c r="L30" s="140"/>
      <c r="M30" s="54"/>
      <c r="N30" s="54"/>
      <c r="O30" s="54"/>
      <c r="P30" s="54"/>
      <c r="Q30" s="54"/>
      <c r="R30" s="54"/>
      <c r="S30" s="188"/>
      <c r="T30" s="140"/>
      <c r="U30" s="54"/>
    </row>
    <row r="31" spans="1:21" x14ac:dyDescent="0.3">
      <c r="D31" s="62"/>
      <c r="E31" s="53"/>
      <c r="F31" s="53"/>
      <c r="G31" s="135"/>
      <c r="H31" s="118"/>
      <c r="I31" s="141"/>
      <c r="J31" s="53"/>
      <c r="K31" s="53"/>
      <c r="L31" s="141"/>
      <c r="M31" s="53"/>
      <c r="N31" s="53"/>
      <c r="O31" s="53"/>
      <c r="P31" s="53"/>
      <c r="Q31" s="53"/>
      <c r="R31" s="53"/>
      <c r="S31" s="186"/>
      <c r="T31" s="141"/>
      <c r="U31" s="53"/>
    </row>
    <row r="32" spans="1:21" x14ac:dyDescent="0.3">
      <c r="D32" s="69"/>
      <c r="E32" s="54"/>
      <c r="F32" s="54"/>
      <c r="G32" s="134"/>
      <c r="H32" s="119"/>
      <c r="I32" s="140"/>
      <c r="J32" s="54"/>
      <c r="K32" s="54"/>
      <c r="L32" s="140"/>
      <c r="M32" s="54"/>
      <c r="N32" s="54"/>
      <c r="O32" s="54"/>
      <c r="P32" s="54"/>
      <c r="Q32" s="54"/>
      <c r="R32" s="54"/>
      <c r="S32" s="188"/>
      <c r="T32" s="140"/>
      <c r="U32" s="54"/>
    </row>
    <row r="33" spans="4:21" x14ac:dyDescent="0.3">
      <c r="D33" s="62"/>
      <c r="E33" s="53"/>
      <c r="F33" s="53"/>
      <c r="G33" s="135"/>
      <c r="H33" s="118"/>
      <c r="I33" s="141"/>
      <c r="J33" s="53"/>
      <c r="K33" s="53"/>
      <c r="L33" s="141"/>
      <c r="M33" s="53"/>
      <c r="N33" s="53"/>
      <c r="O33" s="53"/>
      <c r="P33" s="53"/>
      <c r="Q33" s="53"/>
      <c r="R33" s="53"/>
      <c r="S33" s="186"/>
      <c r="T33" s="141"/>
      <c r="U33" s="53"/>
    </row>
    <row r="34" spans="4:21" x14ac:dyDescent="0.3">
      <c r="D34" s="69"/>
      <c r="E34" s="54"/>
      <c r="F34" s="54"/>
      <c r="G34" s="134"/>
      <c r="H34" s="119"/>
      <c r="I34" s="140"/>
      <c r="J34" s="54"/>
      <c r="K34" s="54"/>
      <c r="L34" s="140"/>
      <c r="M34" s="54"/>
      <c r="N34" s="54"/>
      <c r="O34" s="54"/>
      <c r="P34" s="54"/>
      <c r="Q34" s="54"/>
      <c r="R34" s="54"/>
      <c r="S34" s="188"/>
      <c r="T34" s="140"/>
      <c r="U34" s="54"/>
    </row>
    <row r="35" spans="4:21" x14ac:dyDescent="0.3">
      <c r="D35" s="62"/>
      <c r="E35" s="53"/>
      <c r="F35" s="53"/>
      <c r="G35" s="135"/>
      <c r="H35" s="118"/>
      <c r="I35" s="141"/>
      <c r="J35" s="53"/>
      <c r="K35" s="53"/>
      <c r="L35" s="141"/>
      <c r="M35" s="53"/>
      <c r="N35" s="53"/>
      <c r="O35" s="53"/>
      <c r="P35" s="53"/>
      <c r="Q35" s="53"/>
      <c r="R35" s="53"/>
      <c r="S35" s="186"/>
      <c r="T35" s="141"/>
      <c r="U35" s="53"/>
    </row>
    <row r="36" spans="4:21" x14ac:dyDescent="0.3">
      <c r="D36" s="69"/>
      <c r="E36" s="54"/>
      <c r="F36" s="54"/>
      <c r="G36" s="134"/>
      <c r="H36" s="119"/>
      <c r="I36" s="140"/>
      <c r="J36" s="54"/>
      <c r="K36" s="54"/>
      <c r="L36" s="140"/>
      <c r="M36" s="54"/>
      <c r="N36" s="54"/>
      <c r="O36" s="54"/>
      <c r="P36" s="54"/>
      <c r="Q36" s="54"/>
      <c r="R36" s="54"/>
      <c r="S36" s="188"/>
      <c r="T36" s="140"/>
      <c r="U36" s="54"/>
    </row>
    <row r="37" spans="4:21" x14ac:dyDescent="0.3">
      <c r="D37" s="62"/>
      <c r="E37" s="53"/>
      <c r="F37" s="53"/>
      <c r="G37" s="135"/>
      <c r="H37" s="118"/>
      <c r="I37" s="141"/>
      <c r="J37" s="53"/>
      <c r="K37" s="53"/>
      <c r="L37" s="141"/>
      <c r="M37" s="53"/>
      <c r="N37" s="53"/>
      <c r="O37" s="53"/>
      <c r="P37" s="53"/>
      <c r="Q37" s="53"/>
      <c r="R37" s="53"/>
      <c r="S37" s="186"/>
      <c r="T37" s="141"/>
      <c r="U37" s="53"/>
    </row>
    <row r="38" spans="4:21" x14ac:dyDescent="0.3">
      <c r="D38" s="69"/>
      <c r="E38" s="54"/>
      <c r="F38" s="54"/>
      <c r="G38" s="134"/>
      <c r="H38" s="119"/>
      <c r="I38" s="140"/>
      <c r="J38" s="54"/>
      <c r="K38" s="54"/>
      <c r="L38" s="140"/>
      <c r="M38" s="54"/>
      <c r="N38" s="54"/>
      <c r="O38" s="54"/>
      <c r="P38" s="54"/>
      <c r="Q38" s="54"/>
      <c r="R38" s="54"/>
      <c r="S38" s="188"/>
      <c r="T38" s="140"/>
      <c r="U38" s="54"/>
    </row>
    <row r="39" spans="4:21" x14ac:dyDescent="0.3">
      <c r="D39" s="62"/>
      <c r="E39" s="53"/>
      <c r="F39" s="53"/>
      <c r="G39" s="135"/>
      <c r="H39" s="118"/>
      <c r="I39" s="141"/>
      <c r="J39" s="53"/>
      <c r="K39" s="53"/>
      <c r="L39" s="141"/>
      <c r="M39" s="53"/>
      <c r="N39" s="53"/>
      <c r="O39" s="53"/>
      <c r="P39" s="53"/>
      <c r="Q39" s="53"/>
      <c r="R39" s="53"/>
      <c r="S39" s="186"/>
      <c r="T39" s="141"/>
      <c r="U39" s="53"/>
    </row>
    <row r="40" spans="4:21" x14ac:dyDescent="0.3">
      <c r="D40" s="69"/>
      <c r="E40" s="54"/>
      <c r="F40" s="54"/>
      <c r="G40" s="134"/>
      <c r="H40" s="119"/>
      <c r="I40" s="140"/>
      <c r="J40" s="54"/>
      <c r="K40" s="54"/>
      <c r="L40" s="140"/>
      <c r="M40" s="54"/>
      <c r="N40" s="54"/>
      <c r="O40" s="54"/>
      <c r="P40" s="54"/>
      <c r="Q40" s="54"/>
      <c r="R40" s="54"/>
      <c r="S40" s="188"/>
      <c r="T40" s="140"/>
      <c r="U40" s="54"/>
    </row>
    <row r="41" spans="4:21" x14ac:dyDescent="0.3">
      <c r="D41" s="62"/>
      <c r="E41" s="53"/>
      <c r="F41" s="53"/>
      <c r="G41" s="135"/>
      <c r="H41" s="118"/>
      <c r="I41" s="141"/>
      <c r="J41" s="53"/>
      <c r="K41" s="53"/>
      <c r="L41" s="141"/>
      <c r="M41" s="53"/>
      <c r="N41" s="53"/>
      <c r="O41" s="53"/>
      <c r="P41" s="53"/>
      <c r="Q41" s="53"/>
      <c r="R41" s="53"/>
      <c r="S41" s="186"/>
      <c r="T41" s="141"/>
      <c r="U41" s="53"/>
    </row>
    <row r="42" spans="4:21" x14ac:dyDescent="0.3">
      <c r="D42" s="69"/>
      <c r="E42" s="54"/>
      <c r="F42" s="54"/>
      <c r="G42" s="134"/>
      <c r="H42" s="119"/>
      <c r="I42" s="140"/>
      <c r="J42" s="54"/>
      <c r="K42" s="54"/>
      <c r="L42" s="140"/>
      <c r="M42" s="54"/>
      <c r="N42" s="54"/>
      <c r="O42" s="54"/>
      <c r="P42" s="54"/>
      <c r="Q42" s="54"/>
      <c r="R42" s="54"/>
      <c r="S42" s="188"/>
      <c r="T42" s="140"/>
      <c r="U42" s="54"/>
    </row>
    <row r="43" spans="4:21" x14ac:dyDescent="0.3">
      <c r="D43" s="62"/>
      <c r="E43" s="53"/>
      <c r="F43" s="53"/>
      <c r="G43" s="135"/>
      <c r="H43" s="118"/>
      <c r="I43" s="141"/>
      <c r="J43" s="53"/>
      <c r="K43" s="53"/>
      <c r="L43" s="141"/>
      <c r="M43" s="53"/>
      <c r="N43" s="53"/>
      <c r="O43" s="53"/>
      <c r="P43" s="53"/>
      <c r="Q43" s="53"/>
      <c r="R43" s="53"/>
      <c r="S43" s="186"/>
      <c r="T43" s="141"/>
      <c r="U43" s="53"/>
    </row>
    <row r="44" spans="4:21" x14ac:dyDescent="0.3">
      <c r="D44" s="69"/>
      <c r="E44" s="54"/>
      <c r="F44" s="54"/>
      <c r="G44" s="134"/>
      <c r="H44" s="119"/>
      <c r="I44" s="140"/>
      <c r="J44" s="54"/>
      <c r="K44" s="54"/>
      <c r="L44" s="140"/>
      <c r="M44" s="54"/>
      <c r="N44" s="54"/>
      <c r="O44" s="54"/>
      <c r="P44" s="54"/>
      <c r="Q44" s="54"/>
      <c r="R44" s="54"/>
      <c r="S44" s="188"/>
      <c r="T44" s="140"/>
      <c r="U44" s="54"/>
    </row>
    <row r="45" spans="4:21" x14ac:dyDescent="0.3">
      <c r="D45" s="62"/>
      <c r="E45" s="53"/>
      <c r="F45" s="53"/>
      <c r="G45" s="135"/>
      <c r="H45" s="118"/>
      <c r="I45" s="141"/>
      <c r="J45" s="53"/>
      <c r="K45" s="53"/>
      <c r="L45" s="141"/>
      <c r="M45" s="53"/>
      <c r="N45" s="53"/>
      <c r="O45" s="53"/>
      <c r="P45" s="53"/>
      <c r="Q45" s="53"/>
      <c r="R45" s="53"/>
      <c r="S45" s="186"/>
      <c r="T45" s="141"/>
      <c r="U45" s="53"/>
    </row>
    <row r="46" spans="4:21" x14ac:dyDescent="0.3">
      <c r="D46" s="69"/>
      <c r="E46" s="54"/>
      <c r="F46" s="54"/>
      <c r="G46" s="134"/>
      <c r="H46" s="119"/>
      <c r="I46" s="140"/>
      <c r="J46" s="54"/>
      <c r="K46" s="54"/>
      <c r="L46" s="140"/>
      <c r="M46" s="54"/>
      <c r="N46" s="54"/>
      <c r="O46" s="54"/>
      <c r="P46" s="54"/>
      <c r="Q46" s="54"/>
      <c r="R46" s="54"/>
      <c r="S46" s="188"/>
      <c r="T46" s="140"/>
      <c r="U46" s="54"/>
    </row>
    <row r="47" spans="4:21" x14ac:dyDescent="0.3">
      <c r="D47" s="62"/>
      <c r="E47" s="53"/>
      <c r="F47" s="53"/>
      <c r="G47" s="135"/>
      <c r="H47" s="118"/>
      <c r="I47" s="141"/>
      <c r="J47" s="53"/>
      <c r="K47" s="53"/>
      <c r="L47" s="141"/>
      <c r="M47" s="53"/>
      <c r="N47" s="53"/>
      <c r="O47" s="53"/>
      <c r="P47" s="53"/>
      <c r="Q47" s="53"/>
      <c r="R47" s="53"/>
      <c r="S47" s="186"/>
      <c r="T47" s="141"/>
      <c r="U47" s="53"/>
    </row>
    <row r="48" spans="4:21" x14ac:dyDescent="0.3">
      <c r="D48" s="69"/>
      <c r="E48" s="54"/>
      <c r="F48" s="54"/>
      <c r="G48" s="134"/>
      <c r="H48" s="119"/>
      <c r="I48" s="140"/>
      <c r="J48" s="54"/>
      <c r="K48" s="54"/>
      <c r="L48" s="140"/>
      <c r="M48" s="54"/>
      <c r="N48" s="54"/>
      <c r="O48" s="54"/>
      <c r="P48" s="54"/>
      <c r="Q48" s="54"/>
      <c r="R48" s="54"/>
      <c r="S48" s="188"/>
      <c r="T48" s="140"/>
      <c r="U48" s="54"/>
    </row>
    <row r="49" spans="4:21" x14ac:dyDescent="0.3">
      <c r="D49" s="62"/>
      <c r="E49" s="53"/>
      <c r="F49" s="53"/>
      <c r="G49" s="135"/>
      <c r="H49" s="118"/>
      <c r="I49" s="141"/>
      <c r="J49" s="53"/>
      <c r="K49" s="53"/>
      <c r="L49" s="141"/>
      <c r="M49" s="53"/>
      <c r="N49" s="53"/>
      <c r="O49" s="53"/>
      <c r="P49" s="53"/>
      <c r="Q49" s="53"/>
      <c r="R49" s="53"/>
      <c r="S49" s="186"/>
      <c r="T49" s="141"/>
      <c r="U49" s="53"/>
    </row>
    <row r="50" spans="4:21" x14ac:dyDescent="0.3">
      <c r="D50" s="69"/>
      <c r="E50" s="54"/>
      <c r="F50" s="54"/>
      <c r="G50" s="134"/>
      <c r="H50" s="119"/>
      <c r="I50" s="140"/>
      <c r="J50" s="54"/>
      <c r="K50" s="54"/>
      <c r="L50" s="140"/>
      <c r="M50" s="54"/>
      <c r="N50" s="54"/>
      <c r="O50" s="54"/>
      <c r="P50" s="54"/>
      <c r="Q50" s="54"/>
      <c r="R50" s="54"/>
      <c r="S50" s="188"/>
      <c r="T50" s="140"/>
      <c r="U50" s="54"/>
    </row>
    <row r="51" spans="4:21" x14ac:dyDescent="0.3">
      <c r="D51" s="62"/>
      <c r="E51" s="53"/>
      <c r="F51" s="53"/>
      <c r="G51" s="135"/>
      <c r="H51" s="118"/>
      <c r="I51" s="141"/>
      <c r="J51" s="53"/>
      <c r="K51" s="53"/>
      <c r="L51" s="141"/>
      <c r="M51" s="53"/>
      <c r="N51" s="53"/>
      <c r="O51" s="53"/>
      <c r="P51" s="53"/>
      <c r="Q51" s="53"/>
      <c r="R51" s="53"/>
      <c r="S51" s="186"/>
      <c r="T51" s="141"/>
      <c r="U51" s="53"/>
    </row>
    <row r="52" spans="4:21" x14ac:dyDescent="0.3">
      <c r="D52" s="69"/>
      <c r="E52" s="54"/>
      <c r="F52" s="54"/>
      <c r="G52" s="134"/>
      <c r="H52" s="119"/>
      <c r="I52" s="140"/>
      <c r="J52" s="54"/>
      <c r="K52" s="54"/>
      <c r="L52" s="140"/>
      <c r="M52" s="54"/>
      <c r="N52" s="54"/>
      <c r="O52" s="54"/>
      <c r="P52" s="54"/>
      <c r="Q52" s="54"/>
      <c r="R52" s="54"/>
      <c r="S52" s="188"/>
      <c r="T52" s="140"/>
      <c r="U52" s="54"/>
    </row>
    <row r="53" spans="4:21" x14ac:dyDescent="0.3">
      <c r="D53" s="62"/>
      <c r="E53" s="53"/>
      <c r="F53" s="53"/>
      <c r="G53" s="135"/>
      <c r="H53" s="118"/>
      <c r="I53" s="141"/>
      <c r="J53" s="53"/>
      <c r="K53" s="53"/>
      <c r="L53" s="141"/>
      <c r="M53" s="53"/>
      <c r="N53" s="53"/>
      <c r="O53" s="53"/>
      <c r="P53" s="53"/>
      <c r="Q53" s="53"/>
      <c r="R53" s="53"/>
      <c r="S53" s="186"/>
      <c r="T53" s="141"/>
      <c r="U53" s="53"/>
    </row>
    <row r="54" spans="4:21" x14ac:dyDescent="0.3">
      <c r="D54" s="69"/>
      <c r="E54" s="54"/>
      <c r="F54" s="54"/>
      <c r="G54" s="134"/>
      <c r="H54" s="119"/>
      <c r="I54" s="140"/>
      <c r="J54" s="54"/>
      <c r="K54" s="54"/>
      <c r="L54" s="140"/>
      <c r="M54" s="54"/>
      <c r="N54" s="54"/>
      <c r="O54" s="54"/>
      <c r="P54" s="54"/>
      <c r="Q54" s="54"/>
      <c r="R54" s="54"/>
      <c r="S54" s="188"/>
      <c r="T54" s="140"/>
      <c r="U54" s="54"/>
    </row>
    <row r="55" spans="4:21" x14ac:dyDescent="0.3">
      <c r="D55" s="62"/>
      <c r="E55" s="53"/>
      <c r="F55" s="53"/>
      <c r="G55" s="135"/>
      <c r="H55" s="118"/>
      <c r="I55" s="141"/>
      <c r="J55" s="53"/>
      <c r="K55" s="53"/>
      <c r="L55" s="141"/>
      <c r="M55" s="53"/>
      <c r="N55" s="53"/>
      <c r="O55" s="53"/>
      <c r="P55" s="53"/>
      <c r="Q55" s="53"/>
      <c r="R55" s="53"/>
      <c r="S55" s="186"/>
      <c r="T55" s="141"/>
      <c r="U55" s="53"/>
    </row>
    <row r="56" spans="4:21" x14ac:dyDescent="0.3">
      <c r="D56" s="69"/>
      <c r="E56" s="54"/>
      <c r="F56" s="54"/>
      <c r="G56" s="134"/>
      <c r="H56" s="119"/>
      <c r="I56" s="140"/>
      <c r="J56" s="54"/>
      <c r="K56" s="54"/>
      <c r="L56" s="140"/>
      <c r="M56" s="54"/>
      <c r="N56" s="54"/>
      <c r="O56" s="54"/>
      <c r="P56" s="54"/>
      <c r="Q56" s="54"/>
      <c r="R56" s="54"/>
      <c r="S56" s="188"/>
      <c r="T56" s="140"/>
      <c r="U56" s="54"/>
    </row>
    <row r="57" spans="4:21" x14ac:dyDescent="0.3">
      <c r="D57" s="62"/>
      <c r="E57" s="53"/>
      <c r="F57" s="53"/>
      <c r="G57" s="135"/>
      <c r="H57" s="118"/>
      <c r="I57" s="141"/>
      <c r="J57" s="53"/>
      <c r="K57" s="53"/>
      <c r="L57" s="141"/>
      <c r="M57" s="53"/>
      <c r="N57" s="53"/>
      <c r="O57" s="53"/>
      <c r="P57" s="53"/>
      <c r="Q57" s="53"/>
      <c r="R57" s="53"/>
      <c r="S57" s="186"/>
      <c r="T57" s="141"/>
      <c r="U57" s="53"/>
    </row>
    <row r="58" spans="4:21" x14ac:dyDescent="0.3">
      <c r="D58" s="69"/>
      <c r="E58" s="54"/>
      <c r="F58" s="54"/>
      <c r="G58" s="134"/>
      <c r="H58" s="119"/>
      <c r="I58" s="140"/>
      <c r="J58" s="54"/>
      <c r="K58" s="54"/>
      <c r="L58" s="140"/>
      <c r="M58" s="54"/>
      <c r="N58" s="54"/>
      <c r="O58" s="54"/>
      <c r="P58" s="54"/>
      <c r="Q58" s="54"/>
      <c r="R58" s="54"/>
      <c r="S58" s="188"/>
      <c r="T58" s="140"/>
      <c r="U58" s="54"/>
    </row>
    <row r="59" spans="4:21" x14ac:dyDescent="0.3">
      <c r="D59" s="62"/>
      <c r="E59" s="53"/>
      <c r="F59" s="53"/>
      <c r="G59" s="135"/>
      <c r="H59" s="118"/>
      <c r="I59" s="141"/>
      <c r="J59" s="53"/>
      <c r="K59" s="53"/>
      <c r="L59" s="141"/>
      <c r="M59" s="53"/>
      <c r="N59" s="53"/>
      <c r="O59" s="53"/>
      <c r="P59" s="53"/>
      <c r="Q59" s="53"/>
      <c r="R59" s="53"/>
      <c r="S59" s="186"/>
      <c r="T59" s="141"/>
      <c r="U59" s="53"/>
    </row>
    <row r="60" spans="4:21" x14ac:dyDescent="0.3">
      <c r="D60" s="69"/>
      <c r="E60" s="54"/>
      <c r="F60" s="54"/>
      <c r="G60" s="134"/>
      <c r="H60" s="119"/>
      <c r="I60" s="140"/>
      <c r="J60" s="54"/>
      <c r="K60" s="54"/>
      <c r="L60" s="140"/>
      <c r="M60" s="54"/>
      <c r="N60" s="54"/>
      <c r="O60" s="54"/>
      <c r="P60" s="54"/>
      <c r="Q60" s="54"/>
      <c r="R60" s="54"/>
      <c r="S60" s="188"/>
      <c r="T60" s="140"/>
      <c r="U60" s="54"/>
    </row>
    <row r="61" spans="4:21" x14ac:dyDescent="0.3">
      <c r="D61" s="62"/>
      <c r="E61" s="53"/>
      <c r="F61" s="53"/>
      <c r="G61" s="135"/>
      <c r="H61" s="118"/>
      <c r="I61" s="141"/>
      <c r="J61" s="53"/>
      <c r="K61" s="53"/>
      <c r="L61" s="141"/>
      <c r="M61" s="53"/>
      <c r="N61" s="53"/>
      <c r="O61" s="53"/>
      <c r="P61" s="53"/>
      <c r="Q61" s="53"/>
      <c r="R61" s="53"/>
      <c r="S61" s="186"/>
      <c r="T61" s="141"/>
      <c r="U61" s="53"/>
    </row>
    <row r="62" spans="4:21" x14ac:dyDescent="0.3">
      <c r="D62" s="69"/>
      <c r="E62" s="54"/>
      <c r="F62" s="54"/>
      <c r="G62" s="134"/>
      <c r="H62" s="119"/>
      <c r="I62" s="140"/>
      <c r="J62" s="54"/>
      <c r="K62" s="54"/>
      <c r="L62" s="140"/>
      <c r="M62" s="54"/>
      <c r="N62" s="54"/>
      <c r="O62" s="54"/>
      <c r="P62" s="54"/>
      <c r="Q62" s="54"/>
      <c r="R62" s="54"/>
      <c r="S62" s="188"/>
      <c r="T62" s="140"/>
      <c r="U62" s="54"/>
    </row>
    <row r="63" spans="4:21" x14ac:dyDescent="0.3">
      <c r="D63" s="62"/>
      <c r="E63" s="53"/>
      <c r="F63" s="53"/>
      <c r="G63" s="135"/>
      <c r="H63" s="118"/>
      <c r="I63" s="141"/>
      <c r="J63" s="53"/>
      <c r="K63" s="53"/>
      <c r="L63" s="141"/>
      <c r="M63" s="53"/>
      <c r="N63" s="53"/>
      <c r="O63" s="53"/>
      <c r="P63" s="53"/>
      <c r="Q63" s="53"/>
      <c r="R63" s="53"/>
      <c r="S63" s="186"/>
      <c r="T63" s="141"/>
      <c r="U63" s="53"/>
    </row>
    <row r="64" spans="4:21" x14ac:dyDescent="0.3">
      <c r="D64" s="69"/>
      <c r="E64" s="54"/>
      <c r="F64" s="54"/>
      <c r="G64" s="134"/>
      <c r="H64" s="119"/>
      <c r="I64" s="140"/>
      <c r="J64" s="54"/>
      <c r="K64" s="54"/>
      <c r="L64" s="140"/>
      <c r="M64" s="54"/>
      <c r="N64" s="54"/>
      <c r="O64" s="54"/>
      <c r="P64" s="54"/>
      <c r="Q64" s="54"/>
      <c r="R64" s="54"/>
      <c r="S64" s="188"/>
      <c r="T64" s="140"/>
      <c r="U64" s="54"/>
    </row>
    <row r="65" spans="4:21" x14ac:dyDescent="0.3">
      <c r="D65" s="62"/>
      <c r="E65" s="53"/>
      <c r="F65" s="53"/>
      <c r="G65" s="135"/>
      <c r="H65" s="118"/>
      <c r="I65" s="141"/>
      <c r="J65" s="53"/>
      <c r="K65" s="53"/>
      <c r="L65" s="141"/>
      <c r="M65" s="53"/>
      <c r="N65" s="53"/>
      <c r="O65" s="53"/>
      <c r="P65" s="53"/>
      <c r="Q65" s="53"/>
      <c r="R65" s="53"/>
      <c r="S65" s="186"/>
      <c r="T65" s="141"/>
      <c r="U65" s="53"/>
    </row>
    <row r="66" spans="4:21" x14ac:dyDescent="0.3">
      <c r="D66" s="69"/>
      <c r="E66" s="54"/>
      <c r="F66" s="54"/>
      <c r="G66" s="134"/>
      <c r="H66" s="119"/>
      <c r="I66" s="140"/>
      <c r="J66" s="54"/>
      <c r="K66" s="54"/>
      <c r="L66" s="140"/>
      <c r="M66" s="54"/>
      <c r="N66" s="54"/>
      <c r="O66" s="54"/>
      <c r="P66" s="54"/>
      <c r="Q66" s="54"/>
      <c r="R66" s="54"/>
      <c r="S66" s="188"/>
      <c r="T66" s="140"/>
      <c r="U66" s="54"/>
    </row>
    <row r="67" spans="4:21" x14ac:dyDescent="0.3">
      <c r="D67" s="62"/>
      <c r="E67" s="53"/>
      <c r="F67" s="53"/>
      <c r="G67" s="135"/>
      <c r="H67" s="118"/>
      <c r="I67" s="141"/>
      <c r="J67" s="53"/>
      <c r="K67" s="53"/>
      <c r="L67" s="141"/>
      <c r="M67" s="53"/>
      <c r="N67" s="53"/>
      <c r="O67" s="53"/>
      <c r="P67" s="53"/>
      <c r="Q67" s="53"/>
      <c r="R67" s="53"/>
      <c r="S67" s="186"/>
      <c r="T67" s="141"/>
      <c r="U67" s="53"/>
    </row>
    <row r="68" spans="4:21" x14ac:dyDescent="0.3">
      <c r="D68" s="69"/>
      <c r="E68" s="54"/>
      <c r="F68" s="54"/>
      <c r="G68" s="134"/>
      <c r="H68" s="119"/>
      <c r="I68" s="140"/>
      <c r="J68" s="54"/>
      <c r="K68" s="54"/>
      <c r="L68" s="140"/>
      <c r="M68" s="54"/>
      <c r="N68" s="54"/>
      <c r="O68" s="54"/>
      <c r="P68" s="54"/>
      <c r="Q68" s="54"/>
      <c r="R68" s="54"/>
      <c r="S68" s="188"/>
      <c r="T68" s="140"/>
      <c r="U68" s="54"/>
    </row>
    <row r="69" spans="4:21" x14ac:dyDescent="0.3">
      <c r="D69" s="62"/>
      <c r="E69" s="53"/>
      <c r="F69" s="53"/>
      <c r="G69" s="135"/>
      <c r="H69" s="118"/>
      <c r="I69" s="141"/>
      <c r="J69" s="53"/>
      <c r="K69" s="53"/>
      <c r="L69" s="141"/>
      <c r="M69" s="53"/>
      <c r="N69" s="53"/>
      <c r="O69" s="53"/>
      <c r="P69" s="53"/>
      <c r="Q69" s="53"/>
      <c r="R69" s="53"/>
      <c r="S69" s="186"/>
      <c r="T69" s="141"/>
      <c r="U69" s="53"/>
    </row>
    <row r="70" spans="4:21" x14ac:dyDescent="0.3">
      <c r="D70" s="69"/>
      <c r="E70" s="54"/>
      <c r="F70" s="54"/>
      <c r="G70" s="134"/>
      <c r="H70" s="119"/>
      <c r="I70" s="140"/>
      <c r="J70" s="54"/>
      <c r="K70" s="54"/>
      <c r="L70" s="140"/>
      <c r="M70" s="54"/>
      <c r="N70" s="54"/>
      <c r="O70" s="54"/>
      <c r="P70" s="54"/>
      <c r="Q70" s="54"/>
      <c r="R70" s="54"/>
      <c r="S70" s="188"/>
      <c r="T70" s="140"/>
      <c r="U70" s="54"/>
    </row>
    <row r="71" spans="4:21" x14ac:dyDescent="0.3">
      <c r="D71" s="62"/>
      <c r="E71" s="53"/>
      <c r="F71" s="53"/>
      <c r="G71" s="135"/>
      <c r="H71" s="118"/>
      <c r="I71" s="141"/>
      <c r="J71" s="53"/>
      <c r="K71" s="53"/>
      <c r="L71" s="141"/>
      <c r="M71" s="53"/>
      <c r="N71" s="53"/>
      <c r="O71" s="53"/>
      <c r="P71" s="53"/>
      <c r="Q71" s="53"/>
      <c r="R71" s="53"/>
      <c r="S71" s="186"/>
      <c r="T71" s="141"/>
      <c r="U71" s="53"/>
    </row>
    <row r="72" spans="4:21" x14ac:dyDescent="0.3">
      <c r="D72" s="69"/>
      <c r="E72" s="54"/>
      <c r="F72" s="54"/>
      <c r="G72" s="134"/>
      <c r="H72" s="119"/>
      <c r="I72" s="140"/>
      <c r="J72" s="54"/>
      <c r="K72" s="54"/>
      <c r="L72" s="140"/>
      <c r="M72" s="54"/>
      <c r="N72" s="54"/>
      <c r="O72" s="54"/>
      <c r="P72" s="54"/>
      <c r="Q72" s="54"/>
      <c r="R72" s="54"/>
      <c r="S72" s="188"/>
      <c r="T72" s="140"/>
      <c r="U72" s="54"/>
    </row>
    <row r="73" spans="4:21" x14ac:dyDescent="0.3">
      <c r="D73" s="62"/>
      <c r="E73" s="53"/>
      <c r="F73" s="53"/>
      <c r="G73" s="135"/>
      <c r="H73" s="118"/>
      <c r="I73" s="141"/>
      <c r="J73" s="53"/>
      <c r="K73" s="53"/>
      <c r="L73" s="141"/>
      <c r="M73" s="53"/>
      <c r="N73" s="53"/>
      <c r="O73" s="53"/>
      <c r="P73" s="53"/>
      <c r="Q73" s="53"/>
      <c r="R73" s="53"/>
      <c r="S73" s="186"/>
      <c r="T73" s="141"/>
      <c r="U73" s="53"/>
    </row>
    <row r="74" spans="4:21" x14ac:dyDescent="0.3">
      <c r="D74" s="69"/>
      <c r="E74" s="54"/>
      <c r="F74" s="54"/>
      <c r="G74" s="134"/>
      <c r="H74" s="119"/>
      <c r="I74" s="140"/>
      <c r="J74" s="54"/>
      <c r="K74" s="54"/>
      <c r="L74" s="140"/>
      <c r="M74" s="54"/>
      <c r="N74" s="54"/>
      <c r="O74" s="54"/>
      <c r="P74" s="54"/>
      <c r="Q74" s="54"/>
      <c r="R74" s="54"/>
      <c r="S74" s="188"/>
      <c r="T74" s="140"/>
      <c r="U74" s="54"/>
    </row>
    <row r="75" spans="4:21" x14ac:dyDescent="0.3">
      <c r="D75" s="62"/>
      <c r="E75" s="53"/>
      <c r="F75" s="53"/>
      <c r="G75" s="135"/>
      <c r="H75" s="118"/>
      <c r="I75" s="141"/>
      <c r="J75" s="53"/>
      <c r="K75" s="53"/>
      <c r="L75" s="141"/>
      <c r="M75" s="53"/>
      <c r="N75" s="53"/>
      <c r="O75" s="53"/>
      <c r="P75" s="53"/>
      <c r="Q75" s="53"/>
      <c r="R75" s="53"/>
      <c r="S75" s="186"/>
      <c r="T75" s="141"/>
      <c r="U75" s="53"/>
    </row>
    <row r="76" spans="4:21" x14ac:dyDescent="0.3">
      <c r="D76" s="69"/>
      <c r="E76" s="54"/>
      <c r="F76" s="54"/>
      <c r="G76" s="134"/>
      <c r="H76" s="119"/>
      <c r="I76" s="140"/>
      <c r="J76" s="54"/>
      <c r="K76" s="54"/>
      <c r="L76" s="140"/>
      <c r="M76" s="54"/>
      <c r="N76" s="54"/>
      <c r="O76" s="54"/>
      <c r="P76" s="54"/>
      <c r="Q76" s="54"/>
      <c r="R76" s="54"/>
      <c r="S76" s="188"/>
      <c r="T76" s="140"/>
      <c r="U76" s="54"/>
    </row>
    <row r="77" spans="4:21" x14ac:dyDescent="0.3">
      <c r="D77" s="62"/>
      <c r="E77" s="53"/>
      <c r="F77" s="53"/>
      <c r="G77" s="135"/>
      <c r="H77" s="118"/>
      <c r="I77" s="141"/>
      <c r="J77" s="53"/>
      <c r="K77" s="53"/>
      <c r="L77" s="141"/>
      <c r="M77" s="53"/>
      <c r="N77" s="53"/>
      <c r="O77" s="53"/>
      <c r="P77" s="53"/>
      <c r="Q77" s="53"/>
      <c r="R77" s="53"/>
      <c r="S77" s="186"/>
      <c r="T77" s="141"/>
      <c r="U77" s="53"/>
    </row>
    <row r="78" spans="4:21" x14ac:dyDescent="0.3">
      <c r="D78" s="69"/>
      <c r="E78" s="54"/>
      <c r="F78" s="54"/>
      <c r="G78" s="134"/>
      <c r="H78" s="119"/>
      <c r="I78" s="140"/>
      <c r="J78" s="54"/>
      <c r="K78" s="54"/>
      <c r="L78" s="140"/>
      <c r="M78" s="54"/>
      <c r="N78" s="54"/>
      <c r="O78" s="54"/>
      <c r="P78" s="54"/>
      <c r="Q78" s="54"/>
      <c r="R78" s="54"/>
      <c r="S78" s="188"/>
      <c r="T78" s="140"/>
      <c r="U78" s="54"/>
    </row>
    <row r="79" spans="4:21" x14ac:dyDescent="0.3">
      <c r="D79" s="62"/>
      <c r="E79" s="53"/>
      <c r="F79" s="53"/>
      <c r="G79" s="135"/>
      <c r="H79" s="118"/>
      <c r="I79" s="141"/>
      <c r="J79" s="53"/>
      <c r="K79" s="53"/>
      <c r="L79" s="141"/>
      <c r="M79" s="53"/>
      <c r="N79" s="53"/>
      <c r="O79" s="53"/>
      <c r="P79" s="53"/>
      <c r="Q79" s="53"/>
      <c r="R79" s="53"/>
      <c r="S79" s="186"/>
      <c r="T79" s="141"/>
      <c r="U79" s="53"/>
    </row>
    <row r="80" spans="4:21" x14ac:dyDescent="0.3">
      <c r="D80" s="69"/>
      <c r="E80" s="54"/>
      <c r="F80" s="54"/>
      <c r="G80" s="134"/>
      <c r="H80" s="119"/>
      <c r="I80" s="140"/>
      <c r="J80" s="54"/>
      <c r="K80" s="54"/>
      <c r="L80" s="140"/>
      <c r="M80" s="54"/>
      <c r="N80" s="54"/>
      <c r="O80" s="54"/>
      <c r="P80" s="54"/>
      <c r="Q80" s="54"/>
      <c r="R80" s="54"/>
      <c r="S80" s="188"/>
      <c r="T80" s="140"/>
      <c r="U80" s="54"/>
    </row>
    <row r="81" spans="4:21" x14ac:dyDescent="0.3">
      <c r="D81" s="62"/>
      <c r="E81" s="53"/>
      <c r="F81" s="53"/>
      <c r="G81" s="135"/>
      <c r="H81" s="118"/>
      <c r="I81" s="141"/>
      <c r="J81" s="53"/>
      <c r="K81" s="53"/>
      <c r="L81" s="141"/>
      <c r="M81" s="53"/>
      <c r="N81" s="53"/>
      <c r="O81" s="53"/>
      <c r="P81" s="53"/>
      <c r="Q81" s="53"/>
      <c r="R81" s="53"/>
      <c r="S81" s="186"/>
      <c r="T81" s="141"/>
      <c r="U81" s="53"/>
    </row>
    <row r="82" spans="4:21" x14ac:dyDescent="0.3">
      <c r="D82" s="69"/>
      <c r="E82" s="54"/>
      <c r="F82" s="54"/>
      <c r="G82" s="134"/>
      <c r="H82" s="119"/>
      <c r="I82" s="140"/>
      <c r="J82" s="54"/>
      <c r="K82" s="54"/>
      <c r="L82" s="140"/>
      <c r="M82" s="54"/>
      <c r="N82" s="54"/>
      <c r="O82" s="54"/>
      <c r="P82" s="54"/>
      <c r="Q82" s="54"/>
      <c r="R82" s="54"/>
      <c r="S82" s="188"/>
      <c r="T82" s="140"/>
      <c r="U82" s="54"/>
    </row>
    <row r="83" spans="4:21" x14ac:dyDescent="0.3">
      <c r="D83" s="62"/>
      <c r="E83" s="53"/>
      <c r="F83" s="53"/>
      <c r="G83" s="135"/>
      <c r="H83" s="118"/>
      <c r="I83" s="141"/>
      <c r="J83" s="53"/>
      <c r="K83" s="53"/>
      <c r="L83" s="141"/>
      <c r="M83" s="53"/>
      <c r="N83" s="53"/>
      <c r="O83" s="53"/>
      <c r="P83" s="53"/>
      <c r="Q83" s="53"/>
      <c r="R83" s="53"/>
      <c r="S83" s="186"/>
      <c r="T83" s="141"/>
      <c r="U83" s="53"/>
    </row>
    <row r="84" spans="4:21" x14ac:dyDescent="0.3">
      <c r="D84" s="69"/>
      <c r="E84" s="54"/>
      <c r="F84" s="54"/>
      <c r="G84" s="134"/>
      <c r="H84" s="119"/>
      <c r="I84" s="140"/>
      <c r="J84" s="54"/>
      <c r="K84" s="54"/>
      <c r="L84" s="140"/>
      <c r="M84" s="54"/>
      <c r="N84" s="54"/>
      <c r="O84" s="54"/>
      <c r="P84" s="54"/>
      <c r="Q84" s="54"/>
      <c r="R84" s="54"/>
      <c r="S84" s="188"/>
      <c r="T84" s="140"/>
      <c r="U84" s="54"/>
    </row>
    <row r="85" spans="4:21" x14ac:dyDescent="0.3">
      <c r="D85" s="62"/>
      <c r="E85" s="53"/>
      <c r="F85" s="53"/>
      <c r="G85" s="135"/>
      <c r="H85" s="118"/>
      <c r="I85" s="141"/>
      <c r="J85" s="53"/>
      <c r="K85" s="53"/>
      <c r="L85" s="141"/>
      <c r="M85" s="53"/>
      <c r="N85" s="53"/>
      <c r="O85" s="53"/>
      <c r="P85" s="53"/>
      <c r="Q85" s="53"/>
      <c r="R85" s="53"/>
      <c r="S85" s="186"/>
      <c r="T85" s="141"/>
      <c r="U85" s="53"/>
    </row>
    <row r="86" spans="4:21" x14ac:dyDescent="0.3">
      <c r="D86" s="69"/>
      <c r="E86" s="54"/>
      <c r="F86" s="54"/>
      <c r="G86" s="134"/>
      <c r="H86" s="119"/>
      <c r="I86" s="140"/>
      <c r="J86" s="54"/>
      <c r="K86" s="54"/>
      <c r="L86" s="140"/>
      <c r="M86" s="54"/>
      <c r="N86" s="54"/>
      <c r="O86" s="54"/>
      <c r="P86" s="54"/>
      <c r="Q86" s="54"/>
      <c r="R86" s="54"/>
      <c r="S86" s="188"/>
      <c r="T86" s="140"/>
      <c r="U86" s="54"/>
    </row>
    <row r="87" spans="4:21" x14ac:dyDescent="0.3">
      <c r="D87" s="62"/>
      <c r="E87" s="53"/>
      <c r="F87" s="53"/>
      <c r="G87" s="135"/>
      <c r="H87" s="118"/>
      <c r="I87" s="141"/>
      <c r="J87" s="53"/>
      <c r="K87" s="53"/>
      <c r="L87" s="141"/>
      <c r="M87" s="53"/>
      <c r="N87" s="53"/>
      <c r="O87" s="53"/>
      <c r="P87" s="53"/>
      <c r="Q87" s="53"/>
      <c r="R87" s="53"/>
      <c r="S87" s="186"/>
      <c r="T87" s="141"/>
      <c r="U87" s="53"/>
    </row>
    <row r="88" spans="4:21" x14ac:dyDescent="0.3">
      <c r="D88" s="69"/>
      <c r="E88" s="54"/>
      <c r="F88" s="54"/>
      <c r="G88" s="134"/>
      <c r="H88" s="119"/>
      <c r="I88" s="140"/>
      <c r="J88" s="54"/>
      <c r="K88" s="54"/>
      <c r="L88" s="140"/>
      <c r="M88" s="54"/>
      <c r="N88" s="54"/>
      <c r="O88" s="54"/>
      <c r="P88" s="54"/>
      <c r="Q88" s="54"/>
      <c r="R88" s="54"/>
      <c r="S88" s="188"/>
      <c r="T88" s="140"/>
      <c r="U88" s="54"/>
    </row>
    <row r="89" spans="4:21" x14ac:dyDescent="0.3">
      <c r="D89" s="62"/>
      <c r="E89" s="53"/>
      <c r="F89" s="53"/>
      <c r="G89" s="135"/>
      <c r="H89" s="118"/>
      <c r="I89" s="141"/>
      <c r="J89" s="53"/>
      <c r="K89" s="53"/>
      <c r="L89" s="141"/>
      <c r="M89" s="53"/>
      <c r="N89" s="53"/>
      <c r="O89" s="53"/>
      <c r="P89" s="53"/>
      <c r="Q89" s="53"/>
      <c r="R89" s="53"/>
      <c r="S89" s="186"/>
      <c r="T89" s="141"/>
      <c r="U89" s="53"/>
    </row>
    <row r="90" spans="4:21" x14ac:dyDescent="0.3">
      <c r="D90" s="69"/>
      <c r="E90" s="54"/>
      <c r="F90" s="54"/>
      <c r="G90" s="134"/>
      <c r="H90" s="119"/>
      <c r="I90" s="140"/>
      <c r="J90" s="54"/>
      <c r="K90" s="54"/>
      <c r="L90" s="140"/>
      <c r="M90" s="54"/>
      <c r="N90" s="54"/>
      <c r="O90" s="54"/>
      <c r="P90" s="54"/>
      <c r="Q90" s="54"/>
      <c r="R90" s="54"/>
      <c r="S90" s="188"/>
      <c r="T90" s="140"/>
      <c r="U90" s="54"/>
    </row>
    <row r="91" spans="4:21" x14ac:dyDescent="0.3">
      <c r="D91" s="62"/>
      <c r="E91" s="53"/>
      <c r="F91" s="53"/>
      <c r="G91" s="135"/>
      <c r="H91" s="118"/>
      <c r="I91" s="141"/>
      <c r="J91" s="53"/>
      <c r="K91" s="53"/>
      <c r="L91" s="141"/>
      <c r="M91" s="53"/>
      <c r="N91" s="53"/>
      <c r="O91" s="53"/>
      <c r="P91" s="53"/>
      <c r="Q91" s="53"/>
      <c r="R91" s="53"/>
      <c r="S91" s="186"/>
      <c r="T91" s="141"/>
      <c r="U91" s="53"/>
    </row>
    <row r="92" spans="4:21" x14ac:dyDescent="0.3">
      <c r="D92" s="69"/>
      <c r="E92" s="54"/>
      <c r="F92" s="54"/>
      <c r="G92" s="134"/>
      <c r="H92" s="119"/>
      <c r="I92" s="140"/>
      <c r="J92" s="54"/>
      <c r="K92" s="54"/>
      <c r="L92" s="140"/>
      <c r="M92" s="54"/>
      <c r="N92" s="54"/>
      <c r="O92" s="54"/>
      <c r="P92" s="54"/>
      <c r="Q92" s="54"/>
      <c r="R92" s="54"/>
      <c r="S92" s="188"/>
      <c r="T92" s="140"/>
      <c r="U92" s="54"/>
    </row>
    <row r="93" spans="4:21" x14ac:dyDescent="0.3">
      <c r="D93" s="62"/>
      <c r="E93" s="53"/>
      <c r="F93" s="53"/>
      <c r="G93" s="135"/>
      <c r="H93" s="118"/>
      <c r="I93" s="141"/>
      <c r="J93" s="53"/>
      <c r="K93" s="53"/>
      <c r="L93" s="141"/>
      <c r="M93" s="53"/>
      <c r="N93" s="53"/>
      <c r="O93" s="53"/>
      <c r="P93" s="53"/>
      <c r="Q93" s="53"/>
      <c r="R93" s="53"/>
      <c r="S93" s="186"/>
      <c r="T93" s="141"/>
      <c r="U93" s="53"/>
    </row>
    <row r="94" spans="4:21" x14ac:dyDescent="0.3">
      <c r="D94" s="69"/>
      <c r="E94" s="54"/>
      <c r="F94" s="54"/>
      <c r="G94" s="134"/>
      <c r="H94" s="119"/>
      <c r="I94" s="140"/>
      <c r="J94" s="54"/>
      <c r="K94" s="54"/>
      <c r="L94" s="140"/>
      <c r="M94" s="54"/>
      <c r="N94" s="54"/>
      <c r="O94" s="54"/>
      <c r="P94" s="54"/>
      <c r="Q94" s="54"/>
      <c r="R94" s="54"/>
      <c r="S94" s="188"/>
      <c r="T94" s="140"/>
      <c r="U94" s="54"/>
    </row>
    <row r="95" spans="4:21" x14ac:dyDescent="0.3">
      <c r="D95" s="62"/>
      <c r="E95" s="53"/>
      <c r="F95" s="53"/>
      <c r="G95" s="135"/>
      <c r="H95" s="118"/>
      <c r="I95" s="141"/>
      <c r="J95" s="53"/>
      <c r="K95" s="53"/>
      <c r="L95" s="141"/>
      <c r="M95" s="53"/>
      <c r="N95" s="53"/>
      <c r="O95" s="53"/>
      <c r="P95" s="53"/>
      <c r="Q95" s="53"/>
      <c r="R95" s="53"/>
      <c r="S95" s="186"/>
      <c r="T95" s="141"/>
      <c r="U95" s="53"/>
    </row>
    <row r="96" spans="4:21" x14ac:dyDescent="0.3">
      <c r="D96" s="69"/>
      <c r="E96" s="54"/>
      <c r="F96" s="54"/>
      <c r="G96" s="134"/>
      <c r="H96" s="119"/>
      <c r="I96" s="140"/>
      <c r="J96" s="54"/>
      <c r="K96" s="54"/>
      <c r="L96" s="140"/>
      <c r="M96" s="54"/>
      <c r="N96" s="54"/>
      <c r="O96" s="54"/>
      <c r="P96" s="54"/>
      <c r="Q96" s="54"/>
      <c r="R96" s="54"/>
      <c r="S96" s="188"/>
      <c r="T96" s="140"/>
      <c r="U96" s="54"/>
    </row>
    <row r="97" spans="4:21" x14ac:dyDescent="0.3">
      <c r="D97" s="62"/>
      <c r="E97" s="53"/>
      <c r="F97" s="53"/>
      <c r="G97" s="135"/>
      <c r="H97" s="118"/>
      <c r="I97" s="141"/>
      <c r="J97" s="53"/>
      <c r="K97" s="53"/>
      <c r="L97" s="141"/>
      <c r="M97" s="53"/>
      <c r="N97" s="53"/>
      <c r="O97" s="53"/>
      <c r="P97" s="53"/>
      <c r="Q97" s="53"/>
      <c r="R97" s="53"/>
      <c r="S97" s="186"/>
      <c r="T97" s="141"/>
      <c r="U97" s="53"/>
    </row>
    <row r="98" spans="4:21" x14ac:dyDescent="0.3">
      <c r="D98" s="69"/>
      <c r="E98" s="54"/>
      <c r="F98" s="54"/>
      <c r="G98" s="134"/>
      <c r="H98" s="119"/>
      <c r="I98" s="140"/>
      <c r="J98" s="54"/>
      <c r="K98" s="54"/>
      <c r="L98" s="140"/>
      <c r="M98" s="54"/>
      <c r="N98" s="54"/>
      <c r="O98" s="54"/>
      <c r="P98" s="54"/>
      <c r="Q98" s="54"/>
      <c r="R98" s="54"/>
      <c r="S98" s="188"/>
      <c r="T98" s="140"/>
      <c r="U98" s="54"/>
    </row>
    <row r="99" spans="4:21" x14ac:dyDescent="0.3">
      <c r="D99" s="62"/>
      <c r="E99" s="53"/>
      <c r="F99" s="53"/>
      <c r="G99" s="135"/>
      <c r="H99" s="118"/>
      <c r="I99" s="141"/>
      <c r="J99" s="53"/>
      <c r="K99" s="53"/>
      <c r="L99" s="141"/>
      <c r="M99" s="53"/>
      <c r="N99" s="53"/>
      <c r="O99" s="53"/>
      <c r="P99" s="53"/>
      <c r="Q99" s="53"/>
      <c r="R99" s="53"/>
      <c r="S99" s="186"/>
      <c r="T99" s="141"/>
      <c r="U99" s="53"/>
    </row>
    <row r="100" spans="4:21" x14ac:dyDescent="0.3">
      <c r="D100" s="69"/>
      <c r="E100" s="54"/>
      <c r="F100" s="54"/>
      <c r="G100" s="134"/>
      <c r="H100" s="119"/>
      <c r="I100" s="140"/>
      <c r="J100" s="54"/>
      <c r="K100" s="54"/>
      <c r="L100" s="140"/>
      <c r="M100" s="54"/>
      <c r="N100" s="54"/>
      <c r="O100" s="54"/>
      <c r="P100" s="54"/>
      <c r="Q100" s="54"/>
      <c r="R100" s="54"/>
      <c r="S100" s="188"/>
      <c r="T100" s="140"/>
      <c r="U100" s="54"/>
    </row>
    <row r="101" spans="4:21" x14ac:dyDescent="0.3">
      <c r="D101" s="62"/>
      <c r="E101" s="53"/>
      <c r="F101" s="53"/>
      <c r="G101" s="135"/>
      <c r="H101" s="118"/>
      <c r="I101" s="141"/>
      <c r="J101" s="53"/>
      <c r="K101" s="53"/>
      <c r="L101" s="141"/>
      <c r="M101" s="53"/>
      <c r="N101" s="53"/>
      <c r="O101" s="53"/>
      <c r="P101" s="53"/>
      <c r="Q101" s="53"/>
      <c r="R101" s="53"/>
      <c r="S101" s="186"/>
      <c r="T101" s="141"/>
      <c r="U101" s="53"/>
    </row>
    <row r="102" spans="4:21" x14ac:dyDescent="0.3">
      <c r="D102" s="69"/>
      <c r="E102" s="54"/>
      <c r="F102" s="54"/>
      <c r="G102" s="134"/>
      <c r="H102" s="119"/>
      <c r="I102" s="140"/>
      <c r="J102" s="54"/>
      <c r="K102" s="54"/>
      <c r="L102" s="140"/>
      <c r="M102" s="54"/>
      <c r="N102" s="54"/>
      <c r="O102" s="54"/>
      <c r="P102" s="54"/>
      <c r="Q102" s="54"/>
      <c r="R102" s="54"/>
      <c r="S102" s="188"/>
      <c r="T102" s="140"/>
      <c r="U102" s="54"/>
    </row>
    <row r="103" spans="4:21" x14ac:dyDescent="0.3">
      <c r="D103" s="62"/>
      <c r="E103" s="53"/>
      <c r="F103" s="53"/>
      <c r="G103" s="135"/>
      <c r="H103" s="118"/>
      <c r="I103" s="141"/>
      <c r="J103" s="53"/>
      <c r="K103" s="53"/>
      <c r="L103" s="141"/>
      <c r="M103" s="53"/>
      <c r="N103" s="53"/>
      <c r="O103" s="53"/>
      <c r="P103" s="53"/>
      <c r="Q103" s="53"/>
      <c r="R103" s="53"/>
      <c r="S103" s="186"/>
      <c r="T103" s="141"/>
      <c r="U103" s="53"/>
    </row>
    <row r="104" spans="4:21" x14ac:dyDescent="0.3">
      <c r="D104" s="69"/>
      <c r="E104" s="54"/>
      <c r="F104" s="54"/>
      <c r="G104" s="134"/>
      <c r="H104" s="119"/>
      <c r="I104" s="140"/>
      <c r="J104" s="54"/>
      <c r="K104" s="54"/>
      <c r="L104" s="140"/>
      <c r="M104" s="54"/>
      <c r="N104" s="54"/>
      <c r="O104" s="54"/>
      <c r="P104" s="54"/>
      <c r="Q104" s="54"/>
      <c r="R104" s="54"/>
      <c r="S104" s="188"/>
      <c r="T104" s="140"/>
      <c r="U104" s="54"/>
    </row>
    <row r="105" spans="4:21" x14ac:dyDescent="0.3">
      <c r="D105" s="62"/>
      <c r="E105" s="53"/>
      <c r="F105" s="53"/>
      <c r="G105" s="135"/>
      <c r="H105" s="118"/>
      <c r="I105" s="141"/>
      <c r="J105" s="53"/>
      <c r="K105" s="53"/>
      <c r="L105" s="141"/>
      <c r="M105" s="53"/>
      <c r="N105" s="53"/>
      <c r="O105" s="53"/>
      <c r="P105" s="53"/>
      <c r="Q105" s="53"/>
      <c r="R105" s="53"/>
      <c r="S105" s="186"/>
      <c r="T105" s="141"/>
      <c r="U105" s="53"/>
    </row>
    <row r="106" spans="4:21" x14ac:dyDescent="0.3">
      <c r="D106" s="69"/>
      <c r="E106" s="54"/>
      <c r="F106" s="54"/>
      <c r="G106" s="134"/>
      <c r="H106" s="119"/>
      <c r="I106" s="140"/>
      <c r="J106" s="54"/>
      <c r="K106" s="54"/>
      <c r="L106" s="140"/>
      <c r="M106" s="54"/>
      <c r="N106" s="54"/>
      <c r="O106" s="54"/>
      <c r="P106" s="54"/>
      <c r="Q106" s="54"/>
      <c r="R106" s="54"/>
      <c r="S106" s="188"/>
      <c r="T106" s="140"/>
      <c r="U106" s="54"/>
    </row>
    <row r="107" spans="4:21" x14ac:dyDescent="0.3">
      <c r="D107" s="62"/>
      <c r="E107" s="53"/>
      <c r="F107" s="53"/>
      <c r="G107" s="135"/>
      <c r="H107" s="118"/>
      <c r="I107" s="141"/>
      <c r="J107" s="53"/>
      <c r="K107" s="53"/>
      <c r="L107" s="141"/>
      <c r="M107" s="53"/>
      <c r="N107" s="53"/>
      <c r="O107" s="53"/>
      <c r="P107" s="53"/>
      <c r="Q107" s="53"/>
      <c r="R107" s="53"/>
      <c r="S107" s="186"/>
      <c r="T107" s="141"/>
      <c r="U107" s="53"/>
    </row>
    <row r="108" spans="4:21" x14ac:dyDescent="0.3">
      <c r="D108" s="69"/>
      <c r="E108" s="54"/>
      <c r="F108" s="54"/>
      <c r="G108" s="134"/>
      <c r="H108" s="119"/>
      <c r="I108" s="140"/>
      <c r="J108" s="54"/>
      <c r="K108" s="54"/>
      <c r="L108" s="140"/>
      <c r="M108" s="54"/>
      <c r="N108" s="54"/>
      <c r="O108" s="54"/>
      <c r="P108" s="54"/>
      <c r="Q108" s="54"/>
      <c r="R108" s="54"/>
      <c r="S108" s="188"/>
      <c r="T108" s="140"/>
      <c r="U108" s="54"/>
    </row>
    <row r="109" spans="4:21" x14ac:dyDescent="0.3">
      <c r="D109" s="62"/>
      <c r="E109" s="53"/>
      <c r="F109" s="53"/>
      <c r="G109" s="135"/>
      <c r="H109" s="118"/>
      <c r="I109" s="141"/>
      <c r="J109" s="53"/>
      <c r="K109" s="53"/>
      <c r="L109" s="141"/>
      <c r="M109" s="53"/>
      <c r="N109" s="53"/>
      <c r="O109" s="53"/>
      <c r="P109" s="53"/>
      <c r="Q109" s="53"/>
      <c r="R109" s="53"/>
      <c r="S109" s="186"/>
      <c r="T109" s="141"/>
      <c r="U109" s="53"/>
    </row>
    <row r="110" spans="4:21" x14ac:dyDescent="0.3">
      <c r="D110" s="69"/>
      <c r="E110" s="54"/>
      <c r="F110" s="54"/>
      <c r="G110" s="134"/>
      <c r="H110" s="119"/>
      <c r="I110" s="140"/>
      <c r="J110" s="54"/>
      <c r="K110" s="54"/>
      <c r="L110" s="140"/>
      <c r="M110" s="54"/>
      <c r="N110" s="54"/>
      <c r="O110" s="54"/>
      <c r="P110" s="54"/>
      <c r="Q110" s="54"/>
      <c r="R110" s="54"/>
      <c r="S110" s="188"/>
      <c r="T110" s="140"/>
      <c r="U110" s="54"/>
    </row>
    <row r="111" spans="4:21" x14ac:dyDescent="0.3">
      <c r="D111" s="62"/>
      <c r="E111" s="53"/>
      <c r="F111" s="53"/>
      <c r="G111" s="135"/>
      <c r="H111" s="118"/>
      <c r="I111" s="141"/>
      <c r="J111" s="53"/>
      <c r="K111" s="53"/>
      <c r="L111" s="141"/>
      <c r="M111" s="53"/>
      <c r="N111" s="53"/>
      <c r="O111" s="53"/>
      <c r="P111" s="53"/>
      <c r="Q111" s="53"/>
      <c r="R111" s="53"/>
      <c r="S111" s="186"/>
      <c r="T111" s="141"/>
      <c r="U111" s="53"/>
    </row>
    <row r="112" spans="4:21" x14ac:dyDescent="0.3">
      <c r="D112" s="69"/>
      <c r="E112" s="54"/>
      <c r="F112" s="54"/>
      <c r="G112" s="134"/>
      <c r="H112" s="119"/>
      <c r="I112" s="140"/>
      <c r="J112" s="54"/>
      <c r="K112" s="54"/>
      <c r="L112" s="140"/>
      <c r="M112" s="54"/>
      <c r="N112" s="54"/>
      <c r="O112" s="54"/>
      <c r="P112" s="54"/>
      <c r="Q112" s="54"/>
      <c r="R112" s="54"/>
      <c r="S112" s="188"/>
      <c r="T112" s="140"/>
      <c r="U112" s="54"/>
    </row>
    <row r="113" spans="4:21" x14ac:dyDescent="0.3">
      <c r="D113" s="62"/>
      <c r="E113" s="53"/>
      <c r="F113" s="53"/>
      <c r="G113" s="135"/>
      <c r="H113" s="118"/>
      <c r="I113" s="141"/>
      <c r="J113" s="53"/>
      <c r="K113" s="53"/>
      <c r="L113" s="141"/>
      <c r="M113" s="53"/>
      <c r="N113" s="53"/>
      <c r="O113" s="53"/>
      <c r="P113" s="53"/>
      <c r="Q113" s="53"/>
      <c r="R113" s="53"/>
      <c r="S113" s="186"/>
      <c r="T113" s="141"/>
      <c r="U113" s="53"/>
    </row>
    <row r="114" spans="4:21" x14ac:dyDescent="0.3">
      <c r="D114" s="69"/>
      <c r="E114" s="54"/>
      <c r="F114" s="54"/>
      <c r="G114" s="134"/>
      <c r="H114" s="119"/>
      <c r="I114" s="140"/>
      <c r="J114" s="54"/>
      <c r="K114" s="54"/>
      <c r="L114" s="140"/>
      <c r="M114" s="54"/>
      <c r="N114" s="54"/>
      <c r="O114" s="54"/>
      <c r="P114" s="54"/>
      <c r="Q114" s="54"/>
      <c r="R114" s="54"/>
      <c r="S114" s="188"/>
      <c r="T114" s="140"/>
      <c r="U114" s="54"/>
    </row>
    <row r="115" spans="4:21" x14ac:dyDescent="0.3">
      <c r="D115" s="62"/>
      <c r="E115" s="53"/>
      <c r="F115" s="53"/>
      <c r="G115" s="135"/>
      <c r="H115" s="118"/>
      <c r="I115" s="141"/>
      <c r="J115" s="53"/>
      <c r="K115" s="53"/>
      <c r="L115" s="141"/>
      <c r="M115" s="53"/>
      <c r="N115" s="53"/>
      <c r="O115" s="53"/>
      <c r="P115" s="53"/>
      <c r="Q115" s="53"/>
      <c r="R115" s="53"/>
      <c r="S115" s="186"/>
      <c r="T115" s="141"/>
      <c r="U115" s="53"/>
    </row>
    <row r="116" spans="4:21" x14ac:dyDescent="0.3">
      <c r="D116" s="69"/>
      <c r="E116" s="54"/>
      <c r="F116" s="54"/>
      <c r="G116" s="134"/>
      <c r="H116" s="119"/>
      <c r="I116" s="140"/>
      <c r="J116" s="54"/>
      <c r="K116" s="54"/>
      <c r="L116" s="140"/>
      <c r="M116" s="54"/>
      <c r="N116" s="54"/>
      <c r="O116" s="54"/>
      <c r="P116" s="54"/>
      <c r="Q116" s="54"/>
      <c r="R116" s="54"/>
      <c r="S116" s="188"/>
      <c r="T116" s="140"/>
      <c r="U116" s="54"/>
    </row>
    <row r="117" spans="4:21" x14ac:dyDescent="0.3">
      <c r="D117" s="62"/>
      <c r="E117" s="53"/>
      <c r="F117" s="53"/>
      <c r="G117" s="135"/>
      <c r="H117" s="118"/>
      <c r="I117" s="141"/>
      <c r="J117" s="53"/>
      <c r="K117" s="53"/>
      <c r="L117" s="141"/>
      <c r="M117" s="53"/>
      <c r="N117" s="53"/>
      <c r="O117" s="53"/>
      <c r="P117" s="53"/>
      <c r="Q117" s="53"/>
      <c r="R117" s="53"/>
      <c r="S117" s="186"/>
      <c r="T117" s="141"/>
      <c r="U117" s="53"/>
    </row>
    <row r="118" spans="4:21" x14ac:dyDescent="0.3">
      <c r="D118" s="69"/>
      <c r="E118" s="54"/>
      <c r="F118" s="54"/>
      <c r="G118" s="134"/>
      <c r="H118" s="119"/>
      <c r="I118" s="140"/>
      <c r="J118" s="54"/>
      <c r="K118" s="54"/>
      <c r="L118" s="140"/>
      <c r="M118" s="54"/>
      <c r="N118" s="54"/>
      <c r="O118" s="54"/>
      <c r="P118" s="54"/>
      <c r="Q118" s="54"/>
      <c r="R118" s="54"/>
      <c r="S118" s="188"/>
      <c r="T118" s="140"/>
      <c r="U118" s="54"/>
    </row>
    <row r="119" spans="4:21" x14ac:dyDescent="0.3">
      <c r="D119" s="62"/>
      <c r="E119" s="53"/>
      <c r="F119" s="53"/>
      <c r="G119" s="135"/>
      <c r="H119" s="118"/>
      <c r="I119" s="141"/>
      <c r="J119" s="53"/>
      <c r="K119" s="53"/>
      <c r="L119" s="141"/>
      <c r="M119" s="53"/>
      <c r="N119" s="53"/>
      <c r="O119" s="53"/>
      <c r="P119" s="53"/>
      <c r="Q119" s="53"/>
      <c r="R119" s="53"/>
      <c r="S119" s="186"/>
      <c r="T119" s="141"/>
      <c r="U119" s="53"/>
    </row>
    <row r="120" spans="4:21" x14ac:dyDescent="0.3">
      <c r="D120" s="69"/>
      <c r="E120" s="54"/>
      <c r="F120" s="54"/>
      <c r="G120" s="134"/>
      <c r="H120" s="119"/>
      <c r="I120" s="140"/>
      <c r="J120" s="54"/>
      <c r="K120" s="54"/>
      <c r="L120" s="140"/>
      <c r="M120" s="54"/>
      <c r="N120" s="54"/>
      <c r="O120" s="54"/>
      <c r="P120" s="54"/>
      <c r="Q120" s="54"/>
      <c r="R120" s="54"/>
      <c r="S120" s="188"/>
      <c r="T120" s="140"/>
      <c r="U120" s="54"/>
    </row>
    <row r="121" spans="4:21" x14ac:dyDescent="0.3">
      <c r="D121" s="62"/>
      <c r="E121" s="53"/>
      <c r="F121" s="53"/>
      <c r="G121" s="135"/>
      <c r="H121" s="118"/>
      <c r="I121" s="141"/>
      <c r="J121" s="53"/>
      <c r="K121" s="53"/>
      <c r="L121" s="141"/>
      <c r="M121" s="53"/>
      <c r="N121" s="53"/>
      <c r="O121" s="53"/>
      <c r="P121" s="53"/>
      <c r="Q121" s="53"/>
      <c r="R121" s="53"/>
      <c r="S121" s="186"/>
      <c r="T121" s="141"/>
      <c r="U121" s="53"/>
    </row>
    <row r="122" spans="4:21" x14ac:dyDescent="0.3">
      <c r="D122" s="69"/>
      <c r="E122" s="54"/>
      <c r="F122" s="54"/>
      <c r="G122" s="134"/>
      <c r="H122" s="119"/>
      <c r="I122" s="140"/>
      <c r="J122" s="54"/>
      <c r="K122" s="54"/>
      <c r="L122" s="140"/>
      <c r="M122" s="54"/>
      <c r="N122" s="54"/>
      <c r="O122" s="54"/>
      <c r="P122" s="54"/>
      <c r="Q122" s="54"/>
      <c r="R122" s="54"/>
      <c r="S122" s="188"/>
      <c r="T122" s="140"/>
      <c r="U122" s="54"/>
    </row>
    <row r="123" spans="4:21" x14ac:dyDescent="0.3">
      <c r="D123" s="62"/>
      <c r="E123" s="53"/>
      <c r="F123" s="53"/>
      <c r="G123" s="135"/>
      <c r="H123" s="118"/>
      <c r="I123" s="141"/>
      <c r="J123" s="53"/>
      <c r="K123" s="53"/>
      <c r="L123" s="141"/>
      <c r="M123" s="53"/>
      <c r="N123" s="53"/>
      <c r="O123" s="53"/>
      <c r="P123" s="53"/>
      <c r="Q123" s="53"/>
      <c r="R123" s="53"/>
      <c r="S123" s="186"/>
      <c r="T123" s="141"/>
      <c r="U123" s="53"/>
    </row>
    <row r="124" spans="4:21" x14ac:dyDescent="0.3">
      <c r="D124" s="69"/>
      <c r="E124" s="54"/>
      <c r="F124" s="54"/>
      <c r="G124" s="134"/>
      <c r="H124" s="119"/>
      <c r="I124" s="140"/>
      <c r="J124" s="54"/>
      <c r="K124" s="54"/>
      <c r="L124" s="140"/>
      <c r="M124" s="54"/>
      <c r="N124" s="54"/>
      <c r="O124" s="54"/>
      <c r="P124" s="54"/>
      <c r="Q124" s="54"/>
      <c r="R124" s="54"/>
      <c r="S124" s="188"/>
      <c r="T124" s="140"/>
      <c r="U124" s="54"/>
    </row>
    <row r="125" spans="4:21" x14ac:dyDescent="0.3">
      <c r="D125" s="62"/>
      <c r="E125" s="53"/>
      <c r="F125" s="53"/>
      <c r="G125" s="135"/>
      <c r="H125" s="118"/>
      <c r="I125" s="141"/>
      <c r="J125" s="53"/>
      <c r="K125" s="53"/>
      <c r="L125" s="141"/>
      <c r="M125" s="53"/>
      <c r="N125" s="53"/>
      <c r="O125" s="53"/>
      <c r="P125" s="53"/>
      <c r="Q125" s="53"/>
      <c r="R125" s="53"/>
      <c r="S125" s="186"/>
      <c r="T125" s="141"/>
      <c r="U125" s="53"/>
    </row>
    <row r="126" spans="4:21" x14ac:dyDescent="0.3">
      <c r="D126" s="69"/>
      <c r="E126" s="54"/>
      <c r="F126" s="54"/>
      <c r="G126" s="134"/>
      <c r="H126" s="119"/>
      <c r="I126" s="140"/>
      <c r="J126" s="54"/>
      <c r="K126" s="54"/>
      <c r="L126" s="140"/>
      <c r="M126" s="54"/>
      <c r="N126" s="54"/>
      <c r="O126" s="54"/>
      <c r="P126" s="54"/>
      <c r="Q126" s="54"/>
      <c r="R126" s="54"/>
      <c r="S126" s="188"/>
      <c r="T126" s="140"/>
      <c r="U126" s="54"/>
    </row>
    <row r="127" spans="4:21" x14ac:dyDescent="0.3">
      <c r="D127" s="62"/>
      <c r="E127" s="53"/>
      <c r="F127" s="53"/>
      <c r="G127" s="135"/>
      <c r="H127" s="118"/>
      <c r="I127" s="141"/>
      <c r="J127" s="53"/>
      <c r="K127" s="53"/>
      <c r="L127" s="141"/>
      <c r="M127" s="53"/>
      <c r="N127" s="53"/>
      <c r="O127" s="53"/>
      <c r="P127" s="53"/>
      <c r="Q127" s="53"/>
      <c r="R127" s="53"/>
      <c r="S127" s="186"/>
      <c r="T127" s="141"/>
      <c r="U127" s="53"/>
    </row>
    <row r="128" spans="4:21" x14ac:dyDescent="0.3">
      <c r="D128" s="69"/>
      <c r="E128" s="54"/>
      <c r="F128" s="54"/>
      <c r="G128" s="134"/>
      <c r="H128" s="119"/>
      <c r="I128" s="140"/>
      <c r="J128" s="54"/>
      <c r="K128" s="54"/>
      <c r="L128" s="140"/>
      <c r="M128" s="54"/>
      <c r="N128" s="54"/>
      <c r="O128" s="54"/>
      <c r="P128" s="54"/>
      <c r="Q128" s="54"/>
      <c r="R128" s="54"/>
      <c r="S128" s="188"/>
      <c r="T128" s="140"/>
      <c r="U128" s="54"/>
    </row>
    <row r="129" spans="4:21" x14ac:dyDescent="0.3">
      <c r="D129" s="62"/>
      <c r="E129" s="53"/>
      <c r="F129" s="53"/>
      <c r="G129" s="135"/>
      <c r="H129" s="118"/>
      <c r="I129" s="141"/>
      <c r="J129" s="53"/>
      <c r="K129" s="53"/>
      <c r="L129" s="141"/>
      <c r="M129" s="53"/>
      <c r="N129" s="53"/>
      <c r="O129" s="53"/>
      <c r="P129" s="53"/>
      <c r="Q129" s="53"/>
      <c r="R129" s="53"/>
      <c r="S129" s="186"/>
      <c r="T129" s="141"/>
      <c r="U129" s="53"/>
    </row>
    <row r="130" spans="4:21" x14ac:dyDescent="0.3">
      <c r="D130" s="69"/>
      <c r="E130" s="54"/>
      <c r="F130" s="54"/>
      <c r="G130" s="134"/>
      <c r="H130" s="119"/>
      <c r="I130" s="140"/>
      <c r="J130" s="54"/>
      <c r="K130" s="54"/>
      <c r="L130" s="140"/>
      <c r="M130" s="54"/>
      <c r="N130" s="54"/>
      <c r="O130" s="54"/>
      <c r="P130" s="54"/>
      <c r="Q130" s="54"/>
      <c r="R130" s="54"/>
      <c r="S130" s="188"/>
      <c r="T130" s="140"/>
      <c r="U130" s="54"/>
    </row>
    <row r="131" spans="4:21" x14ac:dyDescent="0.3">
      <c r="D131" s="62"/>
      <c r="E131" s="53"/>
      <c r="F131" s="53"/>
      <c r="G131" s="135"/>
      <c r="H131" s="118"/>
      <c r="I131" s="141"/>
      <c r="J131" s="53"/>
      <c r="K131" s="53"/>
      <c r="L131" s="141"/>
      <c r="M131" s="53"/>
      <c r="N131" s="53"/>
      <c r="O131" s="53"/>
      <c r="P131" s="53"/>
      <c r="Q131" s="53"/>
      <c r="R131" s="53"/>
      <c r="S131" s="186"/>
      <c r="T131" s="141"/>
      <c r="U131" s="53"/>
    </row>
    <row r="132" spans="4:21" x14ac:dyDescent="0.3">
      <c r="D132" s="69"/>
      <c r="E132" s="54"/>
      <c r="F132" s="54"/>
      <c r="G132" s="134"/>
      <c r="H132" s="119"/>
      <c r="I132" s="140"/>
      <c r="J132" s="54"/>
      <c r="K132" s="54"/>
      <c r="L132" s="140"/>
      <c r="M132" s="54"/>
      <c r="N132" s="54"/>
      <c r="O132" s="54"/>
      <c r="P132" s="54"/>
      <c r="Q132" s="54"/>
      <c r="R132" s="54"/>
      <c r="S132" s="188"/>
      <c r="T132" s="140"/>
      <c r="U132" s="54"/>
    </row>
    <row r="133" spans="4:21" x14ac:dyDescent="0.3">
      <c r="D133" s="62"/>
      <c r="E133" s="53"/>
      <c r="F133" s="53"/>
      <c r="G133" s="135"/>
      <c r="H133" s="118"/>
      <c r="I133" s="141"/>
      <c r="J133" s="53"/>
      <c r="K133" s="53"/>
      <c r="L133" s="141"/>
      <c r="M133" s="53"/>
      <c r="N133" s="53"/>
      <c r="O133" s="53"/>
      <c r="P133" s="53"/>
      <c r="Q133" s="53"/>
      <c r="R133" s="53"/>
      <c r="S133" s="186"/>
      <c r="T133" s="141"/>
      <c r="U133" s="53"/>
    </row>
    <row r="134" spans="4:21" x14ac:dyDescent="0.3">
      <c r="D134" s="69"/>
      <c r="E134" s="54"/>
      <c r="F134" s="54"/>
      <c r="G134" s="134"/>
      <c r="H134" s="119"/>
      <c r="I134" s="140"/>
      <c r="J134" s="54"/>
      <c r="K134" s="54"/>
      <c r="L134" s="140"/>
      <c r="M134" s="54"/>
      <c r="N134" s="54"/>
      <c r="O134" s="54"/>
      <c r="P134" s="54"/>
      <c r="Q134" s="54"/>
      <c r="R134" s="54"/>
      <c r="S134" s="188"/>
      <c r="T134" s="140"/>
      <c r="U134" s="54"/>
    </row>
    <row r="135" spans="4:21" x14ac:dyDescent="0.3">
      <c r="D135" s="62"/>
      <c r="E135" s="53"/>
      <c r="F135" s="53"/>
      <c r="G135" s="135"/>
      <c r="H135" s="118"/>
      <c r="I135" s="141"/>
      <c r="J135" s="53"/>
      <c r="K135" s="53"/>
      <c r="L135" s="141"/>
      <c r="M135" s="53"/>
      <c r="N135" s="53"/>
      <c r="O135" s="53"/>
      <c r="P135" s="53"/>
      <c r="Q135" s="53"/>
      <c r="R135" s="53"/>
      <c r="S135" s="186"/>
      <c r="T135" s="141"/>
      <c r="U135" s="53"/>
    </row>
    <row r="136" spans="4:21" x14ac:dyDescent="0.3">
      <c r="D136" s="69"/>
      <c r="E136" s="54"/>
      <c r="F136" s="54"/>
      <c r="G136" s="134"/>
      <c r="H136" s="119"/>
      <c r="I136" s="140"/>
      <c r="J136" s="54"/>
      <c r="K136" s="54"/>
      <c r="L136" s="140"/>
      <c r="M136" s="54"/>
      <c r="N136" s="54"/>
      <c r="O136" s="54"/>
      <c r="P136" s="54"/>
      <c r="Q136" s="54"/>
      <c r="R136" s="54"/>
      <c r="S136" s="188"/>
      <c r="T136" s="140"/>
      <c r="U136" s="54"/>
    </row>
    <row r="137" spans="4:21" x14ac:dyDescent="0.3">
      <c r="D137" s="62"/>
      <c r="E137" s="53"/>
      <c r="F137" s="53"/>
      <c r="G137" s="135"/>
      <c r="H137" s="118"/>
      <c r="I137" s="141"/>
      <c r="J137" s="53"/>
      <c r="K137" s="53"/>
      <c r="L137" s="141"/>
      <c r="M137" s="53"/>
      <c r="N137" s="53"/>
      <c r="O137" s="53"/>
      <c r="P137" s="53"/>
      <c r="Q137" s="53"/>
      <c r="R137" s="53"/>
      <c r="S137" s="186"/>
      <c r="T137" s="141"/>
      <c r="U137" s="53"/>
    </row>
    <row r="138" spans="4:21" x14ac:dyDescent="0.3">
      <c r="D138" s="69"/>
      <c r="E138" s="54"/>
      <c r="F138" s="54"/>
      <c r="G138" s="134"/>
      <c r="H138" s="119"/>
      <c r="I138" s="140"/>
      <c r="J138" s="54"/>
      <c r="K138" s="54"/>
      <c r="L138" s="140"/>
      <c r="M138" s="54"/>
      <c r="N138" s="54"/>
      <c r="O138" s="54"/>
      <c r="P138" s="54"/>
      <c r="Q138" s="54"/>
      <c r="R138" s="54"/>
      <c r="S138" s="188"/>
      <c r="T138" s="140"/>
      <c r="U138" s="54"/>
    </row>
    <row r="139" spans="4:21" x14ac:dyDescent="0.3">
      <c r="D139" s="62"/>
      <c r="E139" s="53"/>
      <c r="F139" s="53"/>
      <c r="G139" s="135"/>
      <c r="H139" s="118"/>
      <c r="I139" s="141"/>
      <c r="J139" s="53"/>
      <c r="K139" s="53"/>
      <c r="L139" s="141"/>
      <c r="M139" s="53"/>
      <c r="N139" s="53"/>
      <c r="O139" s="53"/>
      <c r="P139" s="53"/>
      <c r="Q139" s="53"/>
      <c r="R139" s="53"/>
      <c r="S139" s="186"/>
      <c r="T139" s="141"/>
      <c r="U139" s="53"/>
    </row>
    <row r="140" spans="4:21" x14ac:dyDescent="0.3">
      <c r="D140" s="69"/>
      <c r="E140" s="54"/>
      <c r="F140" s="54"/>
      <c r="G140" s="134"/>
      <c r="H140" s="119"/>
      <c r="I140" s="140"/>
      <c r="J140" s="54"/>
      <c r="K140" s="54"/>
      <c r="L140" s="140"/>
      <c r="M140" s="54"/>
      <c r="N140" s="54"/>
      <c r="O140" s="54"/>
      <c r="P140" s="54"/>
      <c r="Q140" s="54"/>
      <c r="R140" s="54"/>
      <c r="S140" s="188"/>
      <c r="T140" s="140"/>
      <c r="U140" s="54"/>
    </row>
    <row r="141" spans="4:21" x14ac:dyDescent="0.3">
      <c r="D141" s="62"/>
      <c r="E141" s="53"/>
      <c r="F141" s="53"/>
      <c r="G141" s="135"/>
      <c r="H141" s="118"/>
      <c r="I141" s="141"/>
      <c r="J141" s="53"/>
      <c r="K141" s="53"/>
      <c r="L141" s="141"/>
      <c r="M141" s="53"/>
      <c r="N141" s="53"/>
      <c r="O141" s="53"/>
      <c r="P141" s="53"/>
      <c r="Q141" s="53"/>
      <c r="R141" s="53"/>
      <c r="S141" s="186"/>
      <c r="T141" s="141"/>
      <c r="U141" s="53"/>
    </row>
    <row r="142" spans="4:21" x14ac:dyDescent="0.3">
      <c r="D142" s="69"/>
      <c r="E142" s="54"/>
      <c r="F142" s="54"/>
      <c r="G142" s="134"/>
      <c r="H142" s="119"/>
      <c r="I142" s="140"/>
      <c r="J142" s="54"/>
      <c r="K142" s="54"/>
      <c r="L142" s="140"/>
      <c r="M142" s="54"/>
      <c r="N142" s="54"/>
      <c r="O142" s="54"/>
      <c r="P142" s="54"/>
      <c r="Q142" s="54"/>
      <c r="R142" s="54"/>
      <c r="S142" s="188"/>
      <c r="T142" s="140"/>
      <c r="U142" s="54"/>
    </row>
    <row r="143" spans="4:21" x14ac:dyDescent="0.3">
      <c r="D143" s="62"/>
      <c r="E143" s="53"/>
      <c r="F143" s="53"/>
      <c r="G143" s="135"/>
      <c r="H143" s="118"/>
      <c r="I143" s="141"/>
      <c r="J143" s="53"/>
      <c r="K143" s="53"/>
      <c r="L143" s="141"/>
      <c r="M143" s="53"/>
      <c r="N143" s="53"/>
      <c r="O143" s="53"/>
      <c r="P143" s="53"/>
      <c r="Q143" s="53"/>
      <c r="R143" s="53"/>
      <c r="S143" s="186"/>
      <c r="T143" s="141"/>
      <c r="U143" s="53"/>
    </row>
    <row r="144" spans="4:21" x14ac:dyDescent="0.3">
      <c r="D144" s="69"/>
      <c r="E144" s="54"/>
      <c r="F144" s="54"/>
      <c r="G144" s="134"/>
      <c r="H144" s="119"/>
      <c r="I144" s="140"/>
      <c r="J144" s="54"/>
      <c r="K144" s="54"/>
      <c r="L144" s="140"/>
      <c r="M144" s="54"/>
      <c r="N144" s="54"/>
      <c r="O144" s="54"/>
      <c r="P144" s="54"/>
      <c r="Q144" s="54"/>
      <c r="R144" s="54"/>
      <c r="S144" s="188"/>
      <c r="T144" s="140"/>
      <c r="U144" s="54"/>
    </row>
    <row r="145" spans="4:21" x14ac:dyDescent="0.3">
      <c r="D145" s="62"/>
      <c r="E145" s="53"/>
      <c r="F145" s="53"/>
      <c r="G145" s="135"/>
      <c r="H145" s="118"/>
      <c r="I145" s="141"/>
      <c r="J145" s="53"/>
      <c r="K145" s="53"/>
      <c r="L145" s="141"/>
      <c r="M145" s="53"/>
      <c r="N145" s="53"/>
      <c r="O145" s="53"/>
      <c r="P145" s="53"/>
      <c r="Q145" s="53"/>
      <c r="R145" s="53"/>
      <c r="S145" s="186"/>
      <c r="T145" s="141"/>
      <c r="U145" s="53"/>
    </row>
    <row r="146" spans="4:21" x14ac:dyDescent="0.3">
      <c r="D146" s="69"/>
      <c r="E146" s="54"/>
      <c r="F146" s="54"/>
      <c r="G146" s="134"/>
      <c r="H146" s="119"/>
      <c r="I146" s="140"/>
      <c r="J146" s="54"/>
      <c r="K146" s="54"/>
      <c r="L146" s="140"/>
      <c r="M146" s="54"/>
      <c r="N146" s="54"/>
      <c r="O146" s="54"/>
      <c r="P146" s="54"/>
      <c r="Q146" s="54"/>
      <c r="R146" s="54"/>
      <c r="S146" s="188"/>
      <c r="T146" s="140"/>
      <c r="U146" s="54"/>
    </row>
    <row r="147" spans="4:21" x14ac:dyDescent="0.3">
      <c r="D147" s="62"/>
      <c r="E147" s="53"/>
      <c r="F147" s="53"/>
      <c r="G147" s="135"/>
      <c r="H147" s="118"/>
      <c r="I147" s="141"/>
      <c r="J147" s="53"/>
      <c r="K147" s="53"/>
      <c r="L147" s="141"/>
      <c r="M147" s="53"/>
      <c r="N147" s="53"/>
      <c r="O147" s="53"/>
      <c r="P147" s="53"/>
      <c r="Q147" s="53"/>
      <c r="R147" s="53"/>
      <c r="S147" s="186"/>
      <c r="T147" s="141"/>
      <c r="U147" s="53"/>
    </row>
    <row r="148" spans="4:21" x14ac:dyDescent="0.3">
      <c r="D148" s="69"/>
      <c r="E148" s="54"/>
      <c r="F148" s="54"/>
      <c r="G148" s="134"/>
      <c r="H148" s="119"/>
      <c r="I148" s="140"/>
      <c r="J148" s="54"/>
      <c r="K148" s="54"/>
      <c r="L148" s="140"/>
      <c r="M148" s="54"/>
      <c r="N148" s="54"/>
      <c r="O148" s="54"/>
      <c r="P148" s="54"/>
      <c r="Q148" s="54"/>
      <c r="R148" s="54"/>
      <c r="S148" s="188"/>
      <c r="T148" s="140"/>
      <c r="U148" s="54"/>
    </row>
    <row r="149" spans="4:21" x14ac:dyDescent="0.3">
      <c r="D149" s="62"/>
      <c r="E149" s="53"/>
      <c r="F149" s="53"/>
      <c r="G149" s="135"/>
      <c r="H149" s="118"/>
      <c r="I149" s="141"/>
      <c r="J149" s="53"/>
      <c r="K149" s="53"/>
      <c r="L149" s="141"/>
      <c r="M149" s="53"/>
      <c r="N149" s="53"/>
      <c r="O149" s="53"/>
      <c r="P149" s="53"/>
      <c r="Q149" s="53"/>
      <c r="R149" s="53"/>
      <c r="S149" s="186"/>
      <c r="T149" s="141"/>
      <c r="U149" s="53"/>
    </row>
    <row r="150" spans="4:21" x14ac:dyDescent="0.3">
      <c r="D150" s="69"/>
      <c r="E150" s="54"/>
      <c r="F150" s="54"/>
      <c r="G150" s="134"/>
      <c r="H150" s="119"/>
      <c r="I150" s="140"/>
      <c r="J150" s="54"/>
      <c r="K150" s="54"/>
      <c r="L150" s="140"/>
      <c r="M150" s="54"/>
      <c r="N150" s="54"/>
      <c r="O150" s="54"/>
      <c r="P150" s="54"/>
      <c r="Q150" s="54"/>
      <c r="R150" s="54"/>
      <c r="S150" s="188"/>
      <c r="T150" s="140"/>
      <c r="U150" s="54"/>
    </row>
    <row r="151" spans="4:21" x14ac:dyDescent="0.3">
      <c r="D151" s="62"/>
      <c r="E151" s="53"/>
      <c r="F151" s="53"/>
      <c r="G151" s="135"/>
      <c r="H151" s="118"/>
      <c r="I151" s="141"/>
      <c r="J151" s="53"/>
      <c r="K151" s="53"/>
      <c r="L151" s="141"/>
      <c r="M151" s="53"/>
      <c r="N151" s="53"/>
      <c r="O151" s="53"/>
      <c r="P151" s="53"/>
      <c r="Q151" s="53"/>
      <c r="R151" s="53"/>
      <c r="S151" s="186"/>
      <c r="T151" s="141"/>
      <c r="U151" s="53"/>
    </row>
    <row r="152" spans="4:21" x14ac:dyDescent="0.3">
      <c r="D152" s="69"/>
      <c r="E152" s="54"/>
      <c r="F152" s="54"/>
      <c r="G152" s="134"/>
      <c r="H152" s="119"/>
      <c r="I152" s="140"/>
      <c r="J152" s="54"/>
      <c r="K152" s="54"/>
      <c r="L152" s="140"/>
      <c r="M152" s="54"/>
      <c r="N152" s="54"/>
      <c r="O152" s="54"/>
      <c r="P152" s="54"/>
      <c r="Q152" s="54"/>
      <c r="R152" s="54"/>
      <c r="S152" s="188"/>
      <c r="T152" s="140"/>
      <c r="U152" s="54"/>
    </row>
    <row r="153" spans="4:21" x14ac:dyDescent="0.3">
      <c r="D153" s="62"/>
      <c r="E153" s="53"/>
      <c r="F153" s="53"/>
      <c r="G153" s="135"/>
      <c r="H153" s="118"/>
      <c r="I153" s="141"/>
      <c r="J153" s="53"/>
      <c r="K153" s="53"/>
      <c r="L153" s="141"/>
      <c r="M153" s="53"/>
      <c r="N153" s="53"/>
      <c r="O153" s="53"/>
      <c r="P153" s="53"/>
      <c r="Q153" s="53"/>
      <c r="R153" s="53"/>
      <c r="S153" s="186"/>
      <c r="T153" s="141"/>
      <c r="U153" s="53"/>
    </row>
    <row r="154" spans="4:21" x14ac:dyDescent="0.3">
      <c r="D154" s="69"/>
      <c r="E154" s="54"/>
      <c r="F154" s="54"/>
      <c r="G154" s="134"/>
      <c r="H154" s="119"/>
      <c r="I154" s="140"/>
      <c r="J154" s="54"/>
      <c r="K154" s="54"/>
      <c r="L154" s="140"/>
      <c r="M154" s="54"/>
      <c r="N154" s="54"/>
      <c r="O154" s="54"/>
      <c r="P154" s="54"/>
      <c r="Q154" s="54"/>
      <c r="R154" s="54"/>
      <c r="S154" s="188"/>
      <c r="T154" s="140"/>
      <c r="U154" s="54"/>
    </row>
    <row r="155" spans="4:21" x14ac:dyDescent="0.3">
      <c r="D155" s="62"/>
      <c r="E155" s="53"/>
      <c r="F155" s="53"/>
      <c r="G155" s="135"/>
      <c r="H155" s="118"/>
      <c r="I155" s="141"/>
      <c r="J155" s="53"/>
      <c r="K155" s="53"/>
      <c r="L155" s="141"/>
      <c r="M155" s="53"/>
      <c r="N155" s="53"/>
      <c r="O155" s="53"/>
      <c r="P155" s="53"/>
      <c r="Q155" s="53"/>
      <c r="R155" s="53"/>
      <c r="S155" s="186"/>
      <c r="T155" s="141"/>
      <c r="U155" s="53"/>
    </row>
    <row r="156" spans="4:21" x14ac:dyDescent="0.3">
      <c r="D156" s="69"/>
      <c r="E156" s="54"/>
      <c r="F156" s="54"/>
      <c r="G156" s="134"/>
      <c r="H156" s="119"/>
      <c r="I156" s="140"/>
      <c r="J156" s="54"/>
      <c r="K156" s="54"/>
      <c r="L156" s="140"/>
      <c r="M156" s="54"/>
      <c r="N156" s="54"/>
      <c r="O156" s="54"/>
      <c r="P156" s="54"/>
      <c r="Q156" s="54"/>
      <c r="R156" s="54"/>
      <c r="S156" s="188"/>
      <c r="T156" s="140"/>
      <c r="U156" s="54"/>
    </row>
    <row r="157" spans="4:21" x14ac:dyDescent="0.3">
      <c r="D157" s="62"/>
      <c r="E157" s="53"/>
      <c r="F157" s="53"/>
      <c r="G157" s="135"/>
      <c r="H157" s="118"/>
      <c r="I157" s="141"/>
      <c r="J157" s="53"/>
      <c r="K157" s="53"/>
      <c r="L157" s="141"/>
      <c r="M157" s="53"/>
      <c r="N157" s="53"/>
      <c r="O157" s="53"/>
      <c r="P157" s="53"/>
      <c r="Q157" s="53"/>
      <c r="R157" s="53"/>
      <c r="S157" s="186"/>
      <c r="T157" s="141"/>
      <c r="U157" s="53"/>
    </row>
    <row r="158" spans="4:21" x14ac:dyDescent="0.3">
      <c r="D158" s="69"/>
      <c r="E158" s="54"/>
      <c r="F158" s="54"/>
      <c r="G158" s="134"/>
      <c r="H158" s="119"/>
      <c r="I158" s="140"/>
      <c r="J158" s="54"/>
      <c r="K158" s="54"/>
      <c r="L158" s="140"/>
      <c r="M158" s="54"/>
      <c r="N158" s="54"/>
      <c r="O158" s="54"/>
      <c r="P158" s="54"/>
      <c r="Q158" s="54"/>
      <c r="R158" s="54"/>
      <c r="S158" s="188"/>
      <c r="T158" s="140"/>
      <c r="U158" s="54"/>
    </row>
    <row r="159" spans="4:21" x14ac:dyDescent="0.3">
      <c r="D159" s="62"/>
      <c r="E159" s="53"/>
      <c r="F159" s="53"/>
      <c r="G159" s="135"/>
      <c r="H159" s="118"/>
      <c r="I159" s="141"/>
      <c r="J159" s="53"/>
      <c r="K159" s="53"/>
      <c r="L159" s="141"/>
      <c r="M159" s="53"/>
      <c r="N159" s="53"/>
      <c r="O159" s="53"/>
      <c r="P159" s="53"/>
      <c r="Q159" s="53"/>
      <c r="R159" s="53"/>
      <c r="S159" s="186"/>
      <c r="T159" s="141"/>
      <c r="U159" s="53"/>
    </row>
    <row r="160" spans="4:21" x14ac:dyDescent="0.3">
      <c r="D160" s="69"/>
      <c r="E160" s="54"/>
      <c r="F160" s="54"/>
      <c r="G160" s="134"/>
      <c r="H160" s="119"/>
      <c r="I160" s="140"/>
      <c r="J160" s="54"/>
      <c r="K160" s="54"/>
      <c r="L160" s="140"/>
      <c r="M160" s="54"/>
      <c r="N160" s="54"/>
      <c r="O160" s="54"/>
      <c r="P160" s="54"/>
      <c r="Q160" s="54"/>
      <c r="R160" s="54"/>
      <c r="S160" s="188"/>
      <c r="T160" s="140"/>
      <c r="U160" s="54"/>
    </row>
    <row r="161" spans="4:21" x14ac:dyDescent="0.3">
      <c r="D161" s="62"/>
      <c r="E161" s="53"/>
      <c r="F161" s="53"/>
      <c r="G161" s="135"/>
      <c r="H161" s="118"/>
      <c r="I161" s="141"/>
      <c r="J161" s="53"/>
      <c r="K161" s="53"/>
      <c r="L161" s="141"/>
      <c r="M161" s="53"/>
      <c r="N161" s="53"/>
      <c r="O161" s="53"/>
      <c r="P161" s="53"/>
      <c r="Q161" s="53"/>
      <c r="R161" s="53"/>
      <c r="S161" s="186"/>
      <c r="T161" s="141"/>
      <c r="U161" s="53"/>
    </row>
    <row r="162" spans="4:21" x14ac:dyDescent="0.3">
      <c r="D162" s="69"/>
      <c r="E162" s="54"/>
      <c r="F162" s="54"/>
      <c r="G162" s="134"/>
      <c r="H162" s="119"/>
      <c r="I162" s="140"/>
      <c r="J162" s="54"/>
      <c r="K162" s="54"/>
      <c r="L162" s="140"/>
      <c r="M162" s="54"/>
      <c r="N162" s="54"/>
      <c r="O162" s="54"/>
      <c r="P162" s="54"/>
      <c r="Q162" s="54"/>
      <c r="R162" s="54"/>
      <c r="S162" s="188"/>
      <c r="T162" s="140"/>
      <c r="U162" s="54"/>
    </row>
    <row r="163" spans="4:21" x14ac:dyDescent="0.3">
      <c r="D163" s="62"/>
      <c r="E163" s="53"/>
      <c r="F163" s="53"/>
      <c r="G163" s="135"/>
      <c r="H163" s="118"/>
      <c r="I163" s="141"/>
      <c r="J163" s="53"/>
      <c r="K163" s="53"/>
      <c r="L163" s="141"/>
      <c r="M163" s="53"/>
      <c r="N163" s="53"/>
      <c r="O163" s="53"/>
      <c r="P163" s="53"/>
      <c r="Q163" s="53"/>
      <c r="R163" s="53"/>
      <c r="S163" s="186"/>
      <c r="T163" s="141"/>
      <c r="U163" s="53"/>
    </row>
    <row r="164" spans="4:21" x14ac:dyDescent="0.3">
      <c r="D164" s="69"/>
      <c r="E164" s="54"/>
      <c r="F164" s="54"/>
      <c r="G164" s="134"/>
      <c r="H164" s="119"/>
      <c r="I164" s="140"/>
      <c r="J164" s="54"/>
      <c r="K164" s="54"/>
      <c r="L164" s="140"/>
      <c r="M164" s="54"/>
      <c r="N164" s="54"/>
      <c r="O164" s="54"/>
      <c r="P164" s="54"/>
      <c r="Q164" s="54"/>
      <c r="R164" s="54"/>
      <c r="S164" s="188"/>
      <c r="T164" s="140"/>
      <c r="U164" s="54"/>
    </row>
    <row r="165" spans="4:21" x14ac:dyDescent="0.3">
      <c r="D165" s="62"/>
      <c r="E165" s="53"/>
      <c r="F165" s="53"/>
      <c r="G165" s="135"/>
      <c r="H165" s="118"/>
      <c r="I165" s="141"/>
      <c r="J165" s="53"/>
      <c r="K165" s="53"/>
      <c r="L165" s="141"/>
      <c r="M165" s="53"/>
      <c r="N165" s="53"/>
      <c r="O165" s="53"/>
      <c r="P165" s="53"/>
      <c r="Q165" s="53"/>
      <c r="R165" s="53"/>
      <c r="S165" s="186"/>
      <c r="T165" s="141"/>
      <c r="U165" s="53"/>
    </row>
    <row r="166" spans="4:21" x14ac:dyDescent="0.3">
      <c r="D166" s="69"/>
      <c r="E166" s="54"/>
      <c r="F166" s="54"/>
      <c r="G166" s="134"/>
      <c r="H166" s="119"/>
      <c r="I166" s="140"/>
      <c r="J166" s="54"/>
      <c r="K166" s="54"/>
      <c r="L166" s="140"/>
      <c r="M166" s="54"/>
      <c r="N166" s="54"/>
      <c r="O166" s="54"/>
      <c r="P166" s="54"/>
      <c r="Q166" s="54"/>
      <c r="R166" s="54"/>
      <c r="S166" s="188"/>
      <c r="T166" s="140"/>
      <c r="U166" s="54"/>
    </row>
    <row r="167" spans="4:21" x14ac:dyDescent="0.3">
      <c r="D167" s="62"/>
      <c r="E167" s="53"/>
      <c r="F167" s="53"/>
      <c r="G167" s="135"/>
      <c r="H167" s="118"/>
      <c r="I167" s="141"/>
      <c r="J167" s="53"/>
      <c r="K167" s="53"/>
      <c r="L167" s="141"/>
      <c r="M167" s="53"/>
      <c r="N167" s="53"/>
      <c r="O167" s="53"/>
      <c r="P167" s="53"/>
      <c r="Q167" s="53"/>
      <c r="R167" s="53"/>
      <c r="S167" s="186"/>
      <c r="T167" s="141"/>
      <c r="U167" s="53"/>
    </row>
    <row r="168" spans="4:21" x14ac:dyDescent="0.3">
      <c r="D168" s="69"/>
      <c r="E168" s="54"/>
      <c r="F168" s="54"/>
      <c r="G168" s="134"/>
      <c r="H168" s="119"/>
      <c r="I168" s="140"/>
      <c r="J168" s="54"/>
      <c r="K168" s="54"/>
      <c r="L168" s="140"/>
      <c r="M168" s="54"/>
      <c r="N168" s="54"/>
      <c r="O168" s="54"/>
      <c r="P168" s="54"/>
      <c r="Q168" s="54"/>
      <c r="R168" s="54"/>
      <c r="S168" s="188"/>
      <c r="T168" s="140"/>
      <c r="U168" s="54"/>
    </row>
    <row r="169" spans="4:21" x14ac:dyDescent="0.3">
      <c r="D169" s="62"/>
      <c r="E169" s="53"/>
      <c r="F169" s="53"/>
      <c r="G169" s="135"/>
      <c r="H169" s="118"/>
      <c r="I169" s="141"/>
      <c r="J169" s="53"/>
      <c r="K169" s="53"/>
      <c r="L169" s="141"/>
      <c r="M169" s="53"/>
      <c r="N169" s="53"/>
      <c r="O169" s="53"/>
      <c r="P169" s="53"/>
      <c r="Q169" s="53"/>
      <c r="R169" s="53"/>
      <c r="S169" s="186"/>
      <c r="T169" s="141"/>
      <c r="U169" s="53"/>
    </row>
    <row r="170" spans="4:21" x14ac:dyDescent="0.3">
      <c r="D170" s="69"/>
      <c r="E170" s="54"/>
      <c r="F170" s="54"/>
      <c r="G170" s="134"/>
      <c r="H170" s="119"/>
      <c r="I170" s="140"/>
      <c r="J170" s="54"/>
      <c r="K170" s="54"/>
      <c r="L170" s="140"/>
      <c r="M170" s="54"/>
      <c r="N170" s="54"/>
      <c r="O170" s="54"/>
      <c r="P170" s="54"/>
      <c r="Q170" s="54"/>
      <c r="R170" s="54"/>
      <c r="S170" s="188"/>
      <c r="T170" s="140"/>
      <c r="U170" s="54"/>
    </row>
    <row r="171" spans="4:21" x14ac:dyDescent="0.3">
      <c r="D171" s="62"/>
      <c r="E171" s="53"/>
      <c r="F171" s="53"/>
      <c r="G171" s="135"/>
      <c r="H171" s="118"/>
      <c r="I171" s="141"/>
      <c r="J171" s="53"/>
      <c r="K171" s="53"/>
      <c r="L171" s="141"/>
      <c r="M171" s="53"/>
      <c r="N171" s="53"/>
      <c r="O171" s="53"/>
      <c r="P171" s="53"/>
      <c r="Q171" s="53"/>
      <c r="R171" s="53"/>
      <c r="S171" s="186"/>
      <c r="T171" s="141"/>
      <c r="U171" s="53"/>
    </row>
    <row r="172" spans="4:21" x14ac:dyDescent="0.3">
      <c r="D172" s="69"/>
      <c r="E172" s="54"/>
      <c r="F172" s="54"/>
      <c r="G172" s="134"/>
      <c r="H172" s="119"/>
      <c r="I172" s="140"/>
      <c r="J172" s="54"/>
      <c r="K172" s="54"/>
      <c r="L172" s="140"/>
      <c r="M172" s="54"/>
      <c r="N172" s="54"/>
      <c r="O172" s="54"/>
      <c r="P172" s="54"/>
      <c r="Q172" s="54"/>
      <c r="R172" s="54"/>
      <c r="S172" s="188"/>
      <c r="T172" s="140"/>
      <c r="U172" s="54"/>
    </row>
    <row r="173" spans="4:21" x14ac:dyDescent="0.3">
      <c r="D173" s="62"/>
      <c r="E173" s="53"/>
      <c r="F173" s="53"/>
      <c r="G173" s="135"/>
      <c r="H173" s="118"/>
      <c r="I173" s="141"/>
      <c r="J173" s="53"/>
      <c r="K173" s="53"/>
      <c r="L173" s="141"/>
      <c r="M173" s="53"/>
      <c r="N173" s="53"/>
      <c r="O173" s="53"/>
      <c r="P173" s="53"/>
      <c r="Q173" s="53"/>
      <c r="R173" s="53"/>
      <c r="S173" s="186"/>
      <c r="T173" s="141"/>
      <c r="U173" s="53"/>
    </row>
    <row r="174" spans="4:21" x14ac:dyDescent="0.3">
      <c r="D174" s="69"/>
      <c r="E174" s="54"/>
      <c r="F174" s="54"/>
      <c r="G174" s="134"/>
      <c r="H174" s="119"/>
      <c r="I174" s="140"/>
      <c r="J174" s="54"/>
      <c r="K174" s="54"/>
      <c r="L174" s="140"/>
      <c r="M174" s="54"/>
      <c r="N174" s="54"/>
      <c r="O174" s="54"/>
      <c r="P174" s="54"/>
      <c r="Q174" s="54"/>
      <c r="R174" s="54"/>
      <c r="S174" s="188"/>
      <c r="T174" s="140"/>
      <c r="U174" s="54"/>
    </row>
    <row r="175" spans="4:21" x14ac:dyDescent="0.3">
      <c r="D175" s="62"/>
      <c r="E175" s="53"/>
      <c r="F175" s="53"/>
      <c r="G175" s="135"/>
      <c r="H175" s="118"/>
      <c r="I175" s="141"/>
      <c r="J175" s="53"/>
      <c r="K175" s="53"/>
      <c r="L175" s="141"/>
      <c r="M175" s="53"/>
      <c r="N175" s="53"/>
      <c r="O175" s="53"/>
      <c r="P175" s="53"/>
      <c r="Q175" s="53"/>
      <c r="R175" s="53"/>
      <c r="S175" s="186"/>
      <c r="T175" s="141"/>
      <c r="U175" s="53"/>
    </row>
    <row r="176" spans="4:21" x14ac:dyDescent="0.3">
      <c r="D176" s="69"/>
      <c r="E176" s="54"/>
      <c r="F176" s="54"/>
      <c r="G176" s="134"/>
      <c r="H176" s="119"/>
      <c r="I176" s="140"/>
      <c r="J176" s="54"/>
      <c r="K176" s="54"/>
      <c r="L176" s="140"/>
      <c r="M176" s="54"/>
      <c r="N176" s="54"/>
      <c r="O176" s="54"/>
      <c r="P176" s="54"/>
      <c r="Q176" s="54"/>
      <c r="R176" s="54"/>
      <c r="S176" s="188"/>
      <c r="T176" s="140"/>
      <c r="U176" s="54"/>
    </row>
    <row r="177" spans="4:21" x14ac:dyDescent="0.3">
      <c r="D177" s="62"/>
      <c r="E177" s="53"/>
      <c r="F177" s="53"/>
      <c r="G177" s="135"/>
      <c r="H177" s="118"/>
      <c r="I177" s="141"/>
      <c r="J177" s="53"/>
      <c r="K177" s="53"/>
      <c r="L177" s="141"/>
      <c r="M177" s="53"/>
      <c r="N177" s="53"/>
      <c r="O177" s="53"/>
      <c r="P177" s="53"/>
      <c r="Q177" s="53"/>
      <c r="R177" s="53"/>
      <c r="S177" s="186"/>
      <c r="T177" s="141"/>
      <c r="U177" s="53"/>
    </row>
    <row r="178" spans="4:21" x14ac:dyDescent="0.3">
      <c r="D178" s="69"/>
      <c r="E178" s="54"/>
      <c r="F178" s="54"/>
      <c r="G178" s="134"/>
      <c r="H178" s="119"/>
      <c r="I178" s="140"/>
      <c r="J178" s="54"/>
      <c r="K178" s="54"/>
      <c r="L178" s="140"/>
      <c r="M178" s="54"/>
      <c r="N178" s="54"/>
      <c r="O178" s="54"/>
      <c r="P178" s="54"/>
      <c r="Q178" s="54"/>
      <c r="R178" s="54"/>
      <c r="S178" s="188"/>
      <c r="T178" s="140"/>
      <c r="U178" s="54"/>
    </row>
    <row r="179" spans="4:21" x14ac:dyDescent="0.3">
      <c r="D179" s="62"/>
      <c r="E179" s="53"/>
      <c r="F179" s="53"/>
      <c r="G179" s="135"/>
      <c r="H179" s="118"/>
      <c r="I179" s="141"/>
      <c r="J179" s="53"/>
      <c r="K179" s="53"/>
      <c r="L179" s="141"/>
      <c r="M179" s="53"/>
      <c r="N179" s="53"/>
      <c r="O179" s="53"/>
      <c r="P179" s="53"/>
      <c r="Q179" s="53"/>
      <c r="R179" s="53"/>
      <c r="S179" s="186"/>
      <c r="T179" s="141"/>
      <c r="U179" s="53"/>
    </row>
    <row r="180" spans="4:21" x14ac:dyDescent="0.3">
      <c r="D180" s="69"/>
      <c r="E180" s="54"/>
      <c r="F180" s="54"/>
      <c r="G180" s="134"/>
      <c r="H180" s="119"/>
      <c r="I180" s="140"/>
      <c r="J180" s="54"/>
      <c r="K180" s="54"/>
      <c r="L180" s="140"/>
      <c r="M180" s="54"/>
      <c r="N180" s="54"/>
      <c r="O180" s="54"/>
      <c r="P180" s="54"/>
      <c r="Q180" s="54"/>
      <c r="R180" s="54"/>
      <c r="S180" s="188"/>
      <c r="T180" s="140"/>
      <c r="U180" s="54"/>
    </row>
    <row r="181" spans="4:21" x14ac:dyDescent="0.3">
      <c r="D181" s="62"/>
      <c r="E181" s="53"/>
      <c r="F181" s="53"/>
      <c r="G181" s="135"/>
      <c r="H181" s="118"/>
      <c r="I181" s="141"/>
      <c r="J181" s="53"/>
      <c r="K181" s="53"/>
      <c r="L181" s="141"/>
      <c r="M181" s="53"/>
      <c r="N181" s="53"/>
      <c r="O181" s="53"/>
      <c r="P181" s="53"/>
      <c r="Q181" s="53"/>
      <c r="R181" s="53"/>
      <c r="S181" s="186"/>
      <c r="T181" s="141"/>
      <c r="U181" s="53"/>
    </row>
    <row r="182" spans="4:21" x14ac:dyDescent="0.3">
      <c r="D182" s="69"/>
      <c r="E182" s="54"/>
      <c r="F182" s="54"/>
      <c r="G182" s="134"/>
      <c r="H182" s="119"/>
      <c r="I182" s="140"/>
      <c r="J182" s="54"/>
      <c r="K182" s="54"/>
      <c r="L182" s="140"/>
      <c r="M182" s="54"/>
      <c r="N182" s="54"/>
      <c r="O182" s="54"/>
      <c r="P182" s="54"/>
      <c r="Q182" s="54"/>
      <c r="R182" s="54"/>
      <c r="S182" s="188"/>
      <c r="T182" s="140"/>
      <c r="U182" s="54"/>
    </row>
    <row r="183" spans="4:21" x14ac:dyDescent="0.3">
      <c r="D183" s="62"/>
      <c r="E183" s="53"/>
      <c r="F183" s="53"/>
      <c r="G183" s="135"/>
      <c r="H183" s="118"/>
      <c r="I183" s="141"/>
      <c r="J183" s="53"/>
      <c r="K183" s="53"/>
      <c r="L183" s="141"/>
      <c r="M183" s="53"/>
      <c r="N183" s="53"/>
      <c r="O183" s="53"/>
      <c r="P183" s="53"/>
      <c r="Q183" s="53"/>
      <c r="R183" s="53"/>
      <c r="S183" s="186"/>
      <c r="T183" s="141"/>
      <c r="U183" s="53"/>
    </row>
    <row r="184" spans="4:21" x14ac:dyDescent="0.3">
      <c r="D184" s="69"/>
      <c r="E184" s="54"/>
      <c r="F184" s="54"/>
      <c r="G184" s="134"/>
      <c r="H184" s="119"/>
      <c r="I184" s="140"/>
      <c r="J184" s="54"/>
      <c r="K184" s="54"/>
      <c r="L184" s="140"/>
      <c r="M184" s="54"/>
      <c r="N184" s="54"/>
      <c r="O184" s="54"/>
      <c r="P184" s="54"/>
      <c r="Q184" s="54"/>
      <c r="R184" s="54"/>
      <c r="S184" s="188"/>
      <c r="T184" s="140"/>
      <c r="U184" s="54"/>
    </row>
    <row r="185" spans="4:21" x14ac:dyDescent="0.3">
      <c r="D185" s="62"/>
      <c r="E185" s="53"/>
      <c r="F185" s="53"/>
      <c r="G185" s="135"/>
      <c r="H185" s="118"/>
      <c r="I185" s="141"/>
      <c r="J185" s="53"/>
      <c r="K185" s="53"/>
      <c r="L185" s="141"/>
      <c r="M185" s="53"/>
      <c r="N185" s="53"/>
      <c r="O185" s="53"/>
      <c r="P185" s="53"/>
      <c r="Q185" s="53"/>
      <c r="R185" s="53"/>
      <c r="S185" s="186"/>
      <c r="T185" s="141"/>
      <c r="U185" s="53"/>
    </row>
    <row r="186" spans="4:21" x14ac:dyDescent="0.3">
      <c r="D186" s="69"/>
      <c r="E186" s="54"/>
      <c r="F186" s="54"/>
      <c r="G186" s="134"/>
      <c r="H186" s="119"/>
      <c r="I186" s="140"/>
      <c r="J186" s="54"/>
      <c r="K186" s="54"/>
      <c r="L186" s="140"/>
      <c r="M186" s="54"/>
      <c r="N186" s="54"/>
      <c r="O186" s="54"/>
      <c r="P186" s="54"/>
      <c r="Q186" s="54"/>
      <c r="R186" s="54"/>
      <c r="S186" s="188"/>
      <c r="T186" s="140"/>
      <c r="U186" s="54"/>
    </row>
    <row r="187" spans="4:21" x14ac:dyDescent="0.3">
      <c r="D187" s="62"/>
      <c r="E187" s="53"/>
      <c r="F187" s="53"/>
      <c r="G187" s="135"/>
      <c r="H187" s="118"/>
      <c r="I187" s="141"/>
      <c r="J187" s="53"/>
      <c r="K187" s="53"/>
      <c r="L187" s="141"/>
      <c r="M187" s="53"/>
      <c r="N187" s="53"/>
      <c r="O187" s="53"/>
      <c r="P187" s="53"/>
      <c r="Q187" s="53"/>
      <c r="R187" s="53"/>
      <c r="S187" s="186"/>
      <c r="T187" s="141"/>
      <c r="U187" s="53"/>
    </row>
    <row r="188" spans="4:21" x14ac:dyDescent="0.3">
      <c r="D188" s="69"/>
      <c r="E188" s="54"/>
      <c r="F188" s="54"/>
      <c r="G188" s="134"/>
      <c r="H188" s="119"/>
      <c r="I188" s="140"/>
      <c r="J188" s="54"/>
      <c r="K188" s="54"/>
      <c r="L188" s="140"/>
      <c r="M188" s="54"/>
      <c r="N188" s="54"/>
      <c r="O188" s="54"/>
      <c r="P188" s="54"/>
      <c r="Q188" s="54"/>
      <c r="R188" s="54"/>
      <c r="S188" s="188"/>
      <c r="T188" s="140"/>
      <c r="U188" s="54"/>
    </row>
    <row r="189" spans="4:21" x14ac:dyDescent="0.3">
      <c r="D189" s="62"/>
      <c r="E189" s="53"/>
      <c r="F189" s="53"/>
      <c r="G189" s="135"/>
      <c r="H189" s="118"/>
      <c r="I189" s="141"/>
      <c r="J189" s="53"/>
      <c r="K189" s="53"/>
      <c r="L189" s="141"/>
      <c r="M189" s="53"/>
      <c r="N189" s="53"/>
      <c r="O189" s="53"/>
      <c r="P189" s="53"/>
      <c r="Q189" s="53"/>
      <c r="R189" s="53"/>
      <c r="S189" s="186"/>
      <c r="T189" s="141"/>
      <c r="U189" s="53"/>
    </row>
    <row r="190" spans="4:21" x14ac:dyDescent="0.3">
      <c r="D190" s="69"/>
      <c r="E190" s="54"/>
      <c r="F190" s="54"/>
      <c r="G190" s="134"/>
      <c r="H190" s="119"/>
      <c r="I190" s="140"/>
      <c r="J190" s="54"/>
      <c r="K190" s="54"/>
      <c r="L190" s="140"/>
      <c r="M190" s="54"/>
      <c r="N190" s="54"/>
      <c r="O190" s="54"/>
      <c r="P190" s="54"/>
      <c r="Q190" s="54"/>
      <c r="R190" s="54"/>
      <c r="S190" s="188"/>
      <c r="T190" s="140"/>
      <c r="U190" s="54"/>
    </row>
    <row r="191" spans="4:21" x14ac:dyDescent="0.3">
      <c r="D191" s="62"/>
      <c r="E191" s="53"/>
      <c r="F191" s="53"/>
      <c r="G191" s="135"/>
      <c r="H191" s="118"/>
      <c r="I191" s="141"/>
      <c r="J191" s="53"/>
      <c r="K191" s="53"/>
      <c r="L191" s="141"/>
      <c r="M191" s="53"/>
      <c r="N191" s="53"/>
      <c r="O191" s="53"/>
      <c r="P191" s="53"/>
      <c r="Q191" s="53"/>
      <c r="R191" s="53"/>
      <c r="S191" s="186"/>
      <c r="T191" s="141"/>
      <c r="U191" s="53"/>
    </row>
    <row r="192" spans="4:21" x14ac:dyDescent="0.3">
      <c r="D192" s="69"/>
      <c r="E192" s="54"/>
      <c r="F192" s="54"/>
      <c r="G192" s="134"/>
      <c r="H192" s="119"/>
      <c r="I192" s="140"/>
      <c r="J192" s="54"/>
      <c r="K192" s="54"/>
      <c r="L192" s="140"/>
      <c r="M192" s="54"/>
      <c r="N192" s="54"/>
      <c r="O192" s="54"/>
      <c r="P192" s="54"/>
      <c r="Q192" s="54"/>
      <c r="R192" s="54"/>
      <c r="S192" s="188"/>
      <c r="T192" s="140"/>
      <c r="U192" s="54"/>
    </row>
    <row r="193" spans="4:21" x14ac:dyDescent="0.3">
      <c r="D193" s="62"/>
      <c r="E193" s="53"/>
      <c r="F193" s="53"/>
      <c r="G193" s="135"/>
      <c r="H193" s="118"/>
      <c r="I193" s="141"/>
      <c r="J193" s="53"/>
      <c r="K193" s="53"/>
      <c r="L193" s="141"/>
      <c r="M193" s="53"/>
      <c r="N193" s="53"/>
      <c r="O193" s="53"/>
      <c r="P193" s="53"/>
      <c r="Q193" s="53"/>
      <c r="R193" s="53"/>
      <c r="S193" s="186"/>
      <c r="T193" s="141"/>
      <c r="U193" s="53"/>
    </row>
    <row r="194" spans="4:21" x14ac:dyDescent="0.3">
      <c r="D194" s="69"/>
      <c r="E194" s="54"/>
      <c r="F194" s="54"/>
      <c r="G194" s="134"/>
      <c r="H194" s="119"/>
      <c r="I194" s="140"/>
      <c r="J194" s="54"/>
      <c r="K194" s="54"/>
      <c r="L194" s="140"/>
      <c r="M194" s="54"/>
      <c r="N194" s="54"/>
      <c r="O194" s="54"/>
      <c r="P194" s="54"/>
      <c r="Q194" s="54"/>
      <c r="R194" s="54"/>
      <c r="S194" s="188"/>
      <c r="T194" s="140"/>
      <c r="U194" s="54"/>
    </row>
    <row r="195" spans="4:21" x14ac:dyDescent="0.3">
      <c r="D195" s="62"/>
      <c r="E195" s="53"/>
      <c r="F195" s="53"/>
      <c r="G195" s="135"/>
      <c r="H195" s="118"/>
      <c r="I195" s="141"/>
      <c r="J195" s="53"/>
      <c r="K195" s="53"/>
      <c r="L195" s="141"/>
      <c r="M195" s="53"/>
      <c r="N195" s="53"/>
      <c r="O195" s="53"/>
      <c r="P195" s="53"/>
      <c r="Q195" s="53"/>
      <c r="R195" s="53"/>
      <c r="S195" s="186"/>
      <c r="T195" s="141"/>
      <c r="U195" s="53"/>
    </row>
    <row r="196" spans="4:21" x14ac:dyDescent="0.3">
      <c r="D196" s="69"/>
      <c r="E196" s="54"/>
      <c r="F196" s="54"/>
      <c r="G196" s="134"/>
      <c r="H196" s="119"/>
      <c r="I196" s="140"/>
      <c r="J196" s="54"/>
      <c r="K196" s="54"/>
      <c r="L196" s="140"/>
      <c r="M196" s="54"/>
      <c r="N196" s="54"/>
      <c r="O196" s="54"/>
      <c r="P196" s="54"/>
      <c r="Q196" s="54"/>
      <c r="R196" s="54"/>
      <c r="S196" s="188"/>
      <c r="T196" s="140"/>
      <c r="U196" s="54"/>
    </row>
    <row r="197" spans="4:21" x14ac:dyDescent="0.3">
      <c r="D197" s="62"/>
      <c r="E197" s="53"/>
      <c r="F197" s="53"/>
      <c r="G197" s="135"/>
      <c r="H197" s="118"/>
      <c r="I197" s="141"/>
      <c r="J197" s="53"/>
      <c r="K197" s="53"/>
      <c r="L197" s="141"/>
      <c r="M197" s="53"/>
      <c r="N197" s="53"/>
      <c r="O197" s="53"/>
      <c r="P197" s="53"/>
      <c r="Q197" s="53"/>
      <c r="R197" s="53"/>
      <c r="S197" s="186"/>
      <c r="T197" s="141"/>
      <c r="U197" s="53"/>
    </row>
    <row r="198" spans="4:21" x14ac:dyDescent="0.3">
      <c r="D198" s="69"/>
      <c r="E198" s="54"/>
      <c r="F198" s="54"/>
      <c r="G198" s="134"/>
      <c r="H198" s="119"/>
      <c r="I198" s="140"/>
      <c r="J198" s="54"/>
      <c r="K198" s="54"/>
      <c r="L198" s="140"/>
      <c r="M198" s="54"/>
      <c r="N198" s="54"/>
      <c r="O198" s="54"/>
      <c r="P198" s="54"/>
      <c r="Q198" s="54"/>
      <c r="R198" s="54"/>
      <c r="S198" s="188"/>
      <c r="T198" s="140"/>
      <c r="U198" s="54"/>
    </row>
    <row r="199" spans="4:21" x14ac:dyDescent="0.3">
      <c r="D199" s="62"/>
      <c r="E199" s="53"/>
      <c r="F199" s="53"/>
      <c r="G199" s="135"/>
      <c r="H199" s="118"/>
      <c r="I199" s="141"/>
      <c r="J199" s="53"/>
      <c r="K199" s="53"/>
      <c r="L199" s="141"/>
      <c r="M199" s="53"/>
      <c r="N199" s="53"/>
      <c r="O199" s="53"/>
      <c r="P199" s="53"/>
      <c r="Q199" s="53"/>
      <c r="R199" s="53"/>
      <c r="S199" s="186"/>
      <c r="T199" s="141"/>
      <c r="U199" s="53"/>
    </row>
    <row r="200" spans="4:21" x14ac:dyDescent="0.3">
      <c r="D200" s="83"/>
      <c r="E200" s="52"/>
      <c r="F200" s="52"/>
      <c r="G200" s="136"/>
      <c r="H200" s="120"/>
      <c r="I200" s="142"/>
      <c r="J200" s="52"/>
      <c r="K200" s="52"/>
      <c r="L200" s="142"/>
      <c r="M200" s="52"/>
      <c r="N200" s="52"/>
      <c r="O200" s="52"/>
      <c r="P200" s="52"/>
      <c r="Q200" s="52"/>
      <c r="R200" s="52"/>
      <c r="S200" s="189"/>
      <c r="T200" s="142"/>
      <c r="U200" s="52"/>
    </row>
    <row r="201" spans="4:21" x14ac:dyDescent="0.3"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</row>
    <row r="202" spans="4:21" x14ac:dyDescent="0.3">
      <c r="D202" s="79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</row>
  </sheetData>
  <mergeCells count="13">
    <mergeCell ref="P1:R1"/>
    <mergeCell ref="A18:B18"/>
    <mergeCell ref="A12:B12"/>
    <mergeCell ref="A13:B13"/>
    <mergeCell ref="A14:B14"/>
    <mergeCell ref="A15:B15"/>
    <mergeCell ref="A16:B16"/>
    <mergeCell ref="A17:B17"/>
    <mergeCell ref="A6:B6"/>
    <mergeCell ref="A1:B1"/>
    <mergeCell ref="D1:F1"/>
    <mergeCell ref="H1:J1"/>
    <mergeCell ref="M1:O1"/>
  </mergeCells>
  <dataValidations count="2">
    <dataValidation type="list" allowBlank="1" showInputMessage="1" showErrorMessage="1" sqref="B7" xr:uid="{34408370-0441-4B3A-B37C-2F7FDAF8EF44}">
      <formula1>"All,January,February,March,April,May,June,July,August,September,October,November,December"</formula1>
    </dataValidation>
    <dataValidation type="custom" allowBlank="1" showInputMessage="1" showErrorMessage="1" errorTitle="invalid number entered" error="Please enter a number with 10 digits" sqref="I3:I14" xr:uid="{29E44C8E-9FE8-4D98-AC33-15AED17B0DA2}">
      <formula1>AND(LEN(I3)=10,ISNUMBER(--I3))</formula1>
    </dataValidation>
  </dataValidations>
  <hyperlinks>
    <hyperlink ref="A13" location="Home!A1" display="Home" xr:uid="{E142B8FB-5328-430E-B583-CA6EB6E450B0}"/>
    <hyperlink ref="A14:B14" location="Enrollment!A1" display="Enrollment" xr:uid="{12F638A0-9E63-4191-B673-78C949D83C1A}"/>
    <hyperlink ref="A15:B15" location="Attendance!A1" display="Attendance" xr:uid="{3856C0D0-FD3F-4482-8DC5-CD06CE4B7245}"/>
    <hyperlink ref="A16:B16" location="Teachers!A1" display="Teachers" xr:uid="{836065AD-3314-4594-871B-DB3E2E2BCED3}"/>
    <hyperlink ref="A17:B17" location="Classes!A1" display="Classes" xr:uid="{2799D8E6-AAEB-427F-A4D8-9FF524649C07}"/>
    <hyperlink ref="A18:B18" location="Monthly_Report!A1" display="Monthly report" xr:uid="{E4C670F4-AC85-49EA-815B-C1913AD7066D}"/>
  </hyperlink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F30B4-6F23-45C9-9412-2554386DBE9B}">
          <x14:formula1>
            <xm:f>Classes!$A$3:$A$23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0F61D-26FA-42B9-BB3C-FDAFFECDFC03}">
  <sheetPr codeName="Sheet16"/>
  <dimension ref="A1:BK2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B18"/>
    </sheetView>
  </sheetViews>
  <sheetFormatPr defaultRowHeight="14.4" x14ac:dyDescent="0.3"/>
  <cols>
    <col min="1" max="1" width="22.44140625" customWidth="1"/>
    <col min="2" max="2" width="16.33203125" customWidth="1"/>
    <col min="4" max="4" width="17.77734375" customWidth="1"/>
    <col min="5" max="5" width="16.21875" customWidth="1"/>
    <col min="6" max="7" width="14.5546875" customWidth="1"/>
    <col min="8" max="8" width="12" customWidth="1"/>
    <col min="9" max="9" width="16.6640625" customWidth="1"/>
    <col min="10" max="10" width="10.77734375" customWidth="1"/>
    <col min="11" max="11" width="18.109375" customWidth="1"/>
    <col min="12" max="12" width="13.77734375" customWidth="1"/>
    <col min="13" max="18" width="12.33203125" customWidth="1"/>
    <col min="19" max="19" width="18.88671875" customWidth="1"/>
    <col min="20" max="20" width="20.21875" customWidth="1"/>
    <col min="21" max="21" width="23.33203125" customWidth="1"/>
    <col min="22" max="60" width="12.33203125" customWidth="1"/>
  </cols>
  <sheetData>
    <row r="1" spans="1:63" ht="15.6" customHeight="1" x14ac:dyDescent="0.3">
      <c r="A1" s="310" t="s">
        <v>105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 t="str">
        <f>Teachers!A6</f>
        <v>T-005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str">
        <f>_xlfn.XLOOKUP(B2, teachers_table[*Teacher ID], teachers_table[*Teacher Name])</f>
        <v>Moeen Shayagan</v>
      </c>
      <c r="C3" s="26"/>
      <c r="D3" s="62" t="str" cm="1">
        <f t="array" ref="D3:U3">IF(B7 = "All", _xlfn._xlws.FILTER(enrollment_table[], enrollment_table[*Teacher Name] = T_Shayagan!B3, "No Students Found"), _xlfn._xlws.FILTER(enrollment_table[], (enrollment_table[*Teacher Name] = T_Shayagan!B3 ) * (enrollment_table[Enrollment Month] = B7), "No Students Found"))</f>
        <v>f</v>
      </c>
      <c r="E3" s="53" t="str">
        <v>f</v>
      </c>
      <c r="F3" s="53" t="str">
        <v>python</v>
      </c>
      <c r="G3" s="131" t="str">
        <v>5 - 4 PM</v>
      </c>
      <c r="H3" s="115">
        <v>1000</v>
      </c>
      <c r="I3" s="64" t="str">
        <v>0378899992</v>
      </c>
      <c r="J3" s="183" t="str">
        <v>female</v>
      </c>
      <c r="K3" s="183" t="str">
        <v>Moeen Shayagan</v>
      </c>
      <c r="L3" s="64" t="str">
        <v>T-005</v>
      </c>
      <c r="M3" s="64">
        <v>0</v>
      </c>
      <c r="N3" s="64">
        <v>0</v>
      </c>
      <c r="O3" s="64">
        <v>0</v>
      </c>
      <c r="P3" s="64">
        <v>0</v>
      </c>
      <c r="Q3" s="64">
        <v>0</v>
      </c>
      <c r="R3" s="64">
        <v>0</v>
      </c>
      <c r="S3" s="177">
        <v>46272</v>
      </c>
      <c r="T3" s="64" t="str">
        <v>September</v>
      </c>
      <c r="U3" s="64">
        <v>0</v>
      </c>
    </row>
    <row r="4" spans="1:63" ht="15.6" customHeight="1" x14ac:dyDescent="0.3">
      <c r="A4" s="88" t="s">
        <v>29</v>
      </c>
      <c r="B4" s="87">
        <f>_xlfn.XLOOKUP(B2, teachers_table[*Teacher ID], teachers_table[*Income Rate])</f>
        <v>0.5</v>
      </c>
      <c r="C4" s="27"/>
      <c r="D4" s="69"/>
      <c r="E4" s="54"/>
      <c r="F4" s="54"/>
      <c r="G4" s="132"/>
      <c r="H4" s="114"/>
      <c r="I4" s="71"/>
      <c r="J4" s="37"/>
      <c r="K4" s="54"/>
      <c r="L4" s="145"/>
      <c r="M4" s="54"/>
      <c r="N4" s="54"/>
      <c r="O4" s="54"/>
      <c r="P4" s="54"/>
      <c r="Q4" s="54"/>
      <c r="R4" s="54"/>
      <c r="S4" s="185"/>
      <c r="T4" s="72"/>
      <c r="U4" s="54"/>
    </row>
    <row r="5" spans="1:63" ht="15.6" customHeight="1" x14ac:dyDescent="0.3">
      <c r="C5" s="28"/>
      <c r="D5" s="62"/>
      <c r="E5" s="53"/>
      <c r="F5" s="53"/>
      <c r="G5" s="133"/>
      <c r="H5" s="115"/>
      <c r="I5" s="65"/>
      <c r="J5" s="66"/>
      <c r="K5" s="53"/>
      <c r="L5" s="141"/>
      <c r="M5" s="53"/>
      <c r="N5" s="53"/>
      <c r="O5" s="53"/>
      <c r="P5" s="53"/>
      <c r="Q5" s="53"/>
      <c r="R5" s="53"/>
      <c r="S5" s="177"/>
      <c r="T5" s="68"/>
      <c r="U5" s="53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132"/>
      <c r="H6" s="116"/>
      <c r="I6" s="71"/>
      <c r="J6" s="37"/>
      <c r="K6" s="54"/>
      <c r="L6" s="140"/>
      <c r="M6" s="54"/>
      <c r="N6" s="54"/>
      <c r="O6" s="54"/>
      <c r="P6" s="54"/>
      <c r="Q6" s="54"/>
      <c r="R6" s="54"/>
      <c r="S6" s="185"/>
      <c r="T6" s="72"/>
      <c r="U6" s="54"/>
    </row>
    <row r="7" spans="1:63" ht="15.6" customHeight="1" x14ac:dyDescent="0.3">
      <c r="A7" s="47" t="s">
        <v>157</v>
      </c>
      <c r="B7" s="24" t="s">
        <v>162</v>
      </c>
      <c r="D7" s="62"/>
      <c r="E7" s="53"/>
      <c r="F7" s="53"/>
      <c r="G7" s="133"/>
      <c r="H7" s="117"/>
      <c r="I7" s="65"/>
      <c r="J7" s="66"/>
      <c r="K7" s="53"/>
      <c r="L7" s="141"/>
      <c r="M7" s="53"/>
      <c r="N7" s="53"/>
      <c r="O7" s="53"/>
      <c r="P7" s="53"/>
      <c r="Q7" s="53"/>
      <c r="R7" s="53"/>
      <c r="S7" s="177"/>
      <c r="T7" s="68"/>
      <c r="U7" s="53"/>
    </row>
    <row r="8" spans="1:63" ht="15.6" customHeight="1" x14ac:dyDescent="0.3">
      <c r="A8" s="84" t="s">
        <v>52</v>
      </c>
      <c r="B8" s="86">
        <f>IF(D3 = "No Students Found", 0, COUNTA(D3:D200))</f>
        <v>1</v>
      </c>
      <c r="C8" s="30"/>
      <c r="D8" s="69"/>
      <c r="E8" s="54"/>
      <c r="F8" s="54"/>
      <c r="G8" s="132"/>
      <c r="H8" s="116"/>
      <c r="I8" s="71"/>
      <c r="J8" s="37"/>
      <c r="K8" s="54"/>
      <c r="L8" s="140"/>
      <c r="M8" s="54"/>
      <c r="N8" s="54"/>
      <c r="O8" s="54"/>
      <c r="P8" s="54"/>
      <c r="Q8" s="54"/>
      <c r="R8" s="54"/>
      <c r="S8" s="185"/>
      <c r="T8" s="72"/>
      <c r="U8" s="54"/>
    </row>
    <row r="9" spans="1:63" ht="15.6" customHeight="1" x14ac:dyDescent="0.3">
      <c r="A9" s="47" t="s">
        <v>106</v>
      </c>
      <c r="B9" s="156">
        <f>SUM(H3:H200)</f>
        <v>1000</v>
      </c>
      <c r="C9" s="31"/>
      <c r="D9" s="62"/>
      <c r="E9" s="53"/>
      <c r="F9" s="53"/>
      <c r="G9" s="133"/>
      <c r="H9" s="117"/>
      <c r="I9" s="65"/>
      <c r="J9" s="66"/>
      <c r="K9" s="53"/>
      <c r="L9" s="141"/>
      <c r="M9" s="53"/>
      <c r="N9" s="53"/>
      <c r="O9" s="53"/>
      <c r="P9" s="53"/>
      <c r="Q9" s="53"/>
      <c r="R9" s="53"/>
      <c r="S9" s="177"/>
      <c r="T9" s="68"/>
      <c r="U9" s="53"/>
    </row>
    <row r="10" spans="1:63" ht="15.6" customHeight="1" x14ac:dyDescent="0.3">
      <c r="A10" s="85" t="s">
        <v>44</v>
      </c>
      <c r="B10" s="155">
        <f>B9*B4</f>
        <v>500</v>
      </c>
      <c r="C10" s="31"/>
      <c r="D10" s="69"/>
      <c r="E10" s="54"/>
      <c r="F10" s="54"/>
      <c r="G10" s="134"/>
      <c r="H10" s="116"/>
      <c r="I10" s="71"/>
      <c r="J10" s="37"/>
      <c r="K10" s="54"/>
      <c r="L10" s="140"/>
      <c r="M10" s="54"/>
      <c r="N10" s="54"/>
      <c r="O10" s="54"/>
      <c r="P10" s="54"/>
      <c r="Q10" s="54"/>
      <c r="R10" s="54"/>
      <c r="S10" s="185"/>
      <c r="T10" s="72"/>
      <c r="U10" s="54"/>
    </row>
    <row r="11" spans="1:63" ht="15.6" customHeight="1" x14ac:dyDescent="0.3">
      <c r="B11" s="7"/>
      <c r="C11" s="31"/>
      <c r="D11" s="62"/>
      <c r="E11" s="53"/>
      <c r="F11" s="53"/>
      <c r="G11" s="135"/>
      <c r="H11" s="117"/>
      <c r="I11" s="65"/>
      <c r="J11" s="66"/>
      <c r="K11" s="53"/>
      <c r="L11" s="141"/>
      <c r="M11" s="53"/>
      <c r="N11" s="53"/>
      <c r="O11" s="53"/>
      <c r="P11" s="53"/>
      <c r="Q11" s="53"/>
      <c r="R11" s="53"/>
      <c r="S11" s="177"/>
      <c r="T11" s="68"/>
      <c r="U11" s="53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134"/>
      <c r="H12" s="116"/>
      <c r="I12" s="71"/>
      <c r="J12" s="37"/>
      <c r="K12" s="54"/>
      <c r="L12" s="140"/>
      <c r="M12" s="54"/>
      <c r="N12" s="54"/>
      <c r="O12" s="54"/>
      <c r="P12" s="54"/>
      <c r="Q12" s="54"/>
      <c r="R12" s="54"/>
      <c r="S12" s="185"/>
      <c r="T12" s="72"/>
      <c r="U12" s="5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135"/>
      <c r="H13" s="117"/>
      <c r="I13" s="65"/>
      <c r="J13" s="66"/>
      <c r="K13" s="53"/>
      <c r="L13" s="141"/>
      <c r="M13" s="53"/>
      <c r="N13" s="53"/>
      <c r="O13" s="53"/>
      <c r="P13" s="53"/>
      <c r="Q13" s="53"/>
      <c r="R13" s="53"/>
      <c r="S13" s="177"/>
      <c r="T13" s="68"/>
      <c r="U13" s="53"/>
    </row>
    <row r="14" spans="1:63" ht="15.6" customHeight="1" x14ac:dyDescent="0.3">
      <c r="A14" s="307" t="s">
        <v>104</v>
      </c>
      <c r="B14" s="307"/>
      <c r="D14" s="69"/>
      <c r="E14" s="54"/>
      <c r="F14" s="54"/>
      <c r="G14" s="134"/>
      <c r="H14" s="116"/>
      <c r="I14" s="71"/>
      <c r="J14" s="37"/>
      <c r="K14" s="54"/>
      <c r="L14" s="140"/>
      <c r="M14" s="54"/>
      <c r="N14" s="54"/>
      <c r="O14" s="54"/>
      <c r="P14" s="54"/>
      <c r="Q14" s="54"/>
      <c r="R14" s="54"/>
      <c r="S14" s="185"/>
      <c r="T14" s="72"/>
      <c r="U14" s="5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135"/>
      <c r="H15" s="118"/>
      <c r="I15" s="141"/>
      <c r="J15" s="53"/>
      <c r="K15" s="53"/>
      <c r="L15" s="141"/>
      <c r="M15" s="53"/>
      <c r="N15" s="53"/>
      <c r="O15" s="53"/>
      <c r="P15" s="53"/>
      <c r="Q15" s="53"/>
      <c r="R15" s="53"/>
      <c r="S15" s="186"/>
      <c r="T15" s="141"/>
      <c r="U15" s="53"/>
    </row>
    <row r="16" spans="1:63" ht="15.6" customHeight="1" x14ac:dyDescent="0.3">
      <c r="A16" s="307" t="s">
        <v>57</v>
      </c>
      <c r="B16" s="307"/>
      <c r="D16" s="69"/>
      <c r="E16" s="54"/>
      <c r="F16" s="54"/>
      <c r="G16" s="134"/>
      <c r="H16" s="119"/>
      <c r="I16" s="140"/>
      <c r="J16" s="54"/>
      <c r="K16" s="54"/>
      <c r="L16" s="140"/>
      <c r="M16" s="54"/>
      <c r="N16" s="54"/>
      <c r="O16" s="54"/>
      <c r="P16" s="54"/>
      <c r="Q16" s="54"/>
      <c r="R16" s="54"/>
      <c r="S16" s="188"/>
      <c r="T16" s="140"/>
      <c r="U16" s="54"/>
    </row>
    <row r="17" spans="1:21" ht="15.6" customHeight="1" x14ac:dyDescent="0.3">
      <c r="A17" s="308" t="s">
        <v>58</v>
      </c>
      <c r="B17" s="308"/>
      <c r="D17" s="62"/>
      <c r="E17" s="53"/>
      <c r="F17" s="53"/>
      <c r="G17" s="135"/>
      <c r="H17" s="118"/>
      <c r="I17" s="141"/>
      <c r="J17" s="53"/>
      <c r="K17" s="53"/>
      <c r="L17" s="141"/>
      <c r="M17" s="53"/>
      <c r="N17" s="53"/>
      <c r="O17" s="53"/>
      <c r="P17" s="53"/>
      <c r="Q17" s="53"/>
      <c r="R17" s="53"/>
      <c r="S17" s="186"/>
      <c r="T17" s="141"/>
      <c r="U17" s="53"/>
    </row>
    <row r="18" spans="1:21" ht="15.6" customHeight="1" x14ac:dyDescent="0.3">
      <c r="A18" s="309" t="s">
        <v>124</v>
      </c>
      <c r="B18" s="309"/>
      <c r="D18" s="69"/>
      <c r="E18" s="54"/>
      <c r="F18" s="54"/>
      <c r="G18" s="134"/>
      <c r="H18" s="119"/>
      <c r="I18" s="140"/>
      <c r="J18" s="54"/>
      <c r="K18" s="54"/>
      <c r="L18" s="140"/>
      <c r="M18" s="54"/>
      <c r="N18" s="54"/>
      <c r="O18" s="54"/>
      <c r="P18" s="54"/>
      <c r="Q18" s="54"/>
      <c r="R18" s="54"/>
      <c r="S18" s="188"/>
      <c r="T18" s="140"/>
      <c r="U18" s="54"/>
    </row>
    <row r="19" spans="1:21" ht="15.6" customHeight="1" x14ac:dyDescent="0.3">
      <c r="D19" s="62"/>
      <c r="E19" s="53"/>
      <c r="F19" s="53"/>
      <c r="G19" s="135"/>
      <c r="H19" s="118"/>
      <c r="I19" s="141"/>
      <c r="J19" s="53"/>
      <c r="K19" s="53"/>
      <c r="L19" s="141"/>
      <c r="M19" s="53"/>
      <c r="N19" s="53"/>
      <c r="O19" s="53"/>
      <c r="P19" s="53"/>
      <c r="Q19" s="53"/>
      <c r="R19" s="53"/>
      <c r="S19" s="186"/>
      <c r="T19" s="141"/>
      <c r="U19" s="53"/>
    </row>
    <row r="20" spans="1:21" ht="15.6" customHeight="1" x14ac:dyDescent="0.3">
      <c r="D20" s="69"/>
      <c r="E20" s="54"/>
      <c r="F20" s="54"/>
      <c r="G20" s="134"/>
      <c r="H20" s="119"/>
      <c r="I20" s="140"/>
      <c r="J20" s="54"/>
      <c r="K20" s="54"/>
      <c r="L20" s="140"/>
      <c r="M20" s="54"/>
      <c r="N20" s="54"/>
      <c r="O20" s="54"/>
      <c r="P20" s="54"/>
      <c r="Q20" s="54"/>
      <c r="R20" s="54"/>
      <c r="S20" s="188"/>
      <c r="T20" s="140"/>
      <c r="U20" s="54"/>
    </row>
    <row r="21" spans="1:21" ht="15.6" customHeight="1" x14ac:dyDescent="0.3">
      <c r="D21" s="62"/>
      <c r="E21" s="53"/>
      <c r="F21" s="53"/>
      <c r="G21" s="135"/>
      <c r="H21" s="118"/>
      <c r="I21" s="141"/>
      <c r="J21" s="53"/>
      <c r="K21" s="53"/>
      <c r="L21" s="141"/>
      <c r="M21" s="53"/>
      <c r="N21" s="53"/>
      <c r="O21" s="53"/>
      <c r="P21" s="53"/>
      <c r="Q21" s="53"/>
      <c r="R21" s="53"/>
      <c r="S21" s="186"/>
      <c r="T21" s="141"/>
      <c r="U21" s="53"/>
    </row>
    <row r="22" spans="1:21" ht="15.6" customHeight="1" x14ac:dyDescent="0.3">
      <c r="D22" s="69"/>
      <c r="E22" s="54"/>
      <c r="F22" s="54"/>
      <c r="G22" s="134"/>
      <c r="H22" s="119"/>
      <c r="I22" s="140"/>
      <c r="J22" s="54"/>
      <c r="K22" s="54"/>
      <c r="L22" s="140"/>
      <c r="M22" s="54"/>
      <c r="N22" s="54"/>
      <c r="O22" s="54"/>
      <c r="P22" s="54"/>
      <c r="Q22" s="54"/>
      <c r="R22" s="54"/>
      <c r="S22" s="188"/>
      <c r="T22" s="140"/>
      <c r="U22" s="54"/>
    </row>
    <row r="23" spans="1:21" ht="15.6" customHeight="1" x14ac:dyDescent="0.3">
      <c r="D23" s="62"/>
      <c r="E23" s="53"/>
      <c r="F23" s="53"/>
      <c r="G23" s="135"/>
      <c r="H23" s="118"/>
      <c r="I23" s="141"/>
      <c r="J23" s="53"/>
      <c r="K23" s="53"/>
      <c r="L23" s="141"/>
      <c r="M23" s="53"/>
      <c r="N23" s="53"/>
      <c r="O23" s="53"/>
      <c r="P23" s="53"/>
      <c r="Q23" s="53"/>
      <c r="R23" s="53"/>
      <c r="S23" s="186"/>
      <c r="T23" s="141"/>
      <c r="U23" s="53"/>
    </row>
    <row r="24" spans="1:21" ht="15.6" customHeight="1" x14ac:dyDescent="0.3">
      <c r="D24" s="69"/>
      <c r="E24" s="54"/>
      <c r="F24" s="54"/>
      <c r="G24" s="134"/>
      <c r="H24" s="119"/>
      <c r="I24" s="140"/>
      <c r="J24" s="54"/>
      <c r="K24" s="54"/>
      <c r="L24" s="140"/>
      <c r="M24" s="54"/>
      <c r="N24" s="54"/>
      <c r="O24" s="54"/>
      <c r="P24" s="54"/>
      <c r="Q24" s="54"/>
      <c r="R24" s="54"/>
      <c r="S24" s="188"/>
      <c r="T24" s="140"/>
      <c r="U24" s="54"/>
    </row>
    <row r="25" spans="1:21" x14ac:dyDescent="0.3">
      <c r="D25" s="62"/>
      <c r="E25" s="53"/>
      <c r="F25" s="53"/>
      <c r="G25" s="135"/>
      <c r="H25" s="118"/>
      <c r="I25" s="141"/>
      <c r="J25" s="53"/>
      <c r="K25" s="53"/>
      <c r="L25" s="141"/>
      <c r="M25" s="53"/>
      <c r="N25" s="53"/>
      <c r="O25" s="53"/>
      <c r="P25" s="53"/>
      <c r="Q25" s="53"/>
      <c r="R25" s="53"/>
      <c r="S25" s="186"/>
      <c r="T25" s="141"/>
      <c r="U25" s="53"/>
    </row>
    <row r="26" spans="1:21" x14ac:dyDescent="0.3">
      <c r="D26" s="69"/>
      <c r="E26" s="54"/>
      <c r="F26" s="54"/>
      <c r="G26" s="134"/>
      <c r="H26" s="119"/>
      <c r="I26" s="140"/>
      <c r="J26" s="54"/>
      <c r="K26" s="54"/>
      <c r="L26" s="140"/>
      <c r="M26" s="54"/>
      <c r="N26" s="54"/>
      <c r="O26" s="54"/>
      <c r="P26" s="54"/>
      <c r="Q26" s="54"/>
      <c r="R26" s="54"/>
      <c r="S26" s="188"/>
      <c r="T26" s="140"/>
      <c r="U26" s="54"/>
    </row>
    <row r="27" spans="1:21" x14ac:dyDescent="0.3">
      <c r="D27" s="62"/>
      <c r="E27" s="53"/>
      <c r="F27" s="53"/>
      <c r="G27" s="135"/>
      <c r="H27" s="118"/>
      <c r="I27" s="141"/>
      <c r="J27" s="53"/>
      <c r="K27" s="53"/>
      <c r="L27" s="141"/>
      <c r="M27" s="53"/>
      <c r="N27" s="53"/>
      <c r="O27" s="53"/>
      <c r="P27" s="53"/>
      <c r="Q27" s="53"/>
      <c r="R27" s="53"/>
      <c r="S27" s="186"/>
      <c r="T27" s="141"/>
      <c r="U27" s="53"/>
    </row>
    <row r="28" spans="1:21" x14ac:dyDescent="0.3">
      <c r="D28" s="69"/>
      <c r="E28" s="54"/>
      <c r="F28" s="54"/>
      <c r="G28" s="134"/>
      <c r="H28" s="119"/>
      <c r="I28" s="140"/>
      <c r="J28" s="54"/>
      <c r="K28" s="54"/>
      <c r="L28" s="140"/>
      <c r="M28" s="54"/>
      <c r="N28" s="54"/>
      <c r="O28" s="54"/>
      <c r="P28" s="54"/>
      <c r="Q28" s="54"/>
      <c r="R28" s="54"/>
      <c r="S28" s="188"/>
      <c r="T28" s="140"/>
      <c r="U28" s="54"/>
    </row>
    <row r="29" spans="1:21" x14ac:dyDescent="0.3">
      <c r="D29" s="62"/>
      <c r="E29" s="53"/>
      <c r="F29" s="53"/>
      <c r="G29" s="135"/>
      <c r="H29" s="118"/>
      <c r="I29" s="141"/>
      <c r="J29" s="53"/>
      <c r="K29" s="53"/>
      <c r="L29" s="141"/>
      <c r="M29" s="53"/>
      <c r="N29" s="53"/>
      <c r="O29" s="53"/>
      <c r="P29" s="53"/>
      <c r="Q29" s="53"/>
      <c r="R29" s="53"/>
      <c r="S29" s="186"/>
      <c r="T29" s="141"/>
      <c r="U29" s="53"/>
    </row>
    <row r="30" spans="1:21" x14ac:dyDescent="0.3">
      <c r="D30" s="69"/>
      <c r="E30" s="54"/>
      <c r="F30" s="54"/>
      <c r="G30" s="134"/>
      <c r="H30" s="119"/>
      <c r="I30" s="140"/>
      <c r="J30" s="54"/>
      <c r="K30" s="54"/>
      <c r="L30" s="140"/>
      <c r="M30" s="54"/>
      <c r="N30" s="54"/>
      <c r="O30" s="54"/>
      <c r="P30" s="54"/>
      <c r="Q30" s="54"/>
      <c r="R30" s="54"/>
      <c r="S30" s="188"/>
      <c r="T30" s="140"/>
      <c r="U30" s="54"/>
    </row>
    <row r="31" spans="1:21" x14ac:dyDescent="0.3">
      <c r="D31" s="62"/>
      <c r="E31" s="53"/>
      <c r="F31" s="53"/>
      <c r="G31" s="135"/>
      <c r="H31" s="118"/>
      <c r="I31" s="141"/>
      <c r="J31" s="53"/>
      <c r="K31" s="53"/>
      <c r="L31" s="141"/>
      <c r="M31" s="53"/>
      <c r="N31" s="53"/>
      <c r="O31" s="53"/>
      <c r="P31" s="53"/>
      <c r="Q31" s="53"/>
      <c r="R31" s="53"/>
      <c r="S31" s="186"/>
      <c r="T31" s="141"/>
      <c r="U31" s="53"/>
    </row>
    <row r="32" spans="1:21" x14ac:dyDescent="0.3">
      <c r="D32" s="69"/>
      <c r="E32" s="54"/>
      <c r="F32" s="54"/>
      <c r="G32" s="134"/>
      <c r="H32" s="119"/>
      <c r="I32" s="140"/>
      <c r="J32" s="54"/>
      <c r="K32" s="54"/>
      <c r="L32" s="140"/>
      <c r="M32" s="54"/>
      <c r="N32" s="54"/>
      <c r="O32" s="54"/>
      <c r="P32" s="54"/>
      <c r="Q32" s="54"/>
      <c r="R32" s="54"/>
      <c r="S32" s="188"/>
      <c r="T32" s="140"/>
      <c r="U32" s="54"/>
    </row>
    <row r="33" spans="4:21" x14ac:dyDescent="0.3">
      <c r="D33" s="62"/>
      <c r="E33" s="53"/>
      <c r="F33" s="53"/>
      <c r="G33" s="135"/>
      <c r="H33" s="118"/>
      <c r="I33" s="141"/>
      <c r="J33" s="53"/>
      <c r="K33" s="53"/>
      <c r="L33" s="141"/>
      <c r="M33" s="53"/>
      <c r="N33" s="53"/>
      <c r="O33" s="53"/>
      <c r="P33" s="53"/>
      <c r="Q33" s="53"/>
      <c r="R33" s="53"/>
      <c r="S33" s="186"/>
      <c r="T33" s="141"/>
      <c r="U33" s="53"/>
    </row>
    <row r="34" spans="4:21" x14ac:dyDescent="0.3">
      <c r="D34" s="69"/>
      <c r="E34" s="54"/>
      <c r="F34" s="54"/>
      <c r="G34" s="134"/>
      <c r="H34" s="119"/>
      <c r="I34" s="140"/>
      <c r="J34" s="54"/>
      <c r="K34" s="54"/>
      <c r="L34" s="140"/>
      <c r="M34" s="54"/>
      <c r="N34" s="54"/>
      <c r="O34" s="54"/>
      <c r="P34" s="54"/>
      <c r="Q34" s="54"/>
      <c r="R34" s="54"/>
      <c r="S34" s="188"/>
      <c r="T34" s="140"/>
      <c r="U34" s="54"/>
    </row>
    <row r="35" spans="4:21" x14ac:dyDescent="0.3">
      <c r="D35" s="62"/>
      <c r="E35" s="53"/>
      <c r="F35" s="53"/>
      <c r="G35" s="135"/>
      <c r="H35" s="118"/>
      <c r="I35" s="141"/>
      <c r="J35" s="53"/>
      <c r="K35" s="53"/>
      <c r="L35" s="141"/>
      <c r="M35" s="53"/>
      <c r="N35" s="53"/>
      <c r="O35" s="53"/>
      <c r="P35" s="53"/>
      <c r="Q35" s="53"/>
      <c r="R35" s="53"/>
      <c r="S35" s="186"/>
      <c r="T35" s="141"/>
      <c r="U35" s="53"/>
    </row>
    <row r="36" spans="4:21" x14ac:dyDescent="0.3">
      <c r="D36" s="69"/>
      <c r="E36" s="54"/>
      <c r="F36" s="54"/>
      <c r="G36" s="134"/>
      <c r="H36" s="119"/>
      <c r="I36" s="140"/>
      <c r="J36" s="54"/>
      <c r="K36" s="54"/>
      <c r="L36" s="140"/>
      <c r="M36" s="54"/>
      <c r="N36" s="54"/>
      <c r="O36" s="54"/>
      <c r="P36" s="54"/>
      <c r="Q36" s="54"/>
      <c r="R36" s="54"/>
      <c r="S36" s="188"/>
      <c r="T36" s="140"/>
      <c r="U36" s="54"/>
    </row>
    <row r="37" spans="4:21" x14ac:dyDescent="0.3">
      <c r="D37" s="62"/>
      <c r="E37" s="53"/>
      <c r="F37" s="53"/>
      <c r="G37" s="135"/>
      <c r="H37" s="118"/>
      <c r="I37" s="141"/>
      <c r="J37" s="53"/>
      <c r="K37" s="53"/>
      <c r="L37" s="141"/>
      <c r="M37" s="53"/>
      <c r="N37" s="53"/>
      <c r="O37" s="53"/>
      <c r="P37" s="53"/>
      <c r="Q37" s="53"/>
      <c r="R37" s="53"/>
      <c r="S37" s="186"/>
      <c r="T37" s="141"/>
      <c r="U37" s="53"/>
    </row>
    <row r="38" spans="4:21" x14ac:dyDescent="0.3">
      <c r="D38" s="69"/>
      <c r="E38" s="54"/>
      <c r="F38" s="54"/>
      <c r="G38" s="134"/>
      <c r="H38" s="119"/>
      <c r="I38" s="140"/>
      <c r="J38" s="54"/>
      <c r="K38" s="54"/>
      <c r="L38" s="140"/>
      <c r="M38" s="54"/>
      <c r="N38" s="54"/>
      <c r="O38" s="54"/>
      <c r="P38" s="54"/>
      <c r="Q38" s="54"/>
      <c r="R38" s="54"/>
      <c r="S38" s="188"/>
      <c r="T38" s="140"/>
      <c r="U38" s="54"/>
    </row>
    <row r="39" spans="4:21" x14ac:dyDescent="0.3">
      <c r="D39" s="62"/>
      <c r="E39" s="53"/>
      <c r="F39" s="53"/>
      <c r="G39" s="135"/>
      <c r="H39" s="118"/>
      <c r="I39" s="141"/>
      <c r="J39" s="53"/>
      <c r="K39" s="53"/>
      <c r="L39" s="141"/>
      <c r="M39" s="53"/>
      <c r="N39" s="53"/>
      <c r="O39" s="53"/>
      <c r="P39" s="53"/>
      <c r="Q39" s="53"/>
      <c r="R39" s="53"/>
      <c r="S39" s="186"/>
      <c r="T39" s="141"/>
      <c r="U39" s="53"/>
    </row>
    <row r="40" spans="4:21" x14ac:dyDescent="0.3">
      <c r="D40" s="69"/>
      <c r="E40" s="54"/>
      <c r="F40" s="54"/>
      <c r="G40" s="134"/>
      <c r="H40" s="119"/>
      <c r="I40" s="140"/>
      <c r="J40" s="54"/>
      <c r="K40" s="54"/>
      <c r="L40" s="140"/>
      <c r="M40" s="54"/>
      <c r="N40" s="54"/>
      <c r="O40" s="54"/>
      <c r="P40" s="54"/>
      <c r="Q40" s="54"/>
      <c r="R40" s="54"/>
      <c r="S40" s="188"/>
      <c r="T40" s="140"/>
      <c r="U40" s="54"/>
    </row>
    <row r="41" spans="4:21" x14ac:dyDescent="0.3">
      <c r="D41" s="62"/>
      <c r="E41" s="53"/>
      <c r="F41" s="53"/>
      <c r="G41" s="135"/>
      <c r="H41" s="118"/>
      <c r="I41" s="141"/>
      <c r="J41" s="53"/>
      <c r="K41" s="53"/>
      <c r="L41" s="141"/>
      <c r="M41" s="53"/>
      <c r="N41" s="53"/>
      <c r="O41" s="53"/>
      <c r="P41" s="53"/>
      <c r="Q41" s="53"/>
      <c r="R41" s="53"/>
      <c r="S41" s="186"/>
      <c r="T41" s="141"/>
      <c r="U41" s="53"/>
    </row>
    <row r="42" spans="4:21" x14ac:dyDescent="0.3">
      <c r="D42" s="69"/>
      <c r="E42" s="54"/>
      <c r="F42" s="54"/>
      <c r="G42" s="134"/>
      <c r="H42" s="119"/>
      <c r="I42" s="140"/>
      <c r="J42" s="54"/>
      <c r="K42" s="54"/>
      <c r="L42" s="140"/>
      <c r="M42" s="54"/>
      <c r="N42" s="54"/>
      <c r="O42" s="54"/>
      <c r="P42" s="54"/>
      <c r="Q42" s="54"/>
      <c r="R42" s="54"/>
      <c r="S42" s="188"/>
      <c r="T42" s="140"/>
      <c r="U42" s="54"/>
    </row>
    <row r="43" spans="4:21" x14ac:dyDescent="0.3">
      <c r="D43" s="62"/>
      <c r="E43" s="53"/>
      <c r="F43" s="53"/>
      <c r="G43" s="135"/>
      <c r="H43" s="118"/>
      <c r="I43" s="141"/>
      <c r="J43" s="53"/>
      <c r="K43" s="53"/>
      <c r="L43" s="141"/>
      <c r="M43" s="53"/>
      <c r="N43" s="53"/>
      <c r="O43" s="53"/>
      <c r="P43" s="53"/>
      <c r="Q43" s="53"/>
      <c r="R43" s="53"/>
      <c r="S43" s="186"/>
      <c r="T43" s="141"/>
      <c r="U43" s="53"/>
    </row>
    <row r="44" spans="4:21" x14ac:dyDescent="0.3">
      <c r="D44" s="69"/>
      <c r="E44" s="54"/>
      <c r="F44" s="54"/>
      <c r="G44" s="134"/>
      <c r="H44" s="119"/>
      <c r="I44" s="140"/>
      <c r="J44" s="54"/>
      <c r="K44" s="54"/>
      <c r="L44" s="140"/>
      <c r="M44" s="54"/>
      <c r="N44" s="54"/>
      <c r="O44" s="54"/>
      <c r="P44" s="54"/>
      <c r="Q44" s="54"/>
      <c r="R44" s="54"/>
      <c r="S44" s="188"/>
      <c r="T44" s="140"/>
      <c r="U44" s="54"/>
    </row>
    <row r="45" spans="4:21" x14ac:dyDescent="0.3">
      <c r="D45" s="62"/>
      <c r="E45" s="53"/>
      <c r="F45" s="53"/>
      <c r="G45" s="135"/>
      <c r="H45" s="118"/>
      <c r="I45" s="141"/>
      <c r="J45" s="53"/>
      <c r="K45" s="53"/>
      <c r="L45" s="141"/>
      <c r="M45" s="53"/>
      <c r="N45" s="53"/>
      <c r="O45" s="53"/>
      <c r="P45" s="53"/>
      <c r="Q45" s="53"/>
      <c r="R45" s="53"/>
      <c r="S45" s="186"/>
      <c r="T45" s="141"/>
      <c r="U45" s="53"/>
    </row>
    <row r="46" spans="4:21" x14ac:dyDescent="0.3">
      <c r="D46" s="69"/>
      <c r="E46" s="54"/>
      <c r="F46" s="54"/>
      <c r="G46" s="134"/>
      <c r="H46" s="119"/>
      <c r="I46" s="140"/>
      <c r="J46" s="54"/>
      <c r="K46" s="54"/>
      <c r="L46" s="140"/>
      <c r="M46" s="54"/>
      <c r="N46" s="54"/>
      <c r="O46" s="54"/>
      <c r="P46" s="54"/>
      <c r="Q46" s="54"/>
      <c r="R46" s="54"/>
      <c r="S46" s="188"/>
      <c r="T46" s="140"/>
      <c r="U46" s="54"/>
    </row>
    <row r="47" spans="4:21" x14ac:dyDescent="0.3">
      <c r="D47" s="62"/>
      <c r="E47" s="53"/>
      <c r="F47" s="53"/>
      <c r="G47" s="135"/>
      <c r="H47" s="118"/>
      <c r="I47" s="141"/>
      <c r="J47" s="53"/>
      <c r="K47" s="53"/>
      <c r="L47" s="141"/>
      <c r="M47" s="53"/>
      <c r="N47" s="53"/>
      <c r="O47" s="53"/>
      <c r="P47" s="53"/>
      <c r="Q47" s="53"/>
      <c r="R47" s="53"/>
      <c r="S47" s="186"/>
      <c r="T47" s="141"/>
      <c r="U47" s="53"/>
    </row>
    <row r="48" spans="4:21" x14ac:dyDescent="0.3">
      <c r="D48" s="69"/>
      <c r="E48" s="54"/>
      <c r="F48" s="54"/>
      <c r="G48" s="134"/>
      <c r="H48" s="119"/>
      <c r="I48" s="140"/>
      <c r="J48" s="54"/>
      <c r="K48" s="54"/>
      <c r="L48" s="140"/>
      <c r="M48" s="54"/>
      <c r="N48" s="54"/>
      <c r="O48" s="54"/>
      <c r="P48" s="54"/>
      <c r="Q48" s="54"/>
      <c r="R48" s="54"/>
      <c r="S48" s="188"/>
      <c r="T48" s="140"/>
      <c r="U48" s="54"/>
    </row>
    <row r="49" spans="4:21" x14ac:dyDescent="0.3">
      <c r="D49" s="62"/>
      <c r="E49" s="53"/>
      <c r="F49" s="53"/>
      <c r="G49" s="135"/>
      <c r="H49" s="118"/>
      <c r="I49" s="141"/>
      <c r="J49" s="53"/>
      <c r="K49" s="53"/>
      <c r="L49" s="141"/>
      <c r="M49" s="53"/>
      <c r="N49" s="53"/>
      <c r="O49" s="53"/>
      <c r="P49" s="53"/>
      <c r="Q49" s="53"/>
      <c r="R49" s="53"/>
      <c r="S49" s="186"/>
      <c r="T49" s="141"/>
      <c r="U49" s="53"/>
    </row>
    <row r="50" spans="4:21" x14ac:dyDescent="0.3">
      <c r="D50" s="69"/>
      <c r="E50" s="54"/>
      <c r="F50" s="54"/>
      <c r="G50" s="134"/>
      <c r="H50" s="119"/>
      <c r="I50" s="140"/>
      <c r="J50" s="54"/>
      <c r="K50" s="54"/>
      <c r="L50" s="140"/>
      <c r="M50" s="54"/>
      <c r="N50" s="54"/>
      <c r="O50" s="54"/>
      <c r="P50" s="54"/>
      <c r="Q50" s="54"/>
      <c r="R50" s="54"/>
      <c r="S50" s="188"/>
      <c r="T50" s="140"/>
      <c r="U50" s="54"/>
    </row>
    <row r="51" spans="4:21" x14ac:dyDescent="0.3">
      <c r="D51" s="62"/>
      <c r="E51" s="53"/>
      <c r="F51" s="53"/>
      <c r="G51" s="135"/>
      <c r="H51" s="118"/>
      <c r="I51" s="141"/>
      <c r="J51" s="53"/>
      <c r="K51" s="53"/>
      <c r="L51" s="141"/>
      <c r="M51" s="53"/>
      <c r="N51" s="53"/>
      <c r="O51" s="53"/>
      <c r="P51" s="53"/>
      <c r="Q51" s="53"/>
      <c r="R51" s="53"/>
      <c r="S51" s="186"/>
      <c r="T51" s="141"/>
      <c r="U51" s="53"/>
    </row>
    <row r="52" spans="4:21" x14ac:dyDescent="0.3">
      <c r="D52" s="69"/>
      <c r="E52" s="54"/>
      <c r="F52" s="54"/>
      <c r="G52" s="134"/>
      <c r="H52" s="119"/>
      <c r="I52" s="140"/>
      <c r="J52" s="54"/>
      <c r="K52" s="54"/>
      <c r="L52" s="140"/>
      <c r="M52" s="54"/>
      <c r="N52" s="54"/>
      <c r="O52" s="54"/>
      <c r="P52" s="54"/>
      <c r="Q52" s="54"/>
      <c r="R52" s="54"/>
      <c r="S52" s="188"/>
      <c r="T52" s="140"/>
      <c r="U52" s="54"/>
    </row>
    <row r="53" spans="4:21" x14ac:dyDescent="0.3">
      <c r="D53" s="62"/>
      <c r="E53" s="53"/>
      <c r="F53" s="53"/>
      <c r="G53" s="135"/>
      <c r="H53" s="118"/>
      <c r="I53" s="141"/>
      <c r="J53" s="53"/>
      <c r="K53" s="53"/>
      <c r="L53" s="141"/>
      <c r="M53" s="53"/>
      <c r="N53" s="53"/>
      <c r="O53" s="53"/>
      <c r="P53" s="53"/>
      <c r="Q53" s="53"/>
      <c r="R53" s="53"/>
      <c r="S53" s="186"/>
      <c r="T53" s="141"/>
      <c r="U53" s="53"/>
    </row>
    <row r="54" spans="4:21" x14ac:dyDescent="0.3">
      <c r="D54" s="69"/>
      <c r="E54" s="54"/>
      <c r="F54" s="54"/>
      <c r="G54" s="134"/>
      <c r="H54" s="119"/>
      <c r="I54" s="140"/>
      <c r="J54" s="54"/>
      <c r="K54" s="54"/>
      <c r="L54" s="140"/>
      <c r="M54" s="54"/>
      <c r="N54" s="54"/>
      <c r="O54" s="54"/>
      <c r="P54" s="54"/>
      <c r="Q54" s="54"/>
      <c r="R54" s="54"/>
      <c r="S54" s="188"/>
      <c r="T54" s="140"/>
      <c r="U54" s="54"/>
    </row>
    <row r="55" spans="4:21" x14ac:dyDescent="0.3">
      <c r="D55" s="62"/>
      <c r="E55" s="53"/>
      <c r="F55" s="53"/>
      <c r="G55" s="135"/>
      <c r="H55" s="118"/>
      <c r="I55" s="141"/>
      <c r="J55" s="53"/>
      <c r="K55" s="53"/>
      <c r="L55" s="141"/>
      <c r="M55" s="53"/>
      <c r="N55" s="53"/>
      <c r="O55" s="53"/>
      <c r="P55" s="53"/>
      <c r="Q55" s="53"/>
      <c r="R55" s="53"/>
      <c r="S55" s="186"/>
      <c r="T55" s="141"/>
      <c r="U55" s="53"/>
    </row>
    <row r="56" spans="4:21" x14ac:dyDescent="0.3">
      <c r="D56" s="69"/>
      <c r="E56" s="54"/>
      <c r="F56" s="54"/>
      <c r="G56" s="134"/>
      <c r="H56" s="119"/>
      <c r="I56" s="140"/>
      <c r="J56" s="54"/>
      <c r="K56" s="54"/>
      <c r="L56" s="140"/>
      <c r="M56" s="54"/>
      <c r="N56" s="54"/>
      <c r="O56" s="54"/>
      <c r="P56" s="54"/>
      <c r="Q56" s="54"/>
      <c r="R56" s="54"/>
      <c r="S56" s="188"/>
      <c r="T56" s="140"/>
      <c r="U56" s="54"/>
    </row>
    <row r="57" spans="4:21" x14ac:dyDescent="0.3">
      <c r="D57" s="62"/>
      <c r="E57" s="53"/>
      <c r="F57" s="53"/>
      <c r="G57" s="135"/>
      <c r="H57" s="118"/>
      <c r="I57" s="141"/>
      <c r="J57" s="53"/>
      <c r="K57" s="53"/>
      <c r="L57" s="141"/>
      <c r="M57" s="53"/>
      <c r="N57" s="53"/>
      <c r="O57" s="53"/>
      <c r="P57" s="53"/>
      <c r="Q57" s="53"/>
      <c r="R57" s="53"/>
      <c r="S57" s="186"/>
      <c r="T57" s="141"/>
      <c r="U57" s="53"/>
    </row>
    <row r="58" spans="4:21" x14ac:dyDescent="0.3">
      <c r="D58" s="69"/>
      <c r="E58" s="54"/>
      <c r="F58" s="54"/>
      <c r="G58" s="134"/>
      <c r="H58" s="119"/>
      <c r="I58" s="140"/>
      <c r="J58" s="54"/>
      <c r="K58" s="54"/>
      <c r="L58" s="140"/>
      <c r="M58" s="54"/>
      <c r="N58" s="54"/>
      <c r="O58" s="54"/>
      <c r="P58" s="54"/>
      <c r="Q58" s="54"/>
      <c r="R58" s="54"/>
      <c r="S58" s="188"/>
      <c r="T58" s="140"/>
      <c r="U58" s="54"/>
    </row>
    <row r="59" spans="4:21" x14ac:dyDescent="0.3">
      <c r="D59" s="62"/>
      <c r="E59" s="53"/>
      <c r="F59" s="53"/>
      <c r="G59" s="135"/>
      <c r="H59" s="118"/>
      <c r="I59" s="141"/>
      <c r="J59" s="53"/>
      <c r="K59" s="53"/>
      <c r="L59" s="141"/>
      <c r="M59" s="53"/>
      <c r="N59" s="53"/>
      <c r="O59" s="53"/>
      <c r="P59" s="53"/>
      <c r="Q59" s="53"/>
      <c r="R59" s="53"/>
      <c r="S59" s="186"/>
      <c r="T59" s="141"/>
      <c r="U59" s="53"/>
    </row>
    <row r="60" spans="4:21" x14ac:dyDescent="0.3">
      <c r="D60" s="69"/>
      <c r="E60" s="54"/>
      <c r="F60" s="54"/>
      <c r="G60" s="134"/>
      <c r="H60" s="119"/>
      <c r="I60" s="140"/>
      <c r="J60" s="54"/>
      <c r="K60" s="54"/>
      <c r="L60" s="140"/>
      <c r="M60" s="54"/>
      <c r="N60" s="54"/>
      <c r="O60" s="54"/>
      <c r="P60" s="54"/>
      <c r="Q60" s="54"/>
      <c r="R60" s="54"/>
      <c r="S60" s="188"/>
      <c r="T60" s="140"/>
      <c r="U60" s="54"/>
    </row>
    <row r="61" spans="4:21" x14ac:dyDescent="0.3">
      <c r="D61" s="62"/>
      <c r="E61" s="53"/>
      <c r="F61" s="53"/>
      <c r="G61" s="135"/>
      <c r="H61" s="118"/>
      <c r="I61" s="141"/>
      <c r="J61" s="53"/>
      <c r="K61" s="53"/>
      <c r="L61" s="141"/>
      <c r="M61" s="53"/>
      <c r="N61" s="53"/>
      <c r="O61" s="53"/>
      <c r="P61" s="53"/>
      <c r="Q61" s="53"/>
      <c r="R61" s="53"/>
      <c r="S61" s="186"/>
      <c r="T61" s="141"/>
      <c r="U61" s="53"/>
    </row>
    <row r="62" spans="4:21" x14ac:dyDescent="0.3">
      <c r="D62" s="69"/>
      <c r="E62" s="54"/>
      <c r="F62" s="54"/>
      <c r="G62" s="134"/>
      <c r="H62" s="119"/>
      <c r="I62" s="140"/>
      <c r="J62" s="54"/>
      <c r="K62" s="54"/>
      <c r="L62" s="140"/>
      <c r="M62" s="54"/>
      <c r="N62" s="54"/>
      <c r="O62" s="54"/>
      <c r="P62" s="54"/>
      <c r="Q62" s="54"/>
      <c r="R62" s="54"/>
      <c r="S62" s="188"/>
      <c r="T62" s="140"/>
      <c r="U62" s="54"/>
    </row>
    <row r="63" spans="4:21" x14ac:dyDescent="0.3">
      <c r="D63" s="62"/>
      <c r="E63" s="53"/>
      <c r="F63" s="53"/>
      <c r="G63" s="135"/>
      <c r="H63" s="118"/>
      <c r="I63" s="141"/>
      <c r="J63" s="53"/>
      <c r="K63" s="53"/>
      <c r="L63" s="141"/>
      <c r="M63" s="53"/>
      <c r="N63" s="53"/>
      <c r="O63" s="53"/>
      <c r="P63" s="53"/>
      <c r="Q63" s="53"/>
      <c r="R63" s="53"/>
      <c r="S63" s="186"/>
      <c r="T63" s="141"/>
      <c r="U63" s="53"/>
    </row>
    <row r="64" spans="4:21" x14ac:dyDescent="0.3">
      <c r="D64" s="69"/>
      <c r="E64" s="54"/>
      <c r="F64" s="54"/>
      <c r="G64" s="134"/>
      <c r="H64" s="119"/>
      <c r="I64" s="140"/>
      <c r="J64" s="54"/>
      <c r="K64" s="54"/>
      <c r="L64" s="140"/>
      <c r="M64" s="54"/>
      <c r="N64" s="54"/>
      <c r="O64" s="54"/>
      <c r="P64" s="54"/>
      <c r="Q64" s="54"/>
      <c r="R64" s="54"/>
      <c r="S64" s="188"/>
      <c r="T64" s="140"/>
      <c r="U64" s="54"/>
    </row>
    <row r="65" spans="4:21" x14ac:dyDescent="0.3">
      <c r="D65" s="62"/>
      <c r="E65" s="53"/>
      <c r="F65" s="53"/>
      <c r="G65" s="135"/>
      <c r="H65" s="118"/>
      <c r="I65" s="141"/>
      <c r="J65" s="53"/>
      <c r="K65" s="53"/>
      <c r="L65" s="141"/>
      <c r="M65" s="53"/>
      <c r="N65" s="53"/>
      <c r="O65" s="53"/>
      <c r="P65" s="53"/>
      <c r="Q65" s="53"/>
      <c r="R65" s="53"/>
      <c r="S65" s="186"/>
      <c r="T65" s="141"/>
      <c r="U65" s="53"/>
    </row>
    <row r="66" spans="4:21" x14ac:dyDescent="0.3">
      <c r="D66" s="69"/>
      <c r="E66" s="54"/>
      <c r="F66" s="54"/>
      <c r="G66" s="134"/>
      <c r="H66" s="119"/>
      <c r="I66" s="140"/>
      <c r="J66" s="54"/>
      <c r="K66" s="54"/>
      <c r="L66" s="140"/>
      <c r="M66" s="54"/>
      <c r="N66" s="54"/>
      <c r="O66" s="54"/>
      <c r="P66" s="54"/>
      <c r="Q66" s="54"/>
      <c r="R66" s="54"/>
      <c r="S66" s="188"/>
      <c r="T66" s="140"/>
      <c r="U66" s="54"/>
    </row>
    <row r="67" spans="4:21" x14ac:dyDescent="0.3">
      <c r="D67" s="62"/>
      <c r="E67" s="53"/>
      <c r="F67" s="53"/>
      <c r="G67" s="135"/>
      <c r="H67" s="118"/>
      <c r="I67" s="141"/>
      <c r="J67" s="53"/>
      <c r="K67" s="53"/>
      <c r="L67" s="141"/>
      <c r="M67" s="53"/>
      <c r="N67" s="53"/>
      <c r="O67" s="53"/>
      <c r="P67" s="53"/>
      <c r="Q67" s="53"/>
      <c r="R67" s="53"/>
      <c r="S67" s="186"/>
      <c r="T67" s="141"/>
      <c r="U67" s="53"/>
    </row>
    <row r="68" spans="4:21" x14ac:dyDescent="0.3">
      <c r="D68" s="69"/>
      <c r="E68" s="54"/>
      <c r="F68" s="54"/>
      <c r="G68" s="134"/>
      <c r="H68" s="119"/>
      <c r="I68" s="140"/>
      <c r="J68" s="54"/>
      <c r="K68" s="54"/>
      <c r="L68" s="140"/>
      <c r="M68" s="54"/>
      <c r="N68" s="54"/>
      <c r="O68" s="54"/>
      <c r="P68" s="54"/>
      <c r="Q68" s="54"/>
      <c r="R68" s="54"/>
      <c r="S68" s="188"/>
      <c r="T68" s="140"/>
      <c r="U68" s="54"/>
    </row>
    <row r="69" spans="4:21" x14ac:dyDescent="0.3">
      <c r="D69" s="62"/>
      <c r="E69" s="53"/>
      <c r="F69" s="53"/>
      <c r="G69" s="135"/>
      <c r="H69" s="118"/>
      <c r="I69" s="141"/>
      <c r="J69" s="53"/>
      <c r="K69" s="53"/>
      <c r="L69" s="141"/>
      <c r="M69" s="53"/>
      <c r="N69" s="53"/>
      <c r="O69" s="53"/>
      <c r="P69" s="53"/>
      <c r="Q69" s="53"/>
      <c r="R69" s="53"/>
      <c r="S69" s="186"/>
      <c r="T69" s="141"/>
      <c r="U69" s="53"/>
    </row>
    <row r="70" spans="4:21" x14ac:dyDescent="0.3">
      <c r="D70" s="69"/>
      <c r="E70" s="54"/>
      <c r="F70" s="54"/>
      <c r="G70" s="134"/>
      <c r="H70" s="119"/>
      <c r="I70" s="140"/>
      <c r="J70" s="54"/>
      <c r="K70" s="54"/>
      <c r="L70" s="140"/>
      <c r="M70" s="54"/>
      <c r="N70" s="54"/>
      <c r="O70" s="54"/>
      <c r="P70" s="54"/>
      <c r="Q70" s="54"/>
      <c r="R70" s="54"/>
      <c r="S70" s="188"/>
      <c r="T70" s="140"/>
      <c r="U70" s="54"/>
    </row>
    <row r="71" spans="4:21" x14ac:dyDescent="0.3">
      <c r="D71" s="62"/>
      <c r="E71" s="53"/>
      <c r="F71" s="53"/>
      <c r="G71" s="135"/>
      <c r="H71" s="118"/>
      <c r="I71" s="141"/>
      <c r="J71" s="53"/>
      <c r="K71" s="53"/>
      <c r="L71" s="141"/>
      <c r="M71" s="53"/>
      <c r="N71" s="53"/>
      <c r="O71" s="53"/>
      <c r="P71" s="53"/>
      <c r="Q71" s="53"/>
      <c r="R71" s="53"/>
      <c r="S71" s="186"/>
      <c r="T71" s="141"/>
      <c r="U71" s="53"/>
    </row>
    <row r="72" spans="4:21" x14ac:dyDescent="0.3">
      <c r="D72" s="69"/>
      <c r="E72" s="54"/>
      <c r="F72" s="54"/>
      <c r="G72" s="134"/>
      <c r="H72" s="119"/>
      <c r="I72" s="140"/>
      <c r="J72" s="54"/>
      <c r="K72" s="54"/>
      <c r="L72" s="140"/>
      <c r="M72" s="54"/>
      <c r="N72" s="54"/>
      <c r="O72" s="54"/>
      <c r="P72" s="54"/>
      <c r="Q72" s="54"/>
      <c r="R72" s="54"/>
      <c r="S72" s="188"/>
      <c r="T72" s="140"/>
      <c r="U72" s="54"/>
    </row>
    <row r="73" spans="4:21" x14ac:dyDescent="0.3">
      <c r="D73" s="62"/>
      <c r="E73" s="53"/>
      <c r="F73" s="53"/>
      <c r="G73" s="135"/>
      <c r="H73" s="118"/>
      <c r="I73" s="141"/>
      <c r="J73" s="53"/>
      <c r="K73" s="53"/>
      <c r="L73" s="141"/>
      <c r="M73" s="53"/>
      <c r="N73" s="53"/>
      <c r="O73" s="53"/>
      <c r="P73" s="53"/>
      <c r="Q73" s="53"/>
      <c r="R73" s="53"/>
      <c r="S73" s="186"/>
      <c r="T73" s="141"/>
      <c r="U73" s="53"/>
    </row>
    <row r="74" spans="4:21" x14ac:dyDescent="0.3">
      <c r="D74" s="69"/>
      <c r="E74" s="54"/>
      <c r="F74" s="54"/>
      <c r="G74" s="134"/>
      <c r="H74" s="119"/>
      <c r="I74" s="140"/>
      <c r="J74" s="54"/>
      <c r="K74" s="54"/>
      <c r="L74" s="140"/>
      <c r="M74" s="54"/>
      <c r="N74" s="54"/>
      <c r="O74" s="54"/>
      <c r="P74" s="54"/>
      <c r="Q74" s="54"/>
      <c r="R74" s="54"/>
      <c r="S74" s="188"/>
      <c r="T74" s="140"/>
      <c r="U74" s="54"/>
    </row>
    <row r="75" spans="4:21" x14ac:dyDescent="0.3">
      <c r="D75" s="62"/>
      <c r="E75" s="53"/>
      <c r="F75" s="53"/>
      <c r="G75" s="135"/>
      <c r="H75" s="118"/>
      <c r="I75" s="141"/>
      <c r="J75" s="53"/>
      <c r="K75" s="53"/>
      <c r="L75" s="141"/>
      <c r="M75" s="53"/>
      <c r="N75" s="53"/>
      <c r="O75" s="53"/>
      <c r="P75" s="53"/>
      <c r="Q75" s="53"/>
      <c r="R75" s="53"/>
      <c r="S75" s="186"/>
      <c r="T75" s="141"/>
      <c r="U75" s="53"/>
    </row>
    <row r="76" spans="4:21" x14ac:dyDescent="0.3">
      <c r="D76" s="69"/>
      <c r="E76" s="54"/>
      <c r="F76" s="54"/>
      <c r="G76" s="134"/>
      <c r="H76" s="119"/>
      <c r="I76" s="140"/>
      <c r="J76" s="54"/>
      <c r="K76" s="54"/>
      <c r="L76" s="140"/>
      <c r="M76" s="54"/>
      <c r="N76" s="54"/>
      <c r="O76" s="54"/>
      <c r="P76" s="54"/>
      <c r="Q76" s="54"/>
      <c r="R76" s="54"/>
      <c r="S76" s="188"/>
      <c r="T76" s="140"/>
      <c r="U76" s="54"/>
    </row>
    <row r="77" spans="4:21" x14ac:dyDescent="0.3">
      <c r="D77" s="62"/>
      <c r="E77" s="53"/>
      <c r="F77" s="53"/>
      <c r="G77" s="135"/>
      <c r="H77" s="118"/>
      <c r="I77" s="141"/>
      <c r="J77" s="53"/>
      <c r="K77" s="53"/>
      <c r="L77" s="141"/>
      <c r="M77" s="53"/>
      <c r="N77" s="53"/>
      <c r="O77" s="53"/>
      <c r="P77" s="53"/>
      <c r="Q77" s="53"/>
      <c r="R77" s="53"/>
      <c r="S77" s="186"/>
      <c r="T77" s="141"/>
      <c r="U77" s="53"/>
    </row>
    <row r="78" spans="4:21" x14ac:dyDescent="0.3">
      <c r="D78" s="69"/>
      <c r="E78" s="54"/>
      <c r="F78" s="54"/>
      <c r="G78" s="134"/>
      <c r="H78" s="119"/>
      <c r="I78" s="140"/>
      <c r="J78" s="54"/>
      <c r="K78" s="54"/>
      <c r="L78" s="140"/>
      <c r="M78" s="54"/>
      <c r="N78" s="54"/>
      <c r="O78" s="54"/>
      <c r="P78" s="54"/>
      <c r="Q78" s="54"/>
      <c r="R78" s="54"/>
      <c r="S78" s="188"/>
      <c r="T78" s="140"/>
      <c r="U78" s="54"/>
    </row>
    <row r="79" spans="4:21" x14ac:dyDescent="0.3">
      <c r="D79" s="62"/>
      <c r="E79" s="53"/>
      <c r="F79" s="53"/>
      <c r="G79" s="135"/>
      <c r="H79" s="118"/>
      <c r="I79" s="141"/>
      <c r="J79" s="53"/>
      <c r="K79" s="53"/>
      <c r="L79" s="141"/>
      <c r="M79" s="53"/>
      <c r="N79" s="53"/>
      <c r="O79" s="53"/>
      <c r="P79" s="53"/>
      <c r="Q79" s="53"/>
      <c r="R79" s="53"/>
      <c r="S79" s="186"/>
      <c r="T79" s="141"/>
      <c r="U79" s="53"/>
    </row>
    <row r="80" spans="4:21" x14ac:dyDescent="0.3">
      <c r="D80" s="69"/>
      <c r="E80" s="54"/>
      <c r="F80" s="54"/>
      <c r="G80" s="134"/>
      <c r="H80" s="119"/>
      <c r="I80" s="140"/>
      <c r="J80" s="54"/>
      <c r="K80" s="54"/>
      <c r="L80" s="140"/>
      <c r="M80" s="54"/>
      <c r="N80" s="54"/>
      <c r="O80" s="54"/>
      <c r="P80" s="54"/>
      <c r="Q80" s="54"/>
      <c r="R80" s="54"/>
      <c r="S80" s="188"/>
      <c r="T80" s="140"/>
      <c r="U80" s="54"/>
    </row>
    <row r="81" spans="4:21" x14ac:dyDescent="0.3">
      <c r="D81" s="62"/>
      <c r="E81" s="53"/>
      <c r="F81" s="53"/>
      <c r="G81" s="135"/>
      <c r="H81" s="118"/>
      <c r="I81" s="141"/>
      <c r="J81" s="53"/>
      <c r="K81" s="53"/>
      <c r="L81" s="141"/>
      <c r="M81" s="53"/>
      <c r="N81" s="53"/>
      <c r="O81" s="53"/>
      <c r="P81" s="53"/>
      <c r="Q81" s="53"/>
      <c r="R81" s="53"/>
      <c r="S81" s="186"/>
      <c r="T81" s="141"/>
      <c r="U81" s="53"/>
    </row>
    <row r="82" spans="4:21" x14ac:dyDescent="0.3">
      <c r="D82" s="69"/>
      <c r="E82" s="54"/>
      <c r="F82" s="54"/>
      <c r="G82" s="134"/>
      <c r="H82" s="119"/>
      <c r="I82" s="140"/>
      <c r="J82" s="54"/>
      <c r="K82" s="54"/>
      <c r="L82" s="140"/>
      <c r="M82" s="54"/>
      <c r="N82" s="54"/>
      <c r="O82" s="54"/>
      <c r="P82" s="54"/>
      <c r="Q82" s="54"/>
      <c r="R82" s="54"/>
      <c r="S82" s="188"/>
      <c r="T82" s="140"/>
      <c r="U82" s="54"/>
    </row>
    <row r="83" spans="4:21" x14ac:dyDescent="0.3">
      <c r="D83" s="62"/>
      <c r="E83" s="53"/>
      <c r="F83" s="53"/>
      <c r="G83" s="135"/>
      <c r="H83" s="118"/>
      <c r="I83" s="141"/>
      <c r="J83" s="53"/>
      <c r="K83" s="53"/>
      <c r="L83" s="141"/>
      <c r="M83" s="53"/>
      <c r="N83" s="53"/>
      <c r="O83" s="53"/>
      <c r="P83" s="53"/>
      <c r="Q83" s="53"/>
      <c r="R83" s="53"/>
      <c r="S83" s="186"/>
      <c r="T83" s="141"/>
      <c r="U83" s="53"/>
    </row>
    <row r="84" spans="4:21" x14ac:dyDescent="0.3">
      <c r="D84" s="69"/>
      <c r="E84" s="54"/>
      <c r="F84" s="54"/>
      <c r="G84" s="134"/>
      <c r="H84" s="119"/>
      <c r="I84" s="140"/>
      <c r="J84" s="54"/>
      <c r="K84" s="54"/>
      <c r="L84" s="140"/>
      <c r="M84" s="54"/>
      <c r="N84" s="54"/>
      <c r="O84" s="54"/>
      <c r="P84" s="54"/>
      <c r="Q84" s="54"/>
      <c r="R84" s="54"/>
      <c r="S84" s="188"/>
      <c r="T84" s="140"/>
      <c r="U84" s="54"/>
    </row>
    <row r="85" spans="4:21" x14ac:dyDescent="0.3">
      <c r="D85" s="62"/>
      <c r="E85" s="53"/>
      <c r="F85" s="53"/>
      <c r="G85" s="135"/>
      <c r="H85" s="118"/>
      <c r="I85" s="141"/>
      <c r="J85" s="53"/>
      <c r="K85" s="53"/>
      <c r="L85" s="141"/>
      <c r="M85" s="53"/>
      <c r="N85" s="53"/>
      <c r="O85" s="53"/>
      <c r="P85" s="53"/>
      <c r="Q85" s="53"/>
      <c r="R85" s="53"/>
      <c r="S85" s="186"/>
      <c r="T85" s="141"/>
      <c r="U85" s="53"/>
    </row>
    <row r="86" spans="4:21" x14ac:dyDescent="0.3">
      <c r="D86" s="69"/>
      <c r="E86" s="54"/>
      <c r="F86" s="54"/>
      <c r="G86" s="134"/>
      <c r="H86" s="119"/>
      <c r="I86" s="140"/>
      <c r="J86" s="54"/>
      <c r="K86" s="54"/>
      <c r="L86" s="140"/>
      <c r="M86" s="54"/>
      <c r="N86" s="54"/>
      <c r="O86" s="54"/>
      <c r="P86" s="54"/>
      <c r="Q86" s="54"/>
      <c r="R86" s="54"/>
      <c r="S86" s="188"/>
      <c r="T86" s="140"/>
      <c r="U86" s="54"/>
    </row>
    <row r="87" spans="4:21" x14ac:dyDescent="0.3">
      <c r="D87" s="62"/>
      <c r="E87" s="53"/>
      <c r="F87" s="53"/>
      <c r="G87" s="135"/>
      <c r="H87" s="118"/>
      <c r="I87" s="141"/>
      <c r="J87" s="53"/>
      <c r="K87" s="53"/>
      <c r="L87" s="141"/>
      <c r="M87" s="53"/>
      <c r="N87" s="53"/>
      <c r="O87" s="53"/>
      <c r="P87" s="53"/>
      <c r="Q87" s="53"/>
      <c r="R87" s="53"/>
      <c r="S87" s="186"/>
      <c r="T87" s="141"/>
      <c r="U87" s="53"/>
    </row>
    <row r="88" spans="4:21" x14ac:dyDescent="0.3">
      <c r="D88" s="69"/>
      <c r="E88" s="54"/>
      <c r="F88" s="54"/>
      <c r="G88" s="134"/>
      <c r="H88" s="119"/>
      <c r="I88" s="140"/>
      <c r="J88" s="54"/>
      <c r="K88" s="54"/>
      <c r="L88" s="140"/>
      <c r="M88" s="54"/>
      <c r="N88" s="54"/>
      <c r="O88" s="54"/>
      <c r="P88" s="54"/>
      <c r="Q88" s="54"/>
      <c r="R88" s="54"/>
      <c r="S88" s="188"/>
      <c r="T88" s="140"/>
      <c r="U88" s="54"/>
    </row>
    <row r="89" spans="4:21" x14ac:dyDescent="0.3">
      <c r="D89" s="62"/>
      <c r="E89" s="53"/>
      <c r="F89" s="53"/>
      <c r="G89" s="135"/>
      <c r="H89" s="118"/>
      <c r="I89" s="141"/>
      <c r="J89" s="53"/>
      <c r="K89" s="53"/>
      <c r="L89" s="141"/>
      <c r="M89" s="53"/>
      <c r="N89" s="53"/>
      <c r="O89" s="53"/>
      <c r="P89" s="53"/>
      <c r="Q89" s="53"/>
      <c r="R89" s="53"/>
      <c r="S89" s="186"/>
      <c r="T89" s="141"/>
      <c r="U89" s="53"/>
    </row>
    <row r="90" spans="4:21" x14ac:dyDescent="0.3">
      <c r="D90" s="69"/>
      <c r="E90" s="54"/>
      <c r="F90" s="54"/>
      <c r="G90" s="134"/>
      <c r="H90" s="119"/>
      <c r="I90" s="140"/>
      <c r="J90" s="54"/>
      <c r="K90" s="54"/>
      <c r="L90" s="140"/>
      <c r="M90" s="54"/>
      <c r="N90" s="54"/>
      <c r="O90" s="54"/>
      <c r="P90" s="54"/>
      <c r="Q90" s="54"/>
      <c r="R90" s="54"/>
      <c r="S90" s="188"/>
      <c r="T90" s="140"/>
      <c r="U90" s="54"/>
    </row>
    <row r="91" spans="4:21" x14ac:dyDescent="0.3">
      <c r="D91" s="62"/>
      <c r="E91" s="53"/>
      <c r="F91" s="53"/>
      <c r="G91" s="135"/>
      <c r="H91" s="118"/>
      <c r="I91" s="141"/>
      <c r="J91" s="53"/>
      <c r="K91" s="53"/>
      <c r="L91" s="141"/>
      <c r="M91" s="53"/>
      <c r="N91" s="53"/>
      <c r="O91" s="53"/>
      <c r="P91" s="53"/>
      <c r="Q91" s="53"/>
      <c r="R91" s="53"/>
      <c r="S91" s="186"/>
      <c r="T91" s="141"/>
      <c r="U91" s="53"/>
    </row>
    <row r="92" spans="4:21" x14ac:dyDescent="0.3">
      <c r="D92" s="69"/>
      <c r="E92" s="54"/>
      <c r="F92" s="54"/>
      <c r="G92" s="134"/>
      <c r="H92" s="119"/>
      <c r="I92" s="140"/>
      <c r="J92" s="54"/>
      <c r="K92" s="54"/>
      <c r="L92" s="140"/>
      <c r="M92" s="54"/>
      <c r="N92" s="54"/>
      <c r="O92" s="54"/>
      <c r="P92" s="54"/>
      <c r="Q92" s="54"/>
      <c r="R92" s="54"/>
      <c r="S92" s="188"/>
      <c r="T92" s="140"/>
      <c r="U92" s="54"/>
    </row>
    <row r="93" spans="4:21" x14ac:dyDescent="0.3">
      <c r="D93" s="62"/>
      <c r="E93" s="53"/>
      <c r="F93" s="53"/>
      <c r="G93" s="135"/>
      <c r="H93" s="118"/>
      <c r="I93" s="141"/>
      <c r="J93" s="53"/>
      <c r="K93" s="53"/>
      <c r="L93" s="141"/>
      <c r="M93" s="53"/>
      <c r="N93" s="53"/>
      <c r="O93" s="53"/>
      <c r="P93" s="53"/>
      <c r="Q93" s="53"/>
      <c r="R93" s="53"/>
      <c r="S93" s="186"/>
      <c r="T93" s="141"/>
      <c r="U93" s="53"/>
    </row>
    <row r="94" spans="4:21" x14ac:dyDescent="0.3">
      <c r="D94" s="69"/>
      <c r="E94" s="54"/>
      <c r="F94" s="54"/>
      <c r="G94" s="134"/>
      <c r="H94" s="119"/>
      <c r="I94" s="140"/>
      <c r="J94" s="54"/>
      <c r="K94" s="54"/>
      <c r="L94" s="140"/>
      <c r="M94" s="54"/>
      <c r="N94" s="54"/>
      <c r="O94" s="54"/>
      <c r="P94" s="54"/>
      <c r="Q94" s="54"/>
      <c r="R94" s="54"/>
      <c r="S94" s="188"/>
      <c r="T94" s="140"/>
      <c r="U94" s="54"/>
    </row>
    <row r="95" spans="4:21" x14ac:dyDescent="0.3">
      <c r="D95" s="62"/>
      <c r="E95" s="53"/>
      <c r="F95" s="53"/>
      <c r="G95" s="135"/>
      <c r="H95" s="118"/>
      <c r="I95" s="141"/>
      <c r="J95" s="53"/>
      <c r="K95" s="53"/>
      <c r="L95" s="141"/>
      <c r="M95" s="53"/>
      <c r="N95" s="53"/>
      <c r="O95" s="53"/>
      <c r="P95" s="53"/>
      <c r="Q95" s="53"/>
      <c r="R95" s="53"/>
      <c r="S95" s="186"/>
      <c r="T95" s="141"/>
      <c r="U95" s="53"/>
    </row>
    <row r="96" spans="4:21" x14ac:dyDescent="0.3">
      <c r="D96" s="69"/>
      <c r="E96" s="54"/>
      <c r="F96" s="54"/>
      <c r="G96" s="134"/>
      <c r="H96" s="119"/>
      <c r="I96" s="140"/>
      <c r="J96" s="54"/>
      <c r="K96" s="54"/>
      <c r="L96" s="140"/>
      <c r="M96" s="54"/>
      <c r="N96" s="54"/>
      <c r="O96" s="54"/>
      <c r="P96" s="54"/>
      <c r="Q96" s="54"/>
      <c r="R96" s="54"/>
      <c r="S96" s="188"/>
      <c r="T96" s="140"/>
      <c r="U96" s="54"/>
    </row>
    <row r="97" spans="4:21" x14ac:dyDescent="0.3">
      <c r="D97" s="62"/>
      <c r="E97" s="53"/>
      <c r="F97" s="53"/>
      <c r="G97" s="135"/>
      <c r="H97" s="118"/>
      <c r="I97" s="141"/>
      <c r="J97" s="53"/>
      <c r="K97" s="53"/>
      <c r="L97" s="141"/>
      <c r="M97" s="53"/>
      <c r="N97" s="53"/>
      <c r="O97" s="53"/>
      <c r="P97" s="53"/>
      <c r="Q97" s="53"/>
      <c r="R97" s="53"/>
      <c r="S97" s="186"/>
      <c r="T97" s="141"/>
      <c r="U97" s="53"/>
    </row>
    <row r="98" spans="4:21" x14ac:dyDescent="0.3">
      <c r="D98" s="69"/>
      <c r="E98" s="54"/>
      <c r="F98" s="54"/>
      <c r="G98" s="134"/>
      <c r="H98" s="119"/>
      <c r="I98" s="140"/>
      <c r="J98" s="54"/>
      <c r="K98" s="54"/>
      <c r="L98" s="140"/>
      <c r="M98" s="54"/>
      <c r="N98" s="54"/>
      <c r="O98" s="54"/>
      <c r="P98" s="54"/>
      <c r="Q98" s="54"/>
      <c r="R98" s="54"/>
      <c r="S98" s="188"/>
      <c r="T98" s="140"/>
      <c r="U98" s="54"/>
    </row>
    <row r="99" spans="4:21" x14ac:dyDescent="0.3">
      <c r="D99" s="62"/>
      <c r="E99" s="53"/>
      <c r="F99" s="53"/>
      <c r="G99" s="135"/>
      <c r="H99" s="118"/>
      <c r="I99" s="141"/>
      <c r="J99" s="53"/>
      <c r="K99" s="53"/>
      <c r="L99" s="141"/>
      <c r="M99" s="53"/>
      <c r="N99" s="53"/>
      <c r="O99" s="53"/>
      <c r="P99" s="53"/>
      <c r="Q99" s="53"/>
      <c r="R99" s="53"/>
      <c r="S99" s="186"/>
      <c r="T99" s="141"/>
      <c r="U99" s="53"/>
    </row>
    <row r="100" spans="4:21" x14ac:dyDescent="0.3">
      <c r="D100" s="69"/>
      <c r="E100" s="54"/>
      <c r="F100" s="54"/>
      <c r="G100" s="134"/>
      <c r="H100" s="119"/>
      <c r="I100" s="140"/>
      <c r="J100" s="54"/>
      <c r="K100" s="54"/>
      <c r="L100" s="140"/>
      <c r="M100" s="54"/>
      <c r="N100" s="54"/>
      <c r="O100" s="54"/>
      <c r="P100" s="54"/>
      <c r="Q100" s="54"/>
      <c r="R100" s="54"/>
      <c r="S100" s="188"/>
      <c r="T100" s="140"/>
      <c r="U100" s="54"/>
    </row>
    <row r="101" spans="4:21" x14ac:dyDescent="0.3">
      <c r="D101" s="62"/>
      <c r="E101" s="53"/>
      <c r="F101" s="53"/>
      <c r="G101" s="135"/>
      <c r="H101" s="118"/>
      <c r="I101" s="141"/>
      <c r="J101" s="53"/>
      <c r="K101" s="53"/>
      <c r="L101" s="141"/>
      <c r="M101" s="53"/>
      <c r="N101" s="53"/>
      <c r="O101" s="53"/>
      <c r="P101" s="53"/>
      <c r="Q101" s="53"/>
      <c r="R101" s="53"/>
      <c r="S101" s="186"/>
      <c r="T101" s="141"/>
      <c r="U101" s="53"/>
    </row>
    <row r="102" spans="4:21" x14ac:dyDescent="0.3">
      <c r="D102" s="69"/>
      <c r="E102" s="54"/>
      <c r="F102" s="54"/>
      <c r="G102" s="134"/>
      <c r="H102" s="119"/>
      <c r="I102" s="140"/>
      <c r="J102" s="54"/>
      <c r="K102" s="54"/>
      <c r="L102" s="140"/>
      <c r="M102" s="54"/>
      <c r="N102" s="54"/>
      <c r="O102" s="54"/>
      <c r="P102" s="54"/>
      <c r="Q102" s="54"/>
      <c r="R102" s="54"/>
      <c r="S102" s="188"/>
      <c r="T102" s="140"/>
      <c r="U102" s="54"/>
    </row>
    <row r="103" spans="4:21" x14ac:dyDescent="0.3">
      <c r="D103" s="62"/>
      <c r="E103" s="53"/>
      <c r="F103" s="53"/>
      <c r="G103" s="135"/>
      <c r="H103" s="118"/>
      <c r="I103" s="141"/>
      <c r="J103" s="53"/>
      <c r="K103" s="53"/>
      <c r="L103" s="141"/>
      <c r="M103" s="53"/>
      <c r="N103" s="53"/>
      <c r="O103" s="53"/>
      <c r="P103" s="53"/>
      <c r="Q103" s="53"/>
      <c r="R103" s="53"/>
      <c r="S103" s="186"/>
      <c r="T103" s="141"/>
      <c r="U103" s="53"/>
    </row>
    <row r="104" spans="4:21" x14ac:dyDescent="0.3">
      <c r="D104" s="69"/>
      <c r="E104" s="54"/>
      <c r="F104" s="54"/>
      <c r="G104" s="134"/>
      <c r="H104" s="119"/>
      <c r="I104" s="140"/>
      <c r="J104" s="54"/>
      <c r="K104" s="54"/>
      <c r="L104" s="140"/>
      <c r="M104" s="54"/>
      <c r="N104" s="54"/>
      <c r="O104" s="54"/>
      <c r="P104" s="54"/>
      <c r="Q104" s="54"/>
      <c r="R104" s="54"/>
      <c r="S104" s="188"/>
      <c r="T104" s="140"/>
      <c r="U104" s="54"/>
    </row>
    <row r="105" spans="4:21" x14ac:dyDescent="0.3">
      <c r="D105" s="62"/>
      <c r="E105" s="53"/>
      <c r="F105" s="53"/>
      <c r="G105" s="135"/>
      <c r="H105" s="118"/>
      <c r="I105" s="141"/>
      <c r="J105" s="53"/>
      <c r="K105" s="53"/>
      <c r="L105" s="141"/>
      <c r="M105" s="53"/>
      <c r="N105" s="53"/>
      <c r="O105" s="53"/>
      <c r="P105" s="53"/>
      <c r="Q105" s="53"/>
      <c r="R105" s="53"/>
      <c r="S105" s="186"/>
      <c r="T105" s="141"/>
      <c r="U105" s="53"/>
    </row>
    <row r="106" spans="4:21" x14ac:dyDescent="0.3">
      <c r="D106" s="69"/>
      <c r="E106" s="54"/>
      <c r="F106" s="54"/>
      <c r="G106" s="134"/>
      <c r="H106" s="119"/>
      <c r="I106" s="140"/>
      <c r="J106" s="54"/>
      <c r="K106" s="54"/>
      <c r="L106" s="140"/>
      <c r="M106" s="54"/>
      <c r="N106" s="54"/>
      <c r="O106" s="54"/>
      <c r="P106" s="54"/>
      <c r="Q106" s="54"/>
      <c r="R106" s="54"/>
      <c r="S106" s="188"/>
      <c r="T106" s="140"/>
      <c r="U106" s="54"/>
    </row>
    <row r="107" spans="4:21" x14ac:dyDescent="0.3">
      <c r="D107" s="62"/>
      <c r="E107" s="53"/>
      <c r="F107" s="53"/>
      <c r="G107" s="135"/>
      <c r="H107" s="118"/>
      <c r="I107" s="141"/>
      <c r="J107" s="53"/>
      <c r="K107" s="53"/>
      <c r="L107" s="141"/>
      <c r="M107" s="53"/>
      <c r="N107" s="53"/>
      <c r="O107" s="53"/>
      <c r="P107" s="53"/>
      <c r="Q107" s="53"/>
      <c r="R107" s="53"/>
      <c r="S107" s="186"/>
      <c r="T107" s="141"/>
      <c r="U107" s="53"/>
    </row>
    <row r="108" spans="4:21" x14ac:dyDescent="0.3">
      <c r="D108" s="69"/>
      <c r="E108" s="54"/>
      <c r="F108" s="54"/>
      <c r="G108" s="134"/>
      <c r="H108" s="119"/>
      <c r="I108" s="140"/>
      <c r="J108" s="54"/>
      <c r="K108" s="54"/>
      <c r="L108" s="140"/>
      <c r="M108" s="54"/>
      <c r="N108" s="54"/>
      <c r="O108" s="54"/>
      <c r="P108" s="54"/>
      <c r="Q108" s="54"/>
      <c r="R108" s="54"/>
      <c r="S108" s="188"/>
      <c r="T108" s="140"/>
      <c r="U108" s="54"/>
    </row>
    <row r="109" spans="4:21" x14ac:dyDescent="0.3">
      <c r="D109" s="62"/>
      <c r="E109" s="53"/>
      <c r="F109" s="53"/>
      <c r="G109" s="135"/>
      <c r="H109" s="118"/>
      <c r="I109" s="141"/>
      <c r="J109" s="53"/>
      <c r="K109" s="53"/>
      <c r="L109" s="141"/>
      <c r="M109" s="53"/>
      <c r="N109" s="53"/>
      <c r="O109" s="53"/>
      <c r="P109" s="53"/>
      <c r="Q109" s="53"/>
      <c r="R109" s="53"/>
      <c r="S109" s="186"/>
      <c r="T109" s="141"/>
      <c r="U109" s="53"/>
    </row>
    <row r="110" spans="4:21" x14ac:dyDescent="0.3">
      <c r="D110" s="69"/>
      <c r="E110" s="54"/>
      <c r="F110" s="54"/>
      <c r="G110" s="134"/>
      <c r="H110" s="119"/>
      <c r="I110" s="140"/>
      <c r="J110" s="54"/>
      <c r="K110" s="54"/>
      <c r="L110" s="140"/>
      <c r="M110" s="54"/>
      <c r="N110" s="54"/>
      <c r="O110" s="54"/>
      <c r="P110" s="54"/>
      <c r="Q110" s="54"/>
      <c r="R110" s="54"/>
      <c r="S110" s="188"/>
      <c r="T110" s="140"/>
      <c r="U110" s="54"/>
    </row>
    <row r="111" spans="4:21" x14ac:dyDescent="0.3">
      <c r="D111" s="62"/>
      <c r="E111" s="53"/>
      <c r="F111" s="53"/>
      <c r="G111" s="135"/>
      <c r="H111" s="118"/>
      <c r="I111" s="141"/>
      <c r="J111" s="53"/>
      <c r="K111" s="53"/>
      <c r="L111" s="141"/>
      <c r="M111" s="53"/>
      <c r="N111" s="53"/>
      <c r="O111" s="53"/>
      <c r="P111" s="53"/>
      <c r="Q111" s="53"/>
      <c r="R111" s="53"/>
      <c r="S111" s="186"/>
      <c r="T111" s="141"/>
      <c r="U111" s="53"/>
    </row>
    <row r="112" spans="4:21" x14ac:dyDescent="0.3">
      <c r="D112" s="69"/>
      <c r="E112" s="54"/>
      <c r="F112" s="54"/>
      <c r="G112" s="134"/>
      <c r="H112" s="119"/>
      <c r="I112" s="140"/>
      <c r="J112" s="54"/>
      <c r="K112" s="54"/>
      <c r="L112" s="140"/>
      <c r="M112" s="54"/>
      <c r="N112" s="54"/>
      <c r="O112" s="54"/>
      <c r="P112" s="54"/>
      <c r="Q112" s="54"/>
      <c r="R112" s="54"/>
      <c r="S112" s="188"/>
      <c r="T112" s="140"/>
      <c r="U112" s="54"/>
    </row>
    <row r="113" spans="4:21" x14ac:dyDescent="0.3">
      <c r="D113" s="62"/>
      <c r="E113" s="53"/>
      <c r="F113" s="53"/>
      <c r="G113" s="135"/>
      <c r="H113" s="118"/>
      <c r="I113" s="141"/>
      <c r="J113" s="53"/>
      <c r="K113" s="53"/>
      <c r="L113" s="141"/>
      <c r="M113" s="53"/>
      <c r="N113" s="53"/>
      <c r="O113" s="53"/>
      <c r="P113" s="53"/>
      <c r="Q113" s="53"/>
      <c r="R113" s="53"/>
      <c r="S113" s="186"/>
      <c r="T113" s="141"/>
      <c r="U113" s="53"/>
    </row>
    <row r="114" spans="4:21" x14ac:dyDescent="0.3">
      <c r="D114" s="69"/>
      <c r="E114" s="54"/>
      <c r="F114" s="54"/>
      <c r="G114" s="134"/>
      <c r="H114" s="119"/>
      <c r="I114" s="140"/>
      <c r="J114" s="54"/>
      <c r="K114" s="54"/>
      <c r="L114" s="140"/>
      <c r="M114" s="54"/>
      <c r="N114" s="54"/>
      <c r="O114" s="54"/>
      <c r="P114" s="54"/>
      <c r="Q114" s="54"/>
      <c r="R114" s="54"/>
      <c r="S114" s="188"/>
      <c r="T114" s="140"/>
      <c r="U114" s="54"/>
    </row>
    <row r="115" spans="4:21" x14ac:dyDescent="0.3">
      <c r="D115" s="62"/>
      <c r="E115" s="53"/>
      <c r="F115" s="53"/>
      <c r="G115" s="135"/>
      <c r="H115" s="118"/>
      <c r="I115" s="141"/>
      <c r="J115" s="53"/>
      <c r="K115" s="53"/>
      <c r="L115" s="141"/>
      <c r="M115" s="53"/>
      <c r="N115" s="53"/>
      <c r="O115" s="53"/>
      <c r="P115" s="53"/>
      <c r="Q115" s="53"/>
      <c r="R115" s="53"/>
      <c r="S115" s="186"/>
      <c r="T115" s="141"/>
      <c r="U115" s="53"/>
    </row>
    <row r="116" spans="4:21" x14ac:dyDescent="0.3">
      <c r="D116" s="69"/>
      <c r="E116" s="54"/>
      <c r="F116" s="54"/>
      <c r="G116" s="134"/>
      <c r="H116" s="119"/>
      <c r="I116" s="140"/>
      <c r="J116" s="54"/>
      <c r="K116" s="54"/>
      <c r="L116" s="140"/>
      <c r="M116" s="54"/>
      <c r="N116" s="54"/>
      <c r="O116" s="54"/>
      <c r="P116" s="54"/>
      <c r="Q116" s="54"/>
      <c r="R116" s="54"/>
      <c r="S116" s="188"/>
      <c r="T116" s="140"/>
      <c r="U116" s="54"/>
    </row>
    <row r="117" spans="4:21" x14ac:dyDescent="0.3">
      <c r="D117" s="62"/>
      <c r="E117" s="53"/>
      <c r="F117" s="53"/>
      <c r="G117" s="135"/>
      <c r="H117" s="118"/>
      <c r="I117" s="141"/>
      <c r="J117" s="53"/>
      <c r="K117" s="53"/>
      <c r="L117" s="141"/>
      <c r="M117" s="53"/>
      <c r="N117" s="53"/>
      <c r="O117" s="53"/>
      <c r="P117" s="53"/>
      <c r="Q117" s="53"/>
      <c r="R117" s="53"/>
      <c r="S117" s="186"/>
      <c r="T117" s="141"/>
      <c r="U117" s="53"/>
    </row>
    <row r="118" spans="4:21" x14ac:dyDescent="0.3">
      <c r="D118" s="69"/>
      <c r="E118" s="54"/>
      <c r="F118" s="54"/>
      <c r="G118" s="134"/>
      <c r="H118" s="119"/>
      <c r="I118" s="140"/>
      <c r="J118" s="54"/>
      <c r="K118" s="54"/>
      <c r="L118" s="140"/>
      <c r="M118" s="54"/>
      <c r="N118" s="54"/>
      <c r="O118" s="54"/>
      <c r="P118" s="54"/>
      <c r="Q118" s="54"/>
      <c r="R118" s="54"/>
      <c r="S118" s="188"/>
      <c r="T118" s="140"/>
      <c r="U118" s="54"/>
    </row>
    <row r="119" spans="4:21" x14ac:dyDescent="0.3">
      <c r="D119" s="62"/>
      <c r="E119" s="53"/>
      <c r="F119" s="53"/>
      <c r="G119" s="135"/>
      <c r="H119" s="118"/>
      <c r="I119" s="141"/>
      <c r="J119" s="53"/>
      <c r="K119" s="53"/>
      <c r="L119" s="141"/>
      <c r="M119" s="53"/>
      <c r="N119" s="53"/>
      <c r="O119" s="53"/>
      <c r="P119" s="53"/>
      <c r="Q119" s="53"/>
      <c r="R119" s="53"/>
      <c r="S119" s="186"/>
      <c r="T119" s="141"/>
      <c r="U119" s="53"/>
    </row>
    <row r="120" spans="4:21" x14ac:dyDescent="0.3">
      <c r="D120" s="69"/>
      <c r="E120" s="54"/>
      <c r="F120" s="54"/>
      <c r="G120" s="134"/>
      <c r="H120" s="119"/>
      <c r="I120" s="140"/>
      <c r="J120" s="54"/>
      <c r="K120" s="54"/>
      <c r="L120" s="140"/>
      <c r="M120" s="54"/>
      <c r="N120" s="54"/>
      <c r="O120" s="54"/>
      <c r="P120" s="54"/>
      <c r="Q120" s="54"/>
      <c r="R120" s="54"/>
      <c r="S120" s="188"/>
      <c r="T120" s="140"/>
      <c r="U120" s="54"/>
    </row>
    <row r="121" spans="4:21" x14ac:dyDescent="0.3">
      <c r="D121" s="62"/>
      <c r="E121" s="53"/>
      <c r="F121" s="53"/>
      <c r="G121" s="135"/>
      <c r="H121" s="118"/>
      <c r="I121" s="141"/>
      <c r="J121" s="53"/>
      <c r="K121" s="53"/>
      <c r="L121" s="141"/>
      <c r="M121" s="53"/>
      <c r="N121" s="53"/>
      <c r="O121" s="53"/>
      <c r="P121" s="53"/>
      <c r="Q121" s="53"/>
      <c r="R121" s="53"/>
      <c r="S121" s="186"/>
      <c r="T121" s="141"/>
      <c r="U121" s="53"/>
    </row>
    <row r="122" spans="4:21" x14ac:dyDescent="0.3">
      <c r="D122" s="69"/>
      <c r="E122" s="54"/>
      <c r="F122" s="54"/>
      <c r="G122" s="134"/>
      <c r="H122" s="119"/>
      <c r="I122" s="140"/>
      <c r="J122" s="54"/>
      <c r="K122" s="54"/>
      <c r="L122" s="140"/>
      <c r="M122" s="54"/>
      <c r="N122" s="54"/>
      <c r="O122" s="54"/>
      <c r="P122" s="54"/>
      <c r="Q122" s="54"/>
      <c r="R122" s="54"/>
      <c r="S122" s="188"/>
      <c r="T122" s="140"/>
      <c r="U122" s="54"/>
    </row>
    <row r="123" spans="4:21" x14ac:dyDescent="0.3">
      <c r="D123" s="62"/>
      <c r="E123" s="53"/>
      <c r="F123" s="53"/>
      <c r="G123" s="135"/>
      <c r="H123" s="118"/>
      <c r="I123" s="141"/>
      <c r="J123" s="53"/>
      <c r="K123" s="53"/>
      <c r="L123" s="141"/>
      <c r="M123" s="53"/>
      <c r="N123" s="53"/>
      <c r="O123" s="53"/>
      <c r="P123" s="53"/>
      <c r="Q123" s="53"/>
      <c r="R123" s="53"/>
      <c r="S123" s="186"/>
      <c r="T123" s="141"/>
      <c r="U123" s="53"/>
    </row>
    <row r="124" spans="4:21" x14ac:dyDescent="0.3">
      <c r="D124" s="69"/>
      <c r="E124" s="54"/>
      <c r="F124" s="54"/>
      <c r="G124" s="134"/>
      <c r="H124" s="119"/>
      <c r="I124" s="140"/>
      <c r="J124" s="54"/>
      <c r="K124" s="54"/>
      <c r="L124" s="140"/>
      <c r="M124" s="54"/>
      <c r="N124" s="54"/>
      <c r="O124" s="54"/>
      <c r="P124" s="54"/>
      <c r="Q124" s="54"/>
      <c r="R124" s="54"/>
      <c r="S124" s="188"/>
      <c r="T124" s="140"/>
      <c r="U124" s="54"/>
    </row>
    <row r="125" spans="4:21" x14ac:dyDescent="0.3">
      <c r="D125" s="62"/>
      <c r="E125" s="53"/>
      <c r="F125" s="53"/>
      <c r="G125" s="135"/>
      <c r="H125" s="118"/>
      <c r="I125" s="141"/>
      <c r="J125" s="53"/>
      <c r="K125" s="53"/>
      <c r="L125" s="141"/>
      <c r="M125" s="53"/>
      <c r="N125" s="53"/>
      <c r="O125" s="53"/>
      <c r="P125" s="53"/>
      <c r="Q125" s="53"/>
      <c r="R125" s="53"/>
      <c r="S125" s="186"/>
      <c r="T125" s="141"/>
      <c r="U125" s="53"/>
    </row>
    <row r="126" spans="4:21" x14ac:dyDescent="0.3">
      <c r="D126" s="69"/>
      <c r="E126" s="54"/>
      <c r="F126" s="54"/>
      <c r="G126" s="134"/>
      <c r="H126" s="119"/>
      <c r="I126" s="140"/>
      <c r="J126" s="54"/>
      <c r="K126" s="54"/>
      <c r="L126" s="140"/>
      <c r="M126" s="54"/>
      <c r="N126" s="54"/>
      <c r="O126" s="54"/>
      <c r="P126" s="54"/>
      <c r="Q126" s="54"/>
      <c r="R126" s="54"/>
      <c r="S126" s="188"/>
      <c r="T126" s="140"/>
      <c r="U126" s="54"/>
    </row>
    <row r="127" spans="4:21" x14ac:dyDescent="0.3">
      <c r="D127" s="62"/>
      <c r="E127" s="53"/>
      <c r="F127" s="53"/>
      <c r="G127" s="135"/>
      <c r="H127" s="118"/>
      <c r="I127" s="141"/>
      <c r="J127" s="53"/>
      <c r="K127" s="53"/>
      <c r="L127" s="141"/>
      <c r="M127" s="53"/>
      <c r="N127" s="53"/>
      <c r="O127" s="53"/>
      <c r="P127" s="53"/>
      <c r="Q127" s="53"/>
      <c r="R127" s="53"/>
      <c r="S127" s="186"/>
      <c r="T127" s="141"/>
      <c r="U127" s="53"/>
    </row>
    <row r="128" spans="4:21" x14ac:dyDescent="0.3">
      <c r="D128" s="69"/>
      <c r="E128" s="54"/>
      <c r="F128" s="54"/>
      <c r="G128" s="134"/>
      <c r="H128" s="119"/>
      <c r="I128" s="140"/>
      <c r="J128" s="54"/>
      <c r="K128" s="54"/>
      <c r="L128" s="140"/>
      <c r="M128" s="54"/>
      <c r="N128" s="54"/>
      <c r="O128" s="54"/>
      <c r="P128" s="54"/>
      <c r="Q128" s="54"/>
      <c r="R128" s="54"/>
      <c r="S128" s="188"/>
      <c r="T128" s="140"/>
      <c r="U128" s="54"/>
    </row>
    <row r="129" spans="4:21" x14ac:dyDescent="0.3">
      <c r="D129" s="62"/>
      <c r="E129" s="53"/>
      <c r="F129" s="53"/>
      <c r="G129" s="135"/>
      <c r="H129" s="118"/>
      <c r="I129" s="141"/>
      <c r="J129" s="53"/>
      <c r="K129" s="53"/>
      <c r="L129" s="141"/>
      <c r="M129" s="53"/>
      <c r="N129" s="53"/>
      <c r="O129" s="53"/>
      <c r="P129" s="53"/>
      <c r="Q129" s="53"/>
      <c r="R129" s="53"/>
      <c r="S129" s="186"/>
      <c r="T129" s="141"/>
      <c r="U129" s="53"/>
    </row>
    <row r="130" spans="4:21" x14ac:dyDescent="0.3">
      <c r="D130" s="69"/>
      <c r="E130" s="54"/>
      <c r="F130" s="54"/>
      <c r="G130" s="134"/>
      <c r="H130" s="119"/>
      <c r="I130" s="140"/>
      <c r="J130" s="54"/>
      <c r="K130" s="54"/>
      <c r="L130" s="140"/>
      <c r="M130" s="54"/>
      <c r="N130" s="54"/>
      <c r="O130" s="54"/>
      <c r="P130" s="54"/>
      <c r="Q130" s="54"/>
      <c r="R130" s="54"/>
      <c r="S130" s="188"/>
      <c r="T130" s="140"/>
      <c r="U130" s="54"/>
    </row>
    <row r="131" spans="4:21" x14ac:dyDescent="0.3">
      <c r="D131" s="62"/>
      <c r="E131" s="53"/>
      <c r="F131" s="53"/>
      <c r="G131" s="135"/>
      <c r="H131" s="118"/>
      <c r="I131" s="141"/>
      <c r="J131" s="53"/>
      <c r="K131" s="53"/>
      <c r="L131" s="141"/>
      <c r="M131" s="53"/>
      <c r="N131" s="53"/>
      <c r="O131" s="53"/>
      <c r="P131" s="53"/>
      <c r="Q131" s="53"/>
      <c r="R131" s="53"/>
      <c r="S131" s="186"/>
      <c r="T131" s="141"/>
      <c r="U131" s="53"/>
    </row>
    <row r="132" spans="4:21" x14ac:dyDescent="0.3">
      <c r="D132" s="69"/>
      <c r="E132" s="54"/>
      <c r="F132" s="54"/>
      <c r="G132" s="134"/>
      <c r="H132" s="119"/>
      <c r="I132" s="140"/>
      <c r="J132" s="54"/>
      <c r="K132" s="54"/>
      <c r="L132" s="140"/>
      <c r="M132" s="54"/>
      <c r="N132" s="54"/>
      <c r="O132" s="54"/>
      <c r="P132" s="54"/>
      <c r="Q132" s="54"/>
      <c r="R132" s="54"/>
      <c r="S132" s="188"/>
      <c r="T132" s="140"/>
      <c r="U132" s="54"/>
    </row>
    <row r="133" spans="4:21" x14ac:dyDescent="0.3">
      <c r="D133" s="62"/>
      <c r="E133" s="53"/>
      <c r="F133" s="53"/>
      <c r="G133" s="135"/>
      <c r="H133" s="118"/>
      <c r="I133" s="141"/>
      <c r="J133" s="53"/>
      <c r="K133" s="53"/>
      <c r="L133" s="141"/>
      <c r="M133" s="53"/>
      <c r="N133" s="53"/>
      <c r="O133" s="53"/>
      <c r="P133" s="53"/>
      <c r="Q133" s="53"/>
      <c r="R133" s="53"/>
      <c r="S133" s="186"/>
      <c r="T133" s="141"/>
      <c r="U133" s="53"/>
    </row>
    <row r="134" spans="4:21" x14ac:dyDescent="0.3">
      <c r="D134" s="69"/>
      <c r="E134" s="54"/>
      <c r="F134" s="54"/>
      <c r="G134" s="134"/>
      <c r="H134" s="119"/>
      <c r="I134" s="140"/>
      <c r="J134" s="54"/>
      <c r="K134" s="54"/>
      <c r="L134" s="140"/>
      <c r="M134" s="54"/>
      <c r="N134" s="54"/>
      <c r="O134" s="54"/>
      <c r="P134" s="54"/>
      <c r="Q134" s="54"/>
      <c r="R134" s="54"/>
      <c r="S134" s="188"/>
      <c r="T134" s="140"/>
      <c r="U134" s="54"/>
    </row>
    <row r="135" spans="4:21" x14ac:dyDescent="0.3">
      <c r="D135" s="62"/>
      <c r="E135" s="53"/>
      <c r="F135" s="53"/>
      <c r="G135" s="135"/>
      <c r="H135" s="118"/>
      <c r="I135" s="141"/>
      <c r="J135" s="53"/>
      <c r="K135" s="53"/>
      <c r="L135" s="141"/>
      <c r="M135" s="53"/>
      <c r="N135" s="53"/>
      <c r="O135" s="53"/>
      <c r="P135" s="53"/>
      <c r="Q135" s="53"/>
      <c r="R135" s="53"/>
      <c r="S135" s="186"/>
      <c r="T135" s="141"/>
      <c r="U135" s="53"/>
    </row>
    <row r="136" spans="4:21" x14ac:dyDescent="0.3">
      <c r="D136" s="69"/>
      <c r="E136" s="54"/>
      <c r="F136" s="54"/>
      <c r="G136" s="134"/>
      <c r="H136" s="119"/>
      <c r="I136" s="140"/>
      <c r="J136" s="54"/>
      <c r="K136" s="54"/>
      <c r="L136" s="140"/>
      <c r="M136" s="54"/>
      <c r="N136" s="54"/>
      <c r="O136" s="54"/>
      <c r="P136" s="54"/>
      <c r="Q136" s="54"/>
      <c r="R136" s="54"/>
      <c r="S136" s="188"/>
      <c r="T136" s="140"/>
      <c r="U136" s="54"/>
    </row>
    <row r="137" spans="4:21" x14ac:dyDescent="0.3">
      <c r="D137" s="62"/>
      <c r="E137" s="53"/>
      <c r="F137" s="53"/>
      <c r="G137" s="135"/>
      <c r="H137" s="118"/>
      <c r="I137" s="141"/>
      <c r="J137" s="53"/>
      <c r="K137" s="53"/>
      <c r="L137" s="141"/>
      <c r="M137" s="53"/>
      <c r="N137" s="53"/>
      <c r="O137" s="53"/>
      <c r="P137" s="53"/>
      <c r="Q137" s="53"/>
      <c r="R137" s="53"/>
      <c r="S137" s="186"/>
      <c r="T137" s="141"/>
      <c r="U137" s="53"/>
    </row>
    <row r="138" spans="4:21" x14ac:dyDescent="0.3">
      <c r="D138" s="69"/>
      <c r="E138" s="54"/>
      <c r="F138" s="54"/>
      <c r="G138" s="134"/>
      <c r="H138" s="119"/>
      <c r="I138" s="140"/>
      <c r="J138" s="54"/>
      <c r="K138" s="54"/>
      <c r="L138" s="140"/>
      <c r="M138" s="54"/>
      <c r="N138" s="54"/>
      <c r="O138" s="54"/>
      <c r="P138" s="54"/>
      <c r="Q138" s="54"/>
      <c r="R138" s="54"/>
      <c r="S138" s="188"/>
      <c r="T138" s="140"/>
      <c r="U138" s="54"/>
    </row>
    <row r="139" spans="4:21" x14ac:dyDescent="0.3">
      <c r="D139" s="62"/>
      <c r="E139" s="53"/>
      <c r="F139" s="53"/>
      <c r="G139" s="135"/>
      <c r="H139" s="118"/>
      <c r="I139" s="141"/>
      <c r="J139" s="53"/>
      <c r="K139" s="53"/>
      <c r="L139" s="141"/>
      <c r="M139" s="53"/>
      <c r="N139" s="53"/>
      <c r="O139" s="53"/>
      <c r="P139" s="53"/>
      <c r="Q139" s="53"/>
      <c r="R139" s="53"/>
      <c r="S139" s="186"/>
      <c r="T139" s="141"/>
      <c r="U139" s="53"/>
    </row>
    <row r="140" spans="4:21" x14ac:dyDescent="0.3">
      <c r="D140" s="69"/>
      <c r="E140" s="54"/>
      <c r="F140" s="54"/>
      <c r="G140" s="134"/>
      <c r="H140" s="119"/>
      <c r="I140" s="140"/>
      <c r="J140" s="54"/>
      <c r="K140" s="54"/>
      <c r="L140" s="140"/>
      <c r="M140" s="54"/>
      <c r="N140" s="54"/>
      <c r="O140" s="54"/>
      <c r="P140" s="54"/>
      <c r="Q140" s="54"/>
      <c r="R140" s="54"/>
      <c r="S140" s="188"/>
      <c r="T140" s="140"/>
      <c r="U140" s="54"/>
    </row>
    <row r="141" spans="4:21" x14ac:dyDescent="0.3">
      <c r="D141" s="62"/>
      <c r="E141" s="53"/>
      <c r="F141" s="53"/>
      <c r="G141" s="135"/>
      <c r="H141" s="118"/>
      <c r="I141" s="141"/>
      <c r="J141" s="53"/>
      <c r="K141" s="53"/>
      <c r="L141" s="141"/>
      <c r="M141" s="53"/>
      <c r="N141" s="53"/>
      <c r="O141" s="53"/>
      <c r="P141" s="53"/>
      <c r="Q141" s="53"/>
      <c r="R141" s="53"/>
      <c r="S141" s="186"/>
      <c r="T141" s="141"/>
      <c r="U141" s="53"/>
    </row>
    <row r="142" spans="4:21" x14ac:dyDescent="0.3">
      <c r="D142" s="69"/>
      <c r="E142" s="54"/>
      <c r="F142" s="54"/>
      <c r="G142" s="134"/>
      <c r="H142" s="119"/>
      <c r="I142" s="140"/>
      <c r="J142" s="54"/>
      <c r="K142" s="54"/>
      <c r="L142" s="140"/>
      <c r="M142" s="54"/>
      <c r="N142" s="54"/>
      <c r="O142" s="54"/>
      <c r="P142" s="54"/>
      <c r="Q142" s="54"/>
      <c r="R142" s="54"/>
      <c r="S142" s="188"/>
      <c r="T142" s="140"/>
      <c r="U142" s="54"/>
    </row>
    <row r="143" spans="4:21" x14ac:dyDescent="0.3">
      <c r="D143" s="62"/>
      <c r="E143" s="53"/>
      <c r="F143" s="53"/>
      <c r="G143" s="135"/>
      <c r="H143" s="118"/>
      <c r="I143" s="141"/>
      <c r="J143" s="53"/>
      <c r="K143" s="53"/>
      <c r="L143" s="141"/>
      <c r="M143" s="53"/>
      <c r="N143" s="53"/>
      <c r="O143" s="53"/>
      <c r="P143" s="53"/>
      <c r="Q143" s="53"/>
      <c r="R143" s="53"/>
      <c r="S143" s="186"/>
      <c r="T143" s="141"/>
      <c r="U143" s="53"/>
    </row>
    <row r="144" spans="4:21" x14ac:dyDescent="0.3">
      <c r="D144" s="69"/>
      <c r="E144" s="54"/>
      <c r="F144" s="54"/>
      <c r="G144" s="134"/>
      <c r="H144" s="119"/>
      <c r="I144" s="140"/>
      <c r="J144" s="54"/>
      <c r="K144" s="54"/>
      <c r="L144" s="140"/>
      <c r="M144" s="54"/>
      <c r="N144" s="54"/>
      <c r="O144" s="54"/>
      <c r="P144" s="54"/>
      <c r="Q144" s="54"/>
      <c r="R144" s="54"/>
      <c r="S144" s="188"/>
      <c r="T144" s="140"/>
      <c r="U144" s="54"/>
    </row>
    <row r="145" spans="4:21" x14ac:dyDescent="0.3">
      <c r="D145" s="62"/>
      <c r="E145" s="53"/>
      <c r="F145" s="53"/>
      <c r="G145" s="135"/>
      <c r="H145" s="118"/>
      <c r="I145" s="141"/>
      <c r="J145" s="53"/>
      <c r="K145" s="53"/>
      <c r="L145" s="141"/>
      <c r="M145" s="53"/>
      <c r="N145" s="53"/>
      <c r="O145" s="53"/>
      <c r="P145" s="53"/>
      <c r="Q145" s="53"/>
      <c r="R145" s="53"/>
      <c r="S145" s="186"/>
      <c r="T145" s="141"/>
      <c r="U145" s="53"/>
    </row>
    <row r="146" spans="4:21" x14ac:dyDescent="0.3">
      <c r="D146" s="69"/>
      <c r="E146" s="54"/>
      <c r="F146" s="54"/>
      <c r="G146" s="134"/>
      <c r="H146" s="119"/>
      <c r="I146" s="140"/>
      <c r="J146" s="54"/>
      <c r="K146" s="54"/>
      <c r="L146" s="140"/>
      <c r="M146" s="54"/>
      <c r="N146" s="54"/>
      <c r="O146" s="54"/>
      <c r="P146" s="54"/>
      <c r="Q146" s="54"/>
      <c r="R146" s="54"/>
      <c r="S146" s="188"/>
      <c r="T146" s="140"/>
      <c r="U146" s="54"/>
    </row>
    <row r="147" spans="4:21" x14ac:dyDescent="0.3">
      <c r="D147" s="62"/>
      <c r="E147" s="53"/>
      <c r="F147" s="53"/>
      <c r="G147" s="135"/>
      <c r="H147" s="118"/>
      <c r="I147" s="141"/>
      <c r="J147" s="53"/>
      <c r="K147" s="53"/>
      <c r="L147" s="141"/>
      <c r="M147" s="53"/>
      <c r="N147" s="53"/>
      <c r="O147" s="53"/>
      <c r="P147" s="53"/>
      <c r="Q147" s="53"/>
      <c r="R147" s="53"/>
      <c r="S147" s="186"/>
      <c r="T147" s="141"/>
      <c r="U147" s="53"/>
    </row>
    <row r="148" spans="4:21" x14ac:dyDescent="0.3">
      <c r="D148" s="69"/>
      <c r="E148" s="54"/>
      <c r="F148" s="54"/>
      <c r="G148" s="134"/>
      <c r="H148" s="119"/>
      <c r="I148" s="140"/>
      <c r="J148" s="54"/>
      <c r="K148" s="54"/>
      <c r="L148" s="140"/>
      <c r="M148" s="54"/>
      <c r="N148" s="54"/>
      <c r="O148" s="54"/>
      <c r="P148" s="54"/>
      <c r="Q148" s="54"/>
      <c r="R148" s="54"/>
      <c r="S148" s="188"/>
      <c r="T148" s="140"/>
      <c r="U148" s="54"/>
    </row>
    <row r="149" spans="4:21" x14ac:dyDescent="0.3">
      <c r="D149" s="62"/>
      <c r="E149" s="53"/>
      <c r="F149" s="53"/>
      <c r="G149" s="135"/>
      <c r="H149" s="118"/>
      <c r="I149" s="141"/>
      <c r="J149" s="53"/>
      <c r="K149" s="53"/>
      <c r="L149" s="141"/>
      <c r="M149" s="53"/>
      <c r="N149" s="53"/>
      <c r="O149" s="53"/>
      <c r="P149" s="53"/>
      <c r="Q149" s="53"/>
      <c r="R149" s="53"/>
      <c r="S149" s="186"/>
      <c r="T149" s="141"/>
      <c r="U149" s="53"/>
    </row>
    <row r="150" spans="4:21" x14ac:dyDescent="0.3">
      <c r="D150" s="69"/>
      <c r="E150" s="54"/>
      <c r="F150" s="54"/>
      <c r="G150" s="134"/>
      <c r="H150" s="119"/>
      <c r="I150" s="140"/>
      <c r="J150" s="54"/>
      <c r="K150" s="54"/>
      <c r="L150" s="140"/>
      <c r="M150" s="54"/>
      <c r="N150" s="54"/>
      <c r="O150" s="54"/>
      <c r="P150" s="54"/>
      <c r="Q150" s="54"/>
      <c r="R150" s="54"/>
      <c r="S150" s="188"/>
      <c r="T150" s="140"/>
      <c r="U150" s="54"/>
    </row>
    <row r="151" spans="4:21" x14ac:dyDescent="0.3">
      <c r="D151" s="62"/>
      <c r="E151" s="53"/>
      <c r="F151" s="53"/>
      <c r="G151" s="135"/>
      <c r="H151" s="118"/>
      <c r="I151" s="141"/>
      <c r="J151" s="53"/>
      <c r="K151" s="53"/>
      <c r="L151" s="141"/>
      <c r="M151" s="53"/>
      <c r="N151" s="53"/>
      <c r="O151" s="53"/>
      <c r="P151" s="53"/>
      <c r="Q151" s="53"/>
      <c r="R151" s="53"/>
      <c r="S151" s="186"/>
      <c r="T151" s="141"/>
      <c r="U151" s="53"/>
    </row>
    <row r="152" spans="4:21" x14ac:dyDescent="0.3">
      <c r="D152" s="69"/>
      <c r="E152" s="54"/>
      <c r="F152" s="54"/>
      <c r="G152" s="134"/>
      <c r="H152" s="119"/>
      <c r="I152" s="140"/>
      <c r="J152" s="54"/>
      <c r="K152" s="54"/>
      <c r="L152" s="140"/>
      <c r="M152" s="54"/>
      <c r="N152" s="54"/>
      <c r="O152" s="54"/>
      <c r="P152" s="54"/>
      <c r="Q152" s="54"/>
      <c r="R152" s="54"/>
      <c r="S152" s="188"/>
      <c r="T152" s="140"/>
      <c r="U152" s="54"/>
    </row>
    <row r="153" spans="4:21" x14ac:dyDescent="0.3">
      <c r="D153" s="62"/>
      <c r="E153" s="53"/>
      <c r="F153" s="53"/>
      <c r="G153" s="135"/>
      <c r="H153" s="118"/>
      <c r="I153" s="141"/>
      <c r="J153" s="53"/>
      <c r="K153" s="53"/>
      <c r="L153" s="141"/>
      <c r="M153" s="53"/>
      <c r="N153" s="53"/>
      <c r="O153" s="53"/>
      <c r="P153" s="53"/>
      <c r="Q153" s="53"/>
      <c r="R153" s="53"/>
      <c r="S153" s="186"/>
      <c r="T153" s="141"/>
      <c r="U153" s="53"/>
    </row>
    <row r="154" spans="4:21" x14ac:dyDescent="0.3">
      <c r="D154" s="69"/>
      <c r="E154" s="54"/>
      <c r="F154" s="54"/>
      <c r="G154" s="134"/>
      <c r="H154" s="119"/>
      <c r="I154" s="140"/>
      <c r="J154" s="54"/>
      <c r="K154" s="54"/>
      <c r="L154" s="140"/>
      <c r="M154" s="54"/>
      <c r="N154" s="54"/>
      <c r="O154" s="54"/>
      <c r="P154" s="54"/>
      <c r="Q154" s="54"/>
      <c r="R154" s="54"/>
      <c r="S154" s="188"/>
      <c r="T154" s="140"/>
      <c r="U154" s="54"/>
    </row>
    <row r="155" spans="4:21" x14ac:dyDescent="0.3">
      <c r="D155" s="62"/>
      <c r="E155" s="53"/>
      <c r="F155" s="53"/>
      <c r="G155" s="135"/>
      <c r="H155" s="118"/>
      <c r="I155" s="141"/>
      <c r="J155" s="53"/>
      <c r="K155" s="53"/>
      <c r="L155" s="141"/>
      <c r="M155" s="53"/>
      <c r="N155" s="53"/>
      <c r="O155" s="53"/>
      <c r="P155" s="53"/>
      <c r="Q155" s="53"/>
      <c r="R155" s="53"/>
      <c r="S155" s="186"/>
      <c r="T155" s="141"/>
      <c r="U155" s="53"/>
    </row>
    <row r="156" spans="4:21" x14ac:dyDescent="0.3">
      <c r="D156" s="69"/>
      <c r="E156" s="54"/>
      <c r="F156" s="54"/>
      <c r="G156" s="134"/>
      <c r="H156" s="119"/>
      <c r="I156" s="140"/>
      <c r="J156" s="54"/>
      <c r="K156" s="54"/>
      <c r="L156" s="140"/>
      <c r="M156" s="54"/>
      <c r="N156" s="54"/>
      <c r="O156" s="54"/>
      <c r="P156" s="54"/>
      <c r="Q156" s="54"/>
      <c r="R156" s="54"/>
      <c r="S156" s="188"/>
      <c r="T156" s="140"/>
      <c r="U156" s="54"/>
    </row>
    <row r="157" spans="4:21" x14ac:dyDescent="0.3">
      <c r="D157" s="62"/>
      <c r="E157" s="53"/>
      <c r="F157" s="53"/>
      <c r="G157" s="135"/>
      <c r="H157" s="118"/>
      <c r="I157" s="141"/>
      <c r="J157" s="53"/>
      <c r="K157" s="53"/>
      <c r="L157" s="141"/>
      <c r="M157" s="53"/>
      <c r="N157" s="53"/>
      <c r="O157" s="53"/>
      <c r="P157" s="53"/>
      <c r="Q157" s="53"/>
      <c r="R157" s="53"/>
      <c r="S157" s="186"/>
      <c r="T157" s="141"/>
      <c r="U157" s="53"/>
    </row>
    <row r="158" spans="4:21" x14ac:dyDescent="0.3">
      <c r="D158" s="69"/>
      <c r="E158" s="54"/>
      <c r="F158" s="54"/>
      <c r="G158" s="134"/>
      <c r="H158" s="119"/>
      <c r="I158" s="140"/>
      <c r="J158" s="54"/>
      <c r="K158" s="54"/>
      <c r="L158" s="140"/>
      <c r="M158" s="54"/>
      <c r="N158" s="54"/>
      <c r="O158" s="54"/>
      <c r="P158" s="54"/>
      <c r="Q158" s="54"/>
      <c r="R158" s="54"/>
      <c r="S158" s="188"/>
      <c r="T158" s="140"/>
      <c r="U158" s="54"/>
    </row>
    <row r="159" spans="4:21" x14ac:dyDescent="0.3">
      <c r="D159" s="62"/>
      <c r="E159" s="53"/>
      <c r="F159" s="53"/>
      <c r="G159" s="135"/>
      <c r="H159" s="118"/>
      <c r="I159" s="141"/>
      <c r="J159" s="53"/>
      <c r="K159" s="53"/>
      <c r="L159" s="141"/>
      <c r="M159" s="53"/>
      <c r="N159" s="53"/>
      <c r="O159" s="53"/>
      <c r="P159" s="53"/>
      <c r="Q159" s="53"/>
      <c r="R159" s="53"/>
      <c r="S159" s="186"/>
      <c r="T159" s="141"/>
      <c r="U159" s="53"/>
    </row>
    <row r="160" spans="4:21" x14ac:dyDescent="0.3">
      <c r="D160" s="69"/>
      <c r="E160" s="54"/>
      <c r="F160" s="54"/>
      <c r="G160" s="134"/>
      <c r="H160" s="119"/>
      <c r="I160" s="140"/>
      <c r="J160" s="54"/>
      <c r="K160" s="54"/>
      <c r="L160" s="140"/>
      <c r="M160" s="54"/>
      <c r="N160" s="54"/>
      <c r="O160" s="54"/>
      <c r="P160" s="54"/>
      <c r="Q160" s="54"/>
      <c r="R160" s="54"/>
      <c r="S160" s="188"/>
      <c r="T160" s="140"/>
      <c r="U160" s="54"/>
    </row>
    <row r="161" spans="4:21" x14ac:dyDescent="0.3">
      <c r="D161" s="62"/>
      <c r="E161" s="53"/>
      <c r="F161" s="53"/>
      <c r="G161" s="135"/>
      <c r="H161" s="118"/>
      <c r="I161" s="141"/>
      <c r="J161" s="53"/>
      <c r="K161" s="53"/>
      <c r="L161" s="141"/>
      <c r="M161" s="53"/>
      <c r="N161" s="53"/>
      <c r="O161" s="53"/>
      <c r="P161" s="53"/>
      <c r="Q161" s="53"/>
      <c r="R161" s="53"/>
      <c r="S161" s="186"/>
      <c r="T161" s="141"/>
      <c r="U161" s="53"/>
    </row>
    <row r="162" spans="4:21" x14ac:dyDescent="0.3">
      <c r="D162" s="69"/>
      <c r="E162" s="54"/>
      <c r="F162" s="54"/>
      <c r="G162" s="134"/>
      <c r="H162" s="119"/>
      <c r="I162" s="140"/>
      <c r="J162" s="54"/>
      <c r="K162" s="54"/>
      <c r="L162" s="140"/>
      <c r="M162" s="54"/>
      <c r="N162" s="54"/>
      <c r="O162" s="54"/>
      <c r="P162" s="54"/>
      <c r="Q162" s="54"/>
      <c r="R162" s="54"/>
      <c r="S162" s="188"/>
      <c r="T162" s="140"/>
      <c r="U162" s="54"/>
    </row>
    <row r="163" spans="4:21" x14ac:dyDescent="0.3">
      <c r="D163" s="62"/>
      <c r="E163" s="53"/>
      <c r="F163" s="53"/>
      <c r="G163" s="135"/>
      <c r="H163" s="118"/>
      <c r="I163" s="141"/>
      <c r="J163" s="53"/>
      <c r="K163" s="53"/>
      <c r="L163" s="141"/>
      <c r="M163" s="53"/>
      <c r="N163" s="53"/>
      <c r="O163" s="53"/>
      <c r="P163" s="53"/>
      <c r="Q163" s="53"/>
      <c r="R163" s="53"/>
      <c r="S163" s="186"/>
      <c r="T163" s="141"/>
      <c r="U163" s="53"/>
    </row>
    <row r="164" spans="4:21" x14ac:dyDescent="0.3">
      <c r="D164" s="69"/>
      <c r="E164" s="54"/>
      <c r="F164" s="54"/>
      <c r="G164" s="134"/>
      <c r="H164" s="119"/>
      <c r="I164" s="140"/>
      <c r="J164" s="54"/>
      <c r="K164" s="54"/>
      <c r="L164" s="140"/>
      <c r="M164" s="54"/>
      <c r="N164" s="54"/>
      <c r="O164" s="54"/>
      <c r="P164" s="54"/>
      <c r="Q164" s="54"/>
      <c r="R164" s="54"/>
      <c r="S164" s="188"/>
      <c r="T164" s="140"/>
      <c r="U164" s="54"/>
    </row>
    <row r="165" spans="4:21" x14ac:dyDescent="0.3">
      <c r="D165" s="62"/>
      <c r="E165" s="53"/>
      <c r="F165" s="53"/>
      <c r="G165" s="135"/>
      <c r="H165" s="118"/>
      <c r="I165" s="141"/>
      <c r="J165" s="53"/>
      <c r="K165" s="53"/>
      <c r="L165" s="141"/>
      <c r="M165" s="53"/>
      <c r="N165" s="53"/>
      <c r="O165" s="53"/>
      <c r="P165" s="53"/>
      <c r="Q165" s="53"/>
      <c r="R165" s="53"/>
      <c r="S165" s="186"/>
      <c r="T165" s="141"/>
      <c r="U165" s="53"/>
    </row>
    <row r="166" spans="4:21" x14ac:dyDescent="0.3">
      <c r="D166" s="69"/>
      <c r="E166" s="54"/>
      <c r="F166" s="54"/>
      <c r="G166" s="134"/>
      <c r="H166" s="119"/>
      <c r="I166" s="140"/>
      <c r="J166" s="54"/>
      <c r="K166" s="54"/>
      <c r="L166" s="140"/>
      <c r="M166" s="54"/>
      <c r="N166" s="54"/>
      <c r="O166" s="54"/>
      <c r="P166" s="54"/>
      <c r="Q166" s="54"/>
      <c r="R166" s="54"/>
      <c r="S166" s="188"/>
      <c r="T166" s="140"/>
      <c r="U166" s="54"/>
    </row>
    <row r="167" spans="4:21" x14ac:dyDescent="0.3">
      <c r="D167" s="62"/>
      <c r="E167" s="53"/>
      <c r="F167" s="53"/>
      <c r="G167" s="135"/>
      <c r="H167" s="118"/>
      <c r="I167" s="141"/>
      <c r="J167" s="53"/>
      <c r="K167" s="53"/>
      <c r="L167" s="141"/>
      <c r="M167" s="53"/>
      <c r="N167" s="53"/>
      <c r="O167" s="53"/>
      <c r="P167" s="53"/>
      <c r="Q167" s="53"/>
      <c r="R167" s="53"/>
      <c r="S167" s="186"/>
      <c r="T167" s="141"/>
      <c r="U167" s="53"/>
    </row>
    <row r="168" spans="4:21" x14ac:dyDescent="0.3">
      <c r="D168" s="69"/>
      <c r="E168" s="54"/>
      <c r="F168" s="54"/>
      <c r="G168" s="134"/>
      <c r="H168" s="119"/>
      <c r="I168" s="140"/>
      <c r="J168" s="54"/>
      <c r="K168" s="54"/>
      <c r="L168" s="140"/>
      <c r="M168" s="54"/>
      <c r="N168" s="54"/>
      <c r="O168" s="54"/>
      <c r="P168" s="54"/>
      <c r="Q168" s="54"/>
      <c r="R168" s="54"/>
      <c r="S168" s="188"/>
      <c r="T168" s="140"/>
      <c r="U168" s="54"/>
    </row>
    <row r="169" spans="4:21" x14ac:dyDescent="0.3">
      <c r="D169" s="62"/>
      <c r="E169" s="53"/>
      <c r="F169" s="53"/>
      <c r="G169" s="135"/>
      <c r="H169" s="118"/>
      <c r="I169" s="141"/>
      <c r="J169" s="53"/>
      <c r="K169" s="53"/>
      <c r="L169" s="141"/>
      <c r="M169" s="53"/>
      <c r="N169" s="53"/>
      <c r="O169" s="53"/>
      <c r="P169" s="53"/>
      <c r="Q169" s="53"/>
      <c r="R169" s="53"/>
      <c r="S169" s="186"/>
      <c r="T169" s="141"/>
      <c r="U169" s="53"/>
    </row>
    <row r="170" spans="4:21" x14ac:dyDescent="0.3">
      <c r="D170" s="69"/>
      <c r="E170" s="54"/>
      <c r="F170" s="54"/>
      <c r="G170" s="134"/>
      <c r="H170" s="119"/>
      <c r="I170" s="140"/>
      <c r="J170" s="54"/>
      <c r="K170" s="54"/>
      <c r="L170" s="140"/>
      <c r="M170" s="54"/>
      <c r="N170" s="54"/>
      <c r="O170" s="54"/>
      <c r="P170" s="54"/>
      <c r="Q170" s="54"/>
      <c r="R170" s="54"/>
      <c r="S170" s="188"/>
      <c r="T170" s="140"/>
      <c r="U170" s="54"/>
    </row>
    <row r="171" spans="4:21" x14ac:dyDescent="0.3">
      <c r="D171" s="62"/>
      <c r="E171" s="53"/>
      <c r="F171" s="53"/>
      <c r="G171" s="135"/>
      <c r="H171" s="118"/>
      <c r="I171" s="141"/>
      <c r="J171" s="53"/>
      <c r="K171" s="53"/>
      <c r="L171" s="141"/>
      <c r="M171" s="53"/>
      <c r="N171" s="53"/>
      <c r="O171" s="53"/>
      <c r="P171" s="53"/>
      <c r="Q171" s="53"/>
      <c r="R171" s="53"/>
      <c r="S171" s="186"/>
      <c r="T171" s="141"/>
      <c r="U171" s="53"/>
    </row>
    <row r="172" spans="4:21" x14ac:dyDescent="0.3">
      <c r="D172" s="69"/>
      <c r="E172" s="54"/>
      <c r="F172" s="54"/>
      <c r="G172" s="134"/>
      <c r="H172" s="119"/>
      <c r="I172" s="140"/>
      <c r="J172" s="54"/>
      <c r="K172" s="54"/>
      <c r="L172" s="140"/>
      <c r="M172" s="54"/>
      <c r="N172" s="54"/>
      <c r="O172" s="54"/>
      <c r="P172" s="54"/>
      <c r="Q172" s="54"/>
      <c r="R172" s="54"/>
      <c r="S172" s="188"/>
      <c r="T172" s="140"/>
      <c r="U172" s="54"/>
    </row>
    <row r="173" spans="4:21" x14ac:dyDescent="0.3">
      <c r="D173" s="62"/>
      <c r="E173" s="53"/>
      <c r="F173" s="53"/>
      <c r="G173" s="135"/>
      <c r="H173" s="118"/>
      <c r="I173" s="141"/>
      <c r="J173" s="53"/>
      <c r="K173" s="53"/>
      <c r="L173" s="141"/>
      <c r="M173" s="53"/>
      <c r="N173" s="53"/>
      <c r="O173" s="53"/>
      <c r="P173" s="53"/>
      <c r="Q173" s="53"/>
      <c r="R173" s="53"/>
      <c r="S173" s="186"/>
      <c r="T173" s="141"/>
      <c r="U173" s="53"/>
    </row>
    <row r="174" spans="4:21" x14ac:dyDescent="0.3">
      <c r="D174" s="69"/>
      <c r="E174" s="54"/>
      <c r="F174" s="54"/>
      <c r="G174" s="134"/>
      <c r="H174" s="119"/>
      <c r="I174" s="140"/>
      <c r="J174" s="54"/>
      <c r="K174" s="54"/>
      <c r="L174" s="140"/>
      <c r="M174" s="54"/>
      <c r="N174" s="54"/>
      <c r="O174" s="54"/>
      <c r="P174" s="54"/>
      <c r="Q174" s="54"/>
      <c r="R174" s="54"/>
      <c r="S174" s="188"/>
      <c r="T174" s="140"/>
      <c r="U174" s="54"/>
    </row>
    <row r="175" spans="4:21" x14ac:dyDescent="0.3">
      <c r="D175" s="62"/>
      <c r="E175" s="53"/>
      <c r="F175" s="53"/>
      <c r="G175" s="135"/>
      <c r="H175" s="118"/>
      <c r="I175" s="141"/>
      <c r="J175" s="53"/>
      <c r="K175" s="53"/>
      <c r="L175" s="141"/>
      <c r="M175" s="53"/>
      <c r="N175" s="53"/>
      <c r="O175" s="53"/>
      <c r="P175" s="53"/>
      <c r="Q175" s="53"/>
      <c r="R175" s="53"/>
      <c r="S175" s="186"/>
      <c r="T175" s="141"/>
      <c r="U175" s="53"/>
    </row>
    <row r="176" spans="4:21" x14ac:dyDescent="0.3">
      <c r="D176" s="69"/>
      <c r="E176" s="54"/>
      <c r="F176" s="54"/>
      <c r="G176" s="134"/>
      <c r="H176" s="119"/>
      <c r="I176" s="140"/>
      <c r="J176" s="54"/>
      <c r="K176" s="54"/>
      <c r="L176" s="140"/>
      <c r="M176" s="54"/>
      <c r="N176" s="54"/>
      <c r="O176" s="54"/>
      <c r="P176" s="54"/>
      <c r="Q176" s="54"/>
      <c r="R176" s="54"/>
      <c r="S176" s="188"/>
      <c r="T176" s="140"/>
      <c r="U176" s="54"/>
    </row>
    <row r="177" spans="4:21" x14ac:dyDescent="0.3">
      <c r="D177" s="62"/>
      <c r="E177" s="53"/>
      <c r="F177" s="53"/>
      <c r="G177" s="135"/>
      <c r="H177" s="118"/>
      <c r="I177" s="141"/>
      <c r="J177" s="53"/>
      <c r="K177" s="53"/>
      <c r="L177" s="141"/>
      <c r="M177" s="53"/>
      <c r="N177" s="53"/>
      <c r="O177" s="53"/>
      <c r="P177" s="53"/>
      <c r="Q177" s="53"/>
      <c r="R177" s="53"/>
      <c r="S177" s="186"/>
      <c r="T177" s="141"/>
      <c r="U177" s="53"/>
    </row>
    <row r="178" spans="4:21" x14ac:dyDescent="0.3">
      <c r="D178" s="69"/>
      <c r="E178" s="54"/>
      <c r="F178" s="54"/>
      <c r="G178" s="134"/>
      <c r="H178" s="119"/>
      <c r="I178" s="140"/>
      <c r="J178" s="54"/>
      <c r="K178" s="54"/>
      <c r="L178" s="140"/>
      <c r="M178" s="54"/>
      <c r="N178" s="54"/>
      <c r="O178" s="54"/>
      <c r="P178" s="54"/>
      <c r="Q178" s="54"/>
      <c r="R178" s="54"/>
      <c r="S178" s="188"/>
      <c r="T178" s="140"/>
      <c r="U178" s="54"/>
    </row>
    <row r="179" spans="4:21" x14ac:dyDescent="0.3">
      <c r="D179" s="62"/>
      <c r="E179" s="53"/>
      <c r="F179" s="53"/>
      <c r="G179" s="135"/>
      <c r="H179" s="118"/>
      <c r="I179" s="141"/>
      <c r="J179" s="53"/>
      <c r="K179" s="53"/>
      <c r="L179" s="141"/>
      <c r="M179" s="53"/>
      <c r="N179" s="53"/>
      <c r="O179" s="53"/>
      <c r="P179" s="53"/>
      <c r="Q179" s="53"/>
      <c r="R179" s="53"/>
      <c r="S179" s="186"/>
      <c r="T179" s="141"/>
      <c r="U179" s="53"/>
    </row>
    <row r="180" spans="4:21" x14ac:dyDescent="0.3">
      <c r="D180" s="69"/>
      <c r="E180" s="54"/>
      <c r="F180" s="54"/>
      <c r="G180" s="134"/>
      <c r="H180" s="119"/>
      <c r="I180" s="140"/>
      <c r="J180" s="54"/>
      <c r="K180" s="54"/>
      <c r="L180" s="140"/>
      <c r="M180" s="54"/>
      <c r="N180" s="54"/>
      <c r="O180" s="54"/>
      <c r="P180" s="54"/>
      <c r="Q180" s="54"/>
      <c r="R180" s="54"/>
      <c r="S180" s="188"/>
      <c r="T180" s="140"/>
      <c r="U180" s="54"/>
    </row>
    <row r="181" spans="4:21" x14ac:dyDescent="0.3">
      <c r="D181" s="62"/>
      <c r="E181" s="53"/>
      <c r="F181" s="53"/>
      <c r="G181" s="135"/>
      <c r="H181" s="118"/>
      <c r="I181" s="141"/>
      <c r="J181" s="53"/>
      <c r="K181" s="53"/>
      <c r="L181" s="141"/>
      <c r="M181" s="53"/>
      <c r="N181" s="53"/>
      <c r="O181" s="53"/>
      <c r="P181" s="53"/>
      <c r="Q181" s="53"/>
      <c r="R181" s="53"/>
      <c r="S181" s="186"/>
      <c r="T181" s="141"/>
      <c r="U181" s="53"/>
    </row>
    <row r="182" spans="4:21" x14ac:dyDescent="0.3">
      <c r="D182" s="69"/>
      <c r="E182" s="54"/>
      <c r="F182" s="54"/>
      <c r="G182" s="134"/>
      <c r="H182" s="119"/>
      <c r="I182" s="140"/>
      <c r="J182" s="54"/>
      <c r="K182" s="54"/>
      <c r="L182" s="140"/>
      <c r="M182" s="54"/>
      <c r="N182" s="54"/>
      <c r="O182" s="54"/>
      <c r="P182" s="54"/>
      <c r="Q182" s="54"/>
      <c r="R182" s="54"/>
      <c r="S182" s="188"/>
      <c r="T182" s="140"/>
      <c r="U182" s="54"/>
    </row>
    <row r="183" spans="4:21" x14ac:dyDescent="0.3">
      <c r="D183" s="62"/>
      <c r="E183" s="53"/>
      <c r="F183" s="53"/>
      <c r="G183" s="135"/>
      <c r="H183" s="118"/>
      <c r="I183" s="141"/>
      <c r="J183" s="53"/>
      <c r="K183" s="53"/>
      <c r="L183" s="141"/>
      <c r="M183" s="53"/>
      <c r="N183" s="53"/>
      <c r="O183" s="53"/>
      <c r="P183" s="53"/>
      <c r="Q183" s="53"/>
      <c r="R183" s="53"/>
      <c r="S183" s="186"/>
      <c r="T183" s="141"/>
      <c r="U183" s="53"/>
    </row>
    <row r="184" spans="4:21" x14ac:dyDescent="0.3">
      <c r="D184" s="69"/>
      <c r="E184" s="54"/>
      <c r="F184" s="54"/>
      <c r="G184" s="134"/>
      <c r="H184" s="119"/>
      <c r="I184" s="140"/>
      <c r="J184" s="54"/>
      <c r="K184" s="54"/>
      <c r="L184" s="140"/>
      <c r="M184" s="54"/>
      <c r="N184" s="54"/>
      <c r="O184" s="54"/>
      <c r="P184" s="54"/>
      <c r="Q184" s="54"/>
      <c r="R184" s="54"/>
      <c r="S184" s="188"/>
      <c r="T184" s="140"/>
      <c r="U184" s="54"/>
    </row>
    <row r="185" spans="4:21" x14ac:dyDescent="0.3">
      <c r="D185" s="62"/>
      <c r="E185" s="53"/>
      <c r="F185" s="53"/>
      <c r="G185" s="135"/>
      <c r="H185" s="118"/>
      <c r="I185" s="141"/>
      <c r="J185" s="53"/>
      <c r="K185" s="53"/>
      <c r="L185" s="141"/>
      <c r="M185" s="53"/>
      <c r="N185" s="53"/>
      <c r="O185" s="53"/>
      <c r="P185" s="53"/>
      <c r="Q185" s="53"/>
      <c r="R185" s="53"/>
      <c r="S185" s="186"/>
      <c r="T185" s="141"/>
      <c r="U185" s="53"/>
    </row>
    <row r="186" spans="4:21" x14ac:dyDescent="0.3">
      <c r="D186" s="69"/>
      <c r="E186" s="54"/>
      <c r="F186" s="54"/>
      <c r="G186" s="134"/>
      <c r="H186" s="119"/>
      <c r="I186" s="140"/>
      <c r="J186" s="54"/>
      <c r="K186" s="54"/>
      <c r="L186" s="140"/>
      <c r="M186" s="54"/>
      <c r="N186" s="54"/>
      <c r="O186" s="54"/>
      <c r="P186" s="54"/>
      <c r="Q186" s="54"/>
      <c r="R186" s="54"/>
      <c r="S186" s="188"/>
      <c r="T186" s="140"/>
      <c r="U186" s="54"/>
    </row>
    <row r="187" spans="4:21" x14ac:dyDescent="0.3">
      <c r="D187" s="62"/>
      <c r="E187" s="53"/>
      <c r="F187" s="53"/>
      <c r="G187" s="135"/>
      <c r="H187" s="118"/>
      <c r="I187" s="141"/>
      <c r="J187" s="53"/>
      <c r="K187" s="53"/>
      <c r="L187" s="141"/>
      <c r="M187" s="53"/>
      <c r="N187" s="53"/>
      <c r="O187" s="53"/>
      <c r="P187" s="53"/>
      <c r="Q187" s="53"/>
      <c r="R187" s="53"/>
      <c r="S187" s="186"/>
      <c r="T187" s="141"/>
      <c r="U187" s="53"/>
    </row>
    <row r="188" spans="4:21" x14ac:dyDescent="0.3">
      <c r="D188" s="69"/>
      <c r="E188" s="54"/>
      <c r="F188" s="54"/>
      <c r="G188" s="134"/>
      <c r="H188" s="119"/>
      <c r="I188" s="140"/>
      <c r="J188" s="54"/>
      <c r="K188" s="54"/>
      <c r="L188" s="140"/>
      <c r="M188" s="54"/>
      <c r="N188" s="54"/>
      <c r="O188" s="54"/>
      <c r="P188" s="54"/>
      <c r="Q188" s="54"/>
      <c r="R188" s="54"/>
      <c r="S188" s="188"/>
      <c r="T188" s="140"/>
      <c r="U188" s="54"/>
    </row>
    <row r="189" spans="4:21" x14ac:dyDescent="0.3">
      <c r="D189" s="62"/>
      <c r="E189" s="53"/>
      <c r="F189" s="53"/>
      <c r="G189" s="135"/>
      <c r="H189" s="118"/>
      <c r="I189" s="141"/>
      <c r="J189" s="53"/>
      <c r="K189" s="53"/>
      <c r="L189" s="141"/>
      <c r="M189" s="53"/>
      <c r="N189" s="53"/>
      <c r="O189" s="53"/>
      <c r="P189" s="53"/>
      <c r="Q189" s="53"/>
      <c r="R189" s="53"/>
      <c r="S189" s="186"/>
      <c r="T189" s="141"/>
      <c r="U189" s="53"/>
    </row>
    <row r="190" spans="4:21" x14ac:dyDescent="0.3">
      <c r="D190" s="69"/>
      <c r="E190" s="54"/>
      <c r="F190" s="54"/>
      <c r="G190" s="134"/>
      <c r="H190" s="119"/>
      <c r="I190" s="140"/>
      <c r="J190" s="54"/>
      <c r="K190" s="54"/>
      <c r="L190" s="140"/>
      <c r="M190" s="54"/>
      <c r="N190" s="54"/>
      <c r="O190" s="54"/>
      <c r="P190" s="54"/>
      <c r="Q190" s="54"/>
      <c r="R190" s="54"/>
      <c r="S190" s="188"/>
      <c r="T190" s="140"/>
      <c r="U190" s="54"/>
    </row>
    <row r="191" spans="4:21" x14ac:dyDescent="0.3">
      <c r="D191" s="62"/>
      <c r="E191" s="53"/>
      <c r="F191" s="53"/>
      <c r="G191" s="135"/>
      <c r="H191" s="118"/>
      <c r="I191" s="141"/>
      <c r="J191" s="53"/>
      <c r="K191" s="53"/>
      <c r="L191" s="141"/>
      <c r="M191" s="53"/>
      <c r="N191" s="53"/>
      <c r="O191" s="53"/>
      <c r="P191" s="53"/>
      <c r="Q191" s="53"/>
      <c r="R191" s="53"/>
      <c r="S191" s="186"/>
      <c r="T191" s="141"/>
      <c r="U191" s="53"/>
    </row>
    <row r="192" spans="4:21" x14ac:dyDescent="0.3">
      <c r="D192" s="69"/>
      <c r="E192" s="54"/>
      <c r="F192" s="54"/>
      <c r="G192" s="134"/>
      <c r="H192" s="119"/>
      <c r="I192" s="140"/>
      <c r="J192" s="54"/>
      <c r="K192" s="54"/>
      <c r="L192" s="140"/>
      <c r="M192" s="54"/>
      <c r="N192" s="54"/>
      <c r="O192" s="54"/>
      <c r="P192" s="54"/>
      <c r="Q192" s="54"/>
      <c r="R192" s="54"/>
      <c r="S192" s="188"/>
      <c r="T192" s="140"/>
      <c r="U192" s="54"/>
    </row>
    <row r="193" spans="4:21" x14ac:dyDescent="0.3">
      <c r="D193" s="62"/>
      <c r="E193" s="53"/>
      <c r="F193" s="53"/>
      <c r="G193" s="135"/>
      <c r="H193" s="118"/>
      <c r="I193" s="141"/>
      <c r="J193" s="53"/>
      <c r="K193" s="53"/>
      <c r="L193" s="141"/>
      <c r="M193" s="53"/>
      <c r="N193" s="53"/>
      <c r="O193" s="53"/>
      <c r="P193" s="53"/>
      <c r="Q193" s="53"/>
      <c r="R193" s="53"/>
      <c r="S193" s="186"/>
      <c r="T193" s="141"/>
      <c r="U193" s="53"/>
    </row>
    <row r="194" spans="4:21" x14ac:dyDescent="0.3">
      <c r="D194" s="69"/>
      <c r="E194" s="54"/>
      <c r="F194" s="54"/>
      <c r="G194" s="134"/>
      <c r="H194" s="119"/>
      <c r="I194" s="140"/>
      <c r="J194" s="54"/>
      <c r="K194" s="54"/>
      <c r="L194" s="140"/>
      <c r="M194" s="54"/>
      <c r="N194" s="54"/>
      <c r="O194" s="54"/>
      <c r="P194" s="54"/>
      <c r="Q194" s="54"/>
      <c r="R194" s="54"/>
      <c r="S194" s="188"/>
      <c r="T194" s="140"/>
      <c r="U194" s="54"/>
    </row>
    <row r="195" spans="4:21" x14ac:dyDescent="0.3">
      <c r="D195" s="62"/>
      <c r="E195" s="53"/>
      <c r="F195" s="53"/>
      <c r="G195" s="135"/>
      <c r="H195" s="118"/>
      <c r="I195" s="141"/>
      <c r="J195" s="53"/>
      <c r="K195" s="53"/>
      <c r="L195" s="141"/>
      <c r="M195" s="53"/>
      <c r="N195" s="53"/>
      <c r="O195" s="53"/>
      <c r="P195" s="53"/>
      <c r="Q195" s="53"/>
      <c r="R195" s="53"/>
      <c r="S195" s="186"/>
      <c r="T195" s="141"/>
      <c r="U195" s="53"/>
    </row>
    <row r="196" spans="4:21" x14ac:dyDescent="0.3">
      <c r="D196" s="69"/>
      <c r="E196" s="54"/>
      <c r="F196" s="54"/>
      <c r="G196" s="134"/>
      <c r="H196" s="119"/>
      <c r="I196" s="140"/>
      <c r="J196" s="54"/>
      <c r="K196" s="54"/>
      <c r="L196" s="140"/>
      <c r="M196" s="54"/>
      <c r="N196" s="54"/>
      <c r="O196" s="54"/>
      <c r="P196" s="54"/>
      <c r="Q196" s="54"/>
      <c r="R196" s="54"/>
      <c r="S196" s="188"/>
      <c r="T196" s="140"/>
      <c r="U196" s="54"/>
    </row>
    <row r="197" spans="4:21" x14ac:dyDescent="0.3">
      <c r="D197" s="62"/>
      <c r="E197" s="53"/>
      <c r="F197" s="53"/>
      <c r="G197" s="135"/>
      <c r="H197" s="118"/>
      <c r="I197" s="141"/>
      <c r="J197" s="53"/>
      <c r="K197" s="53"/>
      <c r="L197" s="141"/>
      <c r="M197" s="53"/>
      <c r="N197" s="53"/>
      <c r="O197" s="53"/>
      <c r="P197" s="53"/>
      <c r="Q197" s="53"/>
      <c r="R197" s="53"/>
      <c r="S197" s="186"/>
      <c r="T197" s="141"/>
      <c r="U197" s="53"/>
    </row>
    <row r="198" spans="4:21" x14ac:dyDescent="0.3">
      <c r="D198" s="69"/>
      <c r="E198" s="54"/>
      <c r="F198" s="54"/>
      <c r="G198" s="134"/>
      <c r="H198" s="119"/>
      <c r="I198" s="140"/>
      <c r="J198" s="54"/>
      <c r="K198" s="54"/>
      <c r="L198" s="140"/>
      <c r="M198" s="54"/>
      <c r="N198" s="54"/>
      <c r="O198" s="54"/>
      <c r="P198" s="54"/>
      <c r="Q198" s="54"/>
      <c r="R198" s="54"/>
      <c r="S198" s="188"/>
      <c r="T198" s="140"/>
      <c r="U198" s="54"/>
    </row>
    <row r="199" spans="4:21" x14ac:dyDescent="0.3">
      <c r="D199" s="62"/>
      <c r="E199" s="53"/>
      <c r="F199" s="53"/>
      <c r="G199" s="135"/>
      <c r="H199" s="118"/>
      <c r="I199" s="141"/>
      <c r="J199" s="53"/>
      <c r="K199" s="53"/>
      <c r="L199" s="141"/>
      <c r="M199" s="53"/>
      <c r="N199" s="53"/>
      <c r="O199" s="53"/>
      <c r="P199" s="53"/>
      <c r="Q199" s="53"/>
      <c r="R199" s="53"/>
      <c r="S199" s="186"/>
      <c r="T199" s="141"/>
      <c r="U199" s="53"/>
    </row>
    <row r="200" spans="4:21" x14ac:dyDescent="0.3">
      <c r="D200" s="83"/>
      <c r="E200" s="52"/>
      <c r="F200" s="52"/>
      <c r="G200" s="136"/>
      <c r="H200" s="120"/>
      <c r="I200" s="142"/>
      <c r="J200" s="52"/>
      <c r="K200" s="52"/>
      <c r="L200" s="142"/>
      <c r="M200" s="52"/>
      <c r="N200" s="52"/>
      <c r="O200" s="52"/>
      <c r="P200" s="52"/>
      <c r="Q200" s="52"/>
      <c r="R200" s="52"/>
      <c r="S200" s="189"/>
      <c r="T200" s="142"/>
      <c r="U200" s="52"/>
    </row>
    <row r="201" spans="4:21" x14ac:dyDescent="0.3"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</row>
    <row r="202" spans="4:21" x14ac:dyDescent="0.3">
      <c r="D202" s="79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</row>
  </sheetData>
  <mergeCells count="13">
    <mergeCell ref="P1:R1"/>
    <mergeCell ref="A18:B18"/>
    <mergeCell ref="A12:B12"/>
    <mergeCell ref="A13:B13"/>
    <mergeCell ref="A14:B14"/>
    <mergeCell ref="A15:B15"/>
    <mergeCell ref="A16:B16"/>
    <mergeCell ref="A17:B17"/>
    <mergeCell ref="A6:B6"/>
    <mergeCell ref="A1:B1"/>
    <mergeCell ref="D1:F1"/>
    <mergeCell ref="H1:J1"/>
    <mergeCell ref="M1:O1"/>
  </mergeCells>
  <dataValidations count="2">
    <dataValidation type="list" allowBlank="1" showInputMessage="1" showErrorMessage="1" sqref="B7" xr:uid="{CF137CD0-D7F3-4559-ACC9-E633768D8BA8}">
      <formula1>"All,January,February,March,April,May,June,July,August,September,October,November,December"</formula1>
    </dataValidation>
    <dataValidation type="custom" allowBlank="1" showInputMessage="1" showErrorMessage="1" errorTitle="invalid number entered" error="Please enter a number with 10 digits" sqref="I3:I14" xr:uid="{EDD201F0-5606-443A-A911-62C9F2864C40}">
      <formula1>AND(LEN(I3)=10,ISNUMBER(--I3))</formula1>
    </dataValidation>
  </dataValidations>
  <hyperlinks>
    <hyperlink ref="A13" location="Home!A1" display="Home" xr:uid="{3C23AAC0-3102-423A-8706-66DA16EB1539}"/>
    <hyperlink ref="A14:B14" location="Enrollment!A1" display="Enrollment" xr:uid="{253D9D52-1821-484A-A921-2A97794666E8}"/>
    <hyperlink ref="A15:B15" location="Attendance!A1" display="Attendance" xr:uid="{B3407A66-2218-4D48-B50B-DA46D59EE153}"/>
    <hyperlink ref="A16:B16" location="Teachers!A1" display="Teachers" xr:uid="{23F11142-64FB-43C4-8608-F068FC1ECE86}"/>
    <hyperlink ref="A17:B17" location="Classes!A1" display="Classes" xr:uid="{DF08A33E-809C-4F3F-AA50-77D8313527E2}"/>
    <hyperlink ref="A18:B18" location="Monthly_Report!A1" display="Monthly report" xr:uid="{BE1F23CE-50D2-42D1-AC65-E05F17320783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E54A50-DCEA-466A-840E-A9924A4C6E01}">
          <x14:formula1>
            <xm:f>Classes!$A$3:$A$23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78B4-3B04-4C92-A2D7-F9D000800595}">
  <sheetPr codeName="Sheet17"/>
  <dimension ref="A1:BK202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B18"/>
    </sheetView>
  </sheetViews>
  <sheetFormatPr defaultRowHeight="14.4" x14ac:dyDescent="0.3"/>
  <cols>
    <col min="1" max="1" width="22.44140625" customWidth="1"/>
    <col min="2" max="2" width="16.33203125" customWidth="1"/>
    <col min="4" max="4" width="17.77734375" customWidth="1"/>
    <col min="5" max="5" width="16.21875" customWidth="1"/>
    <col min="6" max="7" width="14.5546875" customWidth="1"/>
    <col min="8" max="8" width="11.88671875" customWidth="1"/>
    <col min="9" max="9" width="16.6640625" customWidth="1"/>
    <col min="10" max="10" width="10.77734375" customWidth="1"/>
    <col min="11" max="11" width="18.109375" customWidth="1"/>
    <col min="12" max="12" width="13.77734375" customWidth="1"/>
    <col min="13" max="18" width="12.33203125" customWidth="1"/>
    <col min="19" max="19" width="18.88671875" customWidth="1"/>
    <col min="20" max="20" width="20.21875" customWidth="1"/>
    <col min="21" max="21" width="23.33203125" customWidth="1"/>
    <col min="22" max="60" width="12.33203125" customWidth="1"/>
  </cols>
  <sheetData>
    <row r="1" spans="1:63" ht="15.6" customHeight="1" x14ac:dyDescent="0.3">
      <c r="A1" s="310" t="s">
        <v>105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 t="str">
        <f>Teachers!A7</f>
        <v>T-006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str">
        <f>_xlfn.XLOOKUP(B2, teachers_table[*Teacher ID], teachers_table[*Teacher Name])</f>
        <v>Ali Ashori</v>
      </c>
      <c r="C3" s="26"/>
      <c r="D3" s="62" t="str" cm="1">
        <f t="array" ref="D3:U3">IF(B7 = "All", _xlfn._xlws.FILTER(enrollment_table[], enrollment_table[*Teacher Name] = T_Ashori!B3, "No Students Found"), _xlfn._xlws.FILTER(enrollment_table[], (enrollment_table[*Teacher Name] = T_Ashori!B3 ) * (enrollment_table[Enrollment Month] = B7), "No Students Found"))</f>
        <v>g</v>
      </c>
      <c r="E3" s="53" t="str">
        <v>g</v>
      </c>
      <c r="F3" s="53" t="str">
        <v>java</v>
      </c>
      <c r="G3" s="131" t="str">
        <v>6 - 4 PM</v>
      </c>
      <c r="H3" s="115">
        <v>1000</v>
      </c>
      <c r="I3" s="64" t="str">
        <v>0378899993</v>
      </c>
      <c r="J3" s="64" t="str">
        <v>female</v>
      </c>
      <c r="K3" s="183" t="str">
        <v>Ali Ashori</v>
      </c>
      <c r="L3" s="64" t="str">
        <v>T-006</v>
      </c>
      <c r="M3" s="64">
        <v>0</v>
      </c>
      <c r="N3" s="64">
        <v>0</v>
      </c>
      <c r="O3" s="64">
        <v>0</v>
      </c>
      <c r="P3" s="64">
        <v>0</v>
      </c>
      <c r="Q3" s="64">
        <v>0</v>
      </c>
      <c r="R3" s="64">
        <v>0</v>
      </c>
      <c r="S3" s="177">
        <v>46272</v>
      </c>
      <c r="T3" s="64" t="str">
        <v>September</v>
      </c>
      <c r="U3" s="64">
        <v>0</v>
      </c>
    </row>
    <row r="4" spans="1:63" ht="15.6" customHeight="1" x14ac:dyDescent="0.3">
      <c r="A4" s="88" t="s">
        <v>29</v>
      </c>
      <c r="B4" s="87">
        <f>_xlfn.XLOOKUP(B2, teachers_table[*Teacher ID], teachers_table[*Income Rate])</f>
        <v>0.4</v>
      </c>
      <c r="C4" s="27"/>
      <c r="D4" s="69"/>
      <c r="E4" s="54"/>
      <c r="F4" s="54"/>
      <c r="G4" s="70"/>
      <c r="H4" s="114"/>
      <c r="I4" s="71"/>
      <c r="J4" s="37"/>
      <c r="K4" s="54"/>
      <c r="L4" s="145"/>
      <c r="M4" s="54"/>
      <c r="N4" s="54"/>
      <c r="O4" s="54"/>
      <c r="P4" s="54"/>
      <c r="Q4" s="54"/>
      <c r="R4" s="54"/>
      <c r="S4" s="185"/>
      <c r="T4" s="72"/>
      <c r="U4" s="54"/>
    </row>
    <row r="5" spans="1:63" ht="15.6" customHeight="1" x14ac:dyDescent="0.3">
      <c r="C5" s="28"/>
      <c r="D5" s="62"/>
      <c r="E5" s="53"/>
      <c r="F5" s="53"/>
      <c r="G5" s="63"/>
      <c r="H5" s="115"/>
      <c r="I5" s="65"/>
      <c r="J5" s="66"/>
      <c r="K5" s="53"/>
      <c r="L5" s="141"/>
      <c r="M5" s="53"/>
      <c r="N5" s="53"/>
      <c r="O5" s="53"/>
      <c r="P5" s="53"/>
      <c r="Q5" s="53"/>
      <c r="R5" s="53"/>
      <c r="S5" s="177"/>
      <c r="T5" s="68"/>
      <c r="U5" s="53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70"/>
      <c r="H6" s="116"/>
      <c r="I6" s="71"/>
      <c r="J6" s="37"/>
      <c r="K6" s="54"/>
      <c r="L6" s="140"/>
      <c r="M6" s="54"/>
      <c r="N6" s="54"/>
      <c r="O6" s="54"/>
      <c r="P6" s="54"/>
      <c r="Q6" s="54"/>
      <c r="R6" s="54"/>
      <c r="S6" s="185"/>
      <c r="T6" s="72"/>
      <c r="U6" s="54"/>
    </row>
    <row r="7" spans="1:63" ht="15.6" customHeight="1" x14ac:dyDescent="0.3">
      <c r="A7" s="47" t="s">
        <v>157</v>
      </c>
      <c r="B7" s="24" t="s">
        <v>162</v>
      </c>
      <c r="D7" s="62"/>
      <c r="E7" s="53"/>
      <c r="F7" s="53"/>
      <c r="G7" s="63"/>
      <c r="H7" s="117"/>
      <c r="I7" s="65"/>
      <c r="J7" s="66"/>
      <c r="K7" s="53"/>
      <c r="L7" s="141"/>
      <c r="M7" s="53"/>
      <c r="N7" s="53"/>
      <c r="O7" s="53"/>
      <c r="P7" s="53"/>
      <c r="Q7" s="53"/>
      <c r="R7" s="53"/>
      <c r="S7" s="177"/>
      <c r="T7" s="68"/>
      <c r="U7" s="53"/>
    </row>
    <row r="8" spans="1:63" ht="15.6" customHeight="1" x14ac:dyDescent="0.3">
      <c r="A8" s="84" t="s">
        <v>52</v>
      </c>
      <c r="B8" s="86">
        <f>IF(D3 = "No Students Found", 0, COUNTA(D3:D200))</f>
        <v>1</v>
      </c>
      <c r="C8" s="30"/>
      <c r="D8" s="69"/>
      <c r="E8" s="54"/>
      <c r="F8" s="54"/>
      <c r="G8" s="70"/>
      <c r="H8" s="116"/>
      <c r="I8" s="71"/>
      <c r="J8" s="37"/>
      <c r="K8" s="54"/>
      <c r="L8" s="140"/>
      <c r="M8" s="54"/>
      <c r="N8" s="54"/>
      <c r="O8" s="54"/>
      <c r="P8" s="54"/>
      <c r="Q8" s="54"/>
      <c r="R8" s="54"/>
      <c r="S8" s="185"/>
      <c r="T8" s="72"/>
      <c r="U8" s="54"/>
    </row>
    <row r="9" spans="1:63" ht="15.6" customHeight="1" x14ac:dyDescent="0.3">
      <c r="A9" s="47" t="s">
        <v>106</v>
      </c>
      <c r="B9" s="156">
        <f>SUM(H3:H200)</f>
        <v>1000</v>
      </c>
      <c r="C9" s="31"/>
      <c r="D9" s="62"/>
      <c r="E9" s="53"/>
      <c r="F9" s="53"/>
      <c r="G9" s="63"/>
      <c r="H9" s="117"/>
      <c r="I9" s="65"/>
      <c r="J9" s="66"/>
      <c r="K9" s="53"/>
      <c r="L9" s="141"/>
      <c r="M9" s="53"/>
      <c r="N9" s="53"/>
      <c r="O9" s="53"/>
      <c r="P9" s="53"/>
      <c r="Q9" s="53"/>
      <c r="R9" s="53"/>
      <c r="S9" s="177"/>
      <c r="T9" s="68"/>
      <c r="U9" s="53"/>
    </row>
    <row r="10" spans="1:63" ht="15.6" customHeight="1" x14ac:dyDescent="0.3">
      <c r="A10" s="85" t="s">
        <v>44</v>
      </c>
      <c r="B10" s="155">
        <f>B9*B4</f>
        <v>400</v>
      </c>
      <c r="C10" s="31"/>
      <c r="D10" s="69"/>
      <c r="E10" s="54"/>
      <c r="F10" s="54"/>
      <c r="G10" s="54"/>
      <c r="H10" s="116"/>
      <c r="I10" s="71"/>
      <c r="J10" s="37"/>
      <c r="K10" s="54"/>
      <c r="L10" s="140"/>
      <c r="M10" s="54"/>
      <c r="N10" s="54"/>
      <c r="O10" s="54"/>
      <c r="P10" s="54"/>
      <c r="Q10" s="54"/>
      <c r="R10" s="54"/>
      <c r="S10" s="185"/>
      <c r="T10" s="72"/>
      <c r="U10" s="54"/>
    </row>
    <row r="11" spans="1:63" ht="15.6" customHeight="1" x14ac:dyDescent="0.3">
      <c r="B11" s="7"/>
      <c r="C11" s="31"/>
      <c r="D11" s="62"/>
      <c r="E11" s="53"/>
      <c r="F11" s="53"/>
      <c r="G11" s="53"/>
      <c r="H11" s="117"/>
      <c r="I11" s="65"/>
      <c r="J11" s="66"/>
      <c r="K11" s="53"/>
      <c r="L11" s="141"/>
      <c r="M11" s="53"/>
      <c r="N11" s="53"/>
      <c r="O11" s="53"/>
      <c r="P11" s="53"/>
      <c r="Q11" s="53"/>
      <c r="R11" s="53"/>
      <c r="S11" s="177"/>
      <c r="T11" s="68"/>
      <c r="U11" s="53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54"/>
      <c r="H12" s="116"/>
      <c r="I12" s="71"/>
      <c r="J12" s="37"/>
      <c r="K12" s="54"/>
      <c r="L12" s="140"/>
      <c r="M12" s="54"/>
      <c r="N12" s="54"/>
      <c r="O12" s="54"/>
      <c r="P12" s="54"/>
      <c r="Q12" s="54"/>
      <c r="R12" s="54"/>
      <c r="S12" s="185"/>
      <c r="T12" s="72"/>
      <c r="U12" s="5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53"/>
      <c r="H13" s="117"/>
      <c r="I13" s="65"/>
      <c r="J13" s="66"/>
      <c r="K13" s="53"/>
      <c r="L13" s="141"/>
      <c r="M13" s="53"/>
      <c r="N13" s="53"/>
      <c r="O13" s="53"/>
      <c r="P13" s="53"/>
      <c r="Q13" s="53"/>
      <c r="R13" s="53"/>
      <c r="S13" s="177"/>
      <c r="T13" s="68"/>
      <c r="U13" s="53"/>
    </row>
    <row r="14" spans="1:63" ht="15.6" customHeight="1" x14ac:dyDescent="0.3">
      <c r="A14" s="307" t="s">
        <v>104</v>
      </c>
      <c r="B14" s="307"/>
      <c r="D14" s="69"/>
      <c r="E14" s="54"/>
      <c r="F14" s="54"/>
      <c r="G14" s="54"/>
      <c r="H14" s="116"/>
      <c r="I14" s="71"/>
      <c r="J14" s="37"/>
      <c r="K14" s="54"/>
      <c r="L14" s="140"/>
      <c r="M14" s="54"/>
      <c r="N14" s="54"/>
      <c r="O14" s="54"/>
      <c r="P14" s="54"/>
      <c r="Q14" s="54"/>
      <c r="R14" s="54"/>
      <c r="S14" s="185"/>
      <c r="T14" s="72"/>
      <c r="U14" s="5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53"/>
      <c r="H15" s="118"/>
      <c r="I15" s="141"/>
      <c r="J15" s="53"/>
      <c r="K15" s="53"/>
      <c r="L15" s="141"/>
      <c r="M15" s="53"/>
      <c r="N15" s="53"/>
      <c r="O15" s="53"/>
      <c r="P15" s="53"/>
      <c r="Q15" s="53"/>
      <c r="R15" s="53"/>
      <c r="S15" s="186"/>
      <c r="T15" s="141"/>
      <c r="U15" s="53"/>
    </row>
    <row r="16" spans="1:63" ht="15.6" customHeight="1" x14ac:dyDescent="0.3">
      <c r="A16" s="307" t="s">
        <v>57</v>
      </c>
      <c r="B16" s="307"/>
      <c r="D16" s="69"/>
      <c r="E16" s="54"/>
      <c r="F16" s="54"/>
      <c r="G16" s="54"/>
      <c r="H16" s="119"/>
      <c r="I16" s="140"/>
      <c r="J16" s="54"/>
      <c r="K16" s="54"/>
      <c r="L16" s="140"/>
      <c r="M16" s="54"/>
      <c r="N16" s="54"/>
      <c r="O16" s="54"/>
      <c r="P16" s="54"/>
      <c r="Q16" s="54"/>
      <c r="R16" s="54"/>
      <c r="S16" s="188"/>
      <c r="T16" s="140"/>
      <c r="U16" s="54"/>
    </row>
    <row r="17" spans="1:21" ht="15.6" customHeight="1" x14ac:dyDescent="0.3">
      <c r="A17" s="308" t="s">
        <v>58</v>
      </c>
      <c r="B17" s="308"/>
      <c r="D17" s="62"/>
      <c r="E17" s="53"/>
      <c r="F17" s="53"/>
      <c r="G17" s="53"/>
      <c r="H17" s="118"/>
      <c r="I17" s="141"/>
      <c r="J17" s="53"/>
      <c r="K17" s="53"/>
      <c r="L17" s="141"/>
      <c r="M17" s="53"/>
      <c r="N17" s="53"/>
      <c r="O17" s="53"/>
      <c r="P17" s="53"/>
      <c r="Q17" s="53"/>
      <c r="R17" s="53"/>
      <c r="S17" s="186"/>
      <c r="T17" s="141"/>
      <c r="U17" s="53"/>
    </row>
    <row r="18" spans="1:21" ht="15.6" customHeight="1" x14ac:dyDescent="0.3">
      <c r="A18" s="309" t="s">
        <v>124</v>
      </c>
      <c r="B18" s="309"/>
      <c r="D18" s="69"/>
      <c r="E18" s="54"/>
      <c r="F18" s="54"/>
      <c r="G18" s="54"/>
      <c r="H18" s="119"/>
      <c r="I18" s="140"/>
      <c r="J18" s="54"/>
      <c r="K18" s="54"/>
      <c r="L18" s="140"/>
      <c r="M18" s="54"/>
      <c r="N18" s="54"/>
      <c r="O18" s="54"/>
      <c r="P18" s="54"/>
      <c r="Q18" s="54"/>
      <c r="R18" s="54"/>
      <c r="S18" s="188"/>
      <c r="T18" s="140"/>
      <c r="U18" s="54"/>
    </row>
    <row r="19" spans="1:21" ht="15.6" customHeight="1" x14ac:dyDescent="0.3">
      <c r="D19" s="62"/>
      <c r="E19" s="53"/>
      <c r="F19" s="53"/>
      <c r="G19" s="53"/>
      <c r="H19" s="118"/>
      <c r="I19" s="141"/>
      <c r="J19" s="53"/>
      <c r="K19" s="53"/>
      <c r="L19" s="141"/>
      <c r="M19" s="53"/>
      <c r="N19" s="53"/>
      <c r="O19" s="53"/>
      <c r="P19" s="53"/>
      <c r="Q19" s="53"/>
      <c r="R19" s="53"/>
      <c r="S19" s="186"/>
      <c r="T19" s="141"/>
      <c r="U19" s="53"/>
    </row>
    <row r="20" spans="1:21" ht="15.6" customHeight="1" x14ac:dyDescent="0.3">
      <c r="D20" s="69"/>
      <c r="E20" s="54"/>
      <c r="F20" s="54"/>
      <c r="G20" s="54"/>
      <c r="H20" s="119"/>
      <c r="I20" s="140"/>
      <c r="J20" s="54"/>
      <c r="K20" s="54"/>
      <c r="L20" s="140"/>
      <c r="M20" s="54"/>
      <c r="N20" s="54"/>
      <c r="O20" s="54"/>
      <c r="P20" s="54"/>
      <c r="Q20" s="54"/>
      <c r="R20" s="54"/>
      <c r="S20" s="188"/>
      <c r="T20" s="140"/>
      <c r="U20" s="54"/>
    </row>
    <row r="21" spans="1:21" ht="15.6" customHeight="1" x14ac:dyDescent="0.3">
      <c r="D21" s="62"/>
      <c r="E21" s="53"/>
      <c r="F21" s="53"/>
      <c r="G21" s="53"/>
      <c r="H21" s="118"/>
      <c r="I21" s="141"/>
      <c r="J21" s="53"/>
      <c r="K21" s="53"/>
      <c r="L21" s="141"/>
      <c r="M21" s="53"/>
      <c r="N21" s="53"/>
      <c r="O21" s="53"/>
      <c r="P21" s="53"/>
      <c r="Q21" s="53"/>
      <c r="R21" s="53"/>
      <c r="S21" s="186"/>
      <c r="T21" s="141"/>
      <c r="U21" s="53"/>
    </row>
    <row r="22" spans="1:21" ht="15.6" customHeight="1" x14ac:dyDescent="0.3">
      <c r="D22" s="69"/>
      <c r="E22" s="54"/>
      <c r="F22" s="54"/>
      <c r="G22" s="54"/>
      <c r="H22" s="119"/>
      <c r="I22" s="140"/>
      <c r="J22" s="54"/>
      <c r="K22" s="54"/>
      <c r="L22" s="140"/>
      <c r="M22" s="54"/>
      <c r="N22" s="54"/>
      <c r="O22" s="54"/>
      <c r="P22" s="54"/>
      <c r="Q22" s="54"/>
      <c r="R22" s="54"/>
      <c r="S22" s="188"/>
      <c r="T22" s="140"/>
      <c r="U22" s="54"/>
    </row>
    <row r="23" spans="1:21" ht="15.6" customHeight="1" x14ac:dyDescent="0.3">
      <c r="D23" s="62"/>
      <c r="E23" s="53"/>
      <c r="F23" s="53"/>
      <c r="G23" s="53"/>
      <c r="H23" s="118"/>
      <c r="I23" s="141"/>
      <c r="J23" s="53"/>
      <c r="K23" s="53"/>
      <c r="L23" s="141"/>
      <c r="M23" s="53"/>
      <c r="N23" s="53"/>
      <c r="O23" s="53"/>
      <c r="P23" s="53"/>
      <c r="Q23" s="53"/>
      <c r="R23" s="53"/>
      <c r="S23" s="186"/>
      <c r="T23" s="141"/>
      <c r="U23" s="53"/>
    </row>
    <row r="24" spans="1:21" ht="15.6" customHeight="1" x14ac:dyDescent="0.3">
      <c r="D24" s="69"/>
      <c r="E24" s="54"/>
      <c r="F24" s="54"/>
      <c r="G24" s="54"/>
      <c r="H24" s="119"/>
      <c r="I24" s="140"/>
      <c r="J24" s="54"/>
      <c r="K24" s="54"/>
      <c r="L24" s="140"/>
      <c r="M24" s="54"/>
      <c r="N24" s="54"/>
      <c r="O24" s="54"/>
      <c r="P24" s="54"/>
      <c r="Q24" s="54"/>
      <c r="R24" s="54"/>
      <c r="S24" s="188"/>
      <c r="T24" s="140"/>
      <c r="U24" s="54"/>
    </row>
    <row r="25" spans="1:21" x14ac:dyDescent="0.3">
      <c r="D25" s="62"/>
      <c r="E25" s="53"/>
      <c r="F25" s="53"/>
      <c r="G25" s="53"/>
      <c r="H25" s="118"/>
      <c r="I25" s="141"/>
      <c r="J25" s="53"/>
      <c r="K25" s="53"/>
      <c r="L25" s="141"/>
      <c r="M25" s="53"/>
      <c r="N25" s="53"/>
      <c r="O25" s="53"/>
      <c r="P25" s="53"/>
      <c r="Q25" s="53"/>
      <c r="R25" s="53"/>
      <c r="S25" s="186"/>
      <c r="T25" s="141"/>
      <c r="U25" s="53"/>
    </row>
    <row r="26" spans="1:21" x14ac:dyDescent="0.3">
      <c r="D26" s="69"/>
      <c r="E26" s="54"/>
      <c r="F26" s="54"/>
      <c r="G26" s="54"/>
      <c r="H26" s="119"/>
      <c r="I26" s="140"/>
      <c r="J26" s="54"/>
      <c r="K26" s="54"/>
      <c r="L26" s="140"/>
      <c r="M26" s="54"/>
      <c r="N26" s="54"/>
      <c r="O26" s="54"/>
      <c r="P26" s="54"/>
      <c r="Q26" s="54"/>
      <c r="R26" s="54"/>
      <c r="S26" s="188"/>
      <c r="T26" s="140"/>
      <c r="U26" s="54"/>
    </row>
    <row r="27" spans="1:21" x14ac:dyDescent="0.3">
      <c r="D27" s="62"/>
      <c r="E27" s="53"/>
      <c r="F27" s="53"/>
      <c r="G27" s="53"/>
      <c r="H27" s="118"/>
      <c r="I27" s="141"/>
      <c r="J27" s="53"/>
      <c r="K27" s="53"/>
      <c r="L27" s="141"/>
      <c r="M27" s="53"/>
      <c r="N27" s="53"/>
      <c r="O27" s="53"/>
      <c r="P27" s="53"/>
      <c r="Q27" s="53"/>
      <c r="R27" s="53"/>
      <c r="S27" s="186"/>
      <c r="T27" s="141"/>
      <c r="U27" s="53"/>
    </row>
    <row r="28" spans="1:21" x14ac:dyDescent="0.3">
      <c r="D28" s="69"/>
      <c r="E28" s="54"/>
      <c r="F28" s="54"/>
      <c r="G28" s="54"/>
      <c r="H28" s="119"/>
      <c r="I28" s="140"/>
      <c r="J28" s="54"/>
      <c r="K28" s="54"/>
      <c r="L28" s="140"/>
      <c r="M28" s="54"/>
      <c r="N28" s="54"/>
      <c r="O28" s="54"/>
      <c r="P28" s="54"/>
      <c r="Q28" s="54"/>
      <c r="R28" s="54"/>
      <c r="S28" s="188"/>
      <c r="T28" s="140"/>
      <c r="U28" s="54"/>
    </row>
    <row r="29" spans="1:21" x14ac:dyDescent="0.3">
      <c r="D29" s="62"/>
      <c r="E29" s="53"/>
      <c r="F29" s="53"/>
      <c r="G29" s="53"/>
      <c r="H29" s="118"/>
      <c r="I29" s="141"/>
      <c r="J29" s="53"/>
      <c r="K29" s="53"/>
      <c r="L29" s="141"/>
      <c r="M29" s="53"/>
      <c r="N29" s="53"/>
      <c r="O29" s="53"/>
      <c r="P29" s="53"/>
      <c r="Q29" s="53"/>
      <c r="R29" s="53"/>
      <c r="S29" s="186"/>
      <c r="T29" s="141"/>
      <c r="U29" s="53"/>
    </row>
    <row r="30" spans="1:21" x14ac:dyDescent="0.3">
      <c r="D30" s="69"/>
      <c r="E30" s="54"/>
      <c r="F30" s="54"/>
      <c r="G30" s="54"/>
      <c r="H30" s="119"/>
      <c r="I30" s="140"/>
      <c r="J30" s="54"/>
      <c r="K30" s="54"/>
      <c r="L30" s="140"/>
      <c r="M30" s="54"/>
      <c r="N30" s="54"/>
      <c r="O30" s="54"/>
      <c r="P30" s="54"/>
      <c r="Q30" s="54"/>
      <c r="R30" s="54"/>
      <c r="S30" s="188"/>
      <c r="T30" s="140"/>
      <c r="U30" s="54"/>
    </row>
    <row r="31" spans="1:21" x14ac:dyDescent="0.3">
      <c r="D31" s="62"/>
      <c r="E31" s="53"/>
      <c r="F31" s="53"/>
      <c r="G31" s="53"/>
      <c r="H31" s="118"/>
      <c r="I31" s="141"/>
      <c r="J31" s="53"/>
      <c r="K31" s="53"/>
      <c r="L31" s="141"/>
      <c r="M31" s="53"/>
      <c r="N31" s="53"/>
      <c r="O31" s="53"/>
      <c r="P31" s="53"/>
      <c r="Q31" s="53"/>
      <c r="R31" s="53"/>
      <c r="S31" s="186"/>
      <c r="T31" s="141"/>
      <c r="U31" s="53"/>
    </row>
    <row r="32" spans="1:21" x14ac:dyDescent="0.3">
      <c r="D32" s="69"/>
      <c r="E32" s="54"/>
      <c r="F32" s="54"/>
      <c r="G32" s="54"/>
      <c r="H32" s="119"/>
      <c r="I32" s="140"/>
      <c r="J32" s="54"/>
      <c r="K32" s="54"/>
      <c r="L32" s="140"/>
      <c r="M32" s="54"/>
      <c r="N32" s="54"/>
      <c r="O32" s="54"/>
      <c r="P32" s="54"/>
      <c r="Q32" s="54"/>
      <c r="R32" s="54"/>
      <c r="S32" s="188"/>
      <c r="T32" s="140"/>
      <c r="U32" s="54"/>
    </row>
    <row r="33" spans="4:21" x14ac:dyDescent="0.3">
      <c r="D33" s="62"/>
      <c r="E33" s="53"/>
      <c r="F33" s="53"/>
      <c r="G33" s="53"/>
      <c r="H33" s="118"/>
      <c r="I33" s="141"/>
      <c r="J33" s="53"/>
      <c r="K33" s="53"/>
      <c r="L33" s="141"/>
      <c r="M33" s="53"/>
      <c r="N33" s="53"/>
      <c r="O33" s="53"/>
      <c r="P33" s="53"/>
      <c r="Q33" s="53"/>
      <c r="R33" s="53"/>
      <c r="S33" s="186"/>
      <c r="T33" s="141"/>
      <c r="U33" s="53"/>
    </row>
    <row r="34" spans="4:21" x14ac:dyDescent="0.3">
      <c r="D34" s="69"/>
      <c r="E34" s="54"/>
      <c r="F34" s="54"/>
      <c r="G34" s="54"/>
      <c r="H34" s="119"/>
      <c r="I34" s="140"/>
      <c r="J34" s="54"/>
      <c r="K34" s="54"/>
      <c r="L34" s="140"/>
      <c r="M34" s="54"/>
      <c r="N34" s="54"/>
      <c r="O34" s="54"/>
      <c r="P34" s="54"/>
      <c r="Q34" s="54"/>
      <c r="R34" s="54"/>
      <c r="S34" s="188"/>
      <c r="T34" s="140"/>
      <c r="U34" s="54"/>
    </row>
    <row r="35" spans="4:21" x14ac:dyDescent="0.3">
      <c r="D35" s="62"/>
      <c r="E35" s="53"/>
      <c r="F35" s="53"/>
      <c r="G35" s="53"/>
      <c r="H35" s="118"/>
      <c r="I35" s="141"/>
      <c r="J35" s="53"/>
      <c r="K35" s="53"/>
      <c r="L35" s="141"/>
      <c r="M35" s="53"/>
      <c r="N35" s="53"/>
      <c r="O35" s="53"/>
      <c r="P35" s="53"/>
      <c r="Q35" s="53"/>
      <c r="R35" s="53"/>
      <c r="S35" s="186"/>
      <c r="T35" s="141"/>
      <c r="U35" s="53"/>
    </row>
    <row r="36" spans="4:21" x14ac:dyDescent="0.3">
      <c r="D36" s="69"/>
      <c r="E36" s="54"/>
      <c r="F36" s="54"/>
      <c r="G36" s="54"/>
      <c r="H36" s="119"/>
      <c r="I36" s="140"/>
      <c r="J36" s="54"/>
      <c r="K36" s="54"/>
      <c r="L36" s="140"/>
      <c r="M36" s="54"/>
      <c r="N36" s="54"/>
      <c r="O36" s="54"/>
      <c r="P36" s="54"/>
      <c r="Q36" s="54"/>
      <c r="R36" s="54"/>
      <c r="S36" s="188"/>
      <c r="T36" s="140"/>
      <c r="U36" s="54"/>
    </row>
    <row r="37" spans="4:21" x14ac:dyDescent="0.3">
      <c r="D37" s="62"/>
      <c r="E37" s="53"/>
      <c r="F37" s="53"/>
      <c r="G37" s="53"/>
      <c r="H37" s="118"/>
      <c r="I37" s="141"/>
      <c r="J37" s="53"/>
      <c r="K37" s="53"/>
      <c r="L37" s="141"/>
      <c r="M37" s="53"/>
      <c r="N37" s="53"/>
      <c r="O37" s="53"/>
      <c r="P37" s="53"/>
      <c r="Q37" s="53"/>
      <c r="R37" s="53"/>
      <c r="S37" s="186"/>
      <c r="T37" s="141"/>
      <c r="U37" s="53"/>
    </row>
    <row r="38" spans="4:21" x14ac:dyDescent="0.3">
      <c r="D38" s="69"/>
      <c r="E38" s="54"/>
      <c r="F38" s="54"/>
      <c r="G38" s="54"/>
      <c r="H38" s="119"/>
      <c r="I38" s="140"/>
      <c r="J38" s="54"/>
      <c r="K38" s="54"/>
      <c r="L38" s="140"/>
      <c r="M38" s="54"/>
      <c r="N38" s="54"/>
      <c r="O38" s="54"/>
      <c r="P38" s="54"/>
      <c r="Q38" s="54"/>
      <c r="R38" s="54"/>
      <c r="S38" s="188"/>
      <c r="T38" s="140"/>
      <c r="U38" s="54"/>
    </row>
    <row r="39" spans="4:21" x14ac:dyDescent="0.3">
      <c r="D39" s="62"/>
      <c r="E39" s="53"/>
      <c r="F39" s="53"/>
      <c r="G39" s="53"/>
      <c r="H39" s="118"/>
      <c r="I39" s="141"/>
      <c r="J39" s="53"/>
      <c r="K39" s="53"/>
      <c r="L39" s="141"/>
      <c r="M39" s="53"/>
      <c r="N39" s="53"/>
      <c r="O39" s="53"/>
      <c r="P39" s="53"/>
      <c r="Q39" s="53"/>
      <c r="R39" s="53"/>
      <c r="S39" s="186"/>
      <c r="T39" s="141"/>
      <c r="U39" s="53"/>
    </row>
    <row r="40" spans="4:21" x14ac:dyDescent="0.3">
      <c r="D40" s="69"/>
      <c r="E40" s="54"/>
      <c r="F40" s="54"/>
      <c r="G40" s="54"/>
      <c r="H40" s="119"/>
      <c r="I40" s="140"/>
      <c r="J40" s="54"/>
      <c r="K40" s="54"/>
      <c r="L40" s="140"/>
      <c r="M40" s="54"/>
      <c r="N40" s="54"/>
      <c r="O40" s="54"/>
      <c r="P40" s="54"/>
      <c r="Q40" s="54"/>
      <c r="R40" s="54"/>
      <c r="S40" s="188"/>
      <c r="T40" s="140"/>
      <c r="U40" s="54"/>
    </row>
    <row r="41" spans="4:21" x14ac:dyDescent="0.3">
      <c r="D41" s="62"/>
      <c r="E41" s="53"/>
      <c r="F41" s="53"/>
      <c r="G41" s="53"/>
      <c r="H41" s="118"/>
      <c r="I41" s="141"/>
      <c r="J41" s="53"/>
      <c r="K41" s="53"/>
      <c r="L41" s="141"/>
      <c r="M41" s="53"/>
      <c r="N41" s="53"/>
      <c r="O41" s="53"/>
      <c r="P41" s="53"/>
      <c r="Q41" s="53"/>
      <c r="R41" s="53"/>
      <c r="S41" s="186"/>
      <c r="T41" s="141"/>
      <c r="U41" s="53"/>
    </row>
    <row r="42" spans="4:21" x14ac:dyDescent="0.3">
      <c r="D42" s="69"/>
      <c r="E42" s="54"/>
      <c r="F42" s="54"/>
      <c r="G42" s="54"/>
      <c r="H42" s="119"/>
      <c r="I42" s="140"/>
      <c r="J42" s="54"/>
      <c r="K42" s="54"/>
      <c r="L42" s="140"/>
      <c r="M42" s="54"/>
      <c r="N42" s="54"/>
      <c r="O42" s="54"/>
      <c r="P42" s="54"/>
      <c r="Q42" s="54"/>
      <c r="R42" s="54"/>
      <c r="S42" s="188"/>
      <c r="T42" s="140"/>
      <c r="U42" s="54"/>
    </row>
    <row r="43" spans="4:21" x14ac:dyDescent="0.3">
      <c r="D43" s="62"/>
      <c r="E43" s="53"/>
      <c r="F43" s="53"/>
      <c r="G43" s="53"/>
      <c r="H43" s="118"/>
      <c r="I43" s="141"/>
      <c r="J43" s="53"/>
      <c r="K43" s="53"/>
      <c r="L43" s="141"/>
      <c r="M43" s="53"/>
      <c r="N43" s="53"/>
      <c r="O43" s="53"/>
      <c r="P43" s="53"/>
      <c r="Q43" s="53"/>
      <c r="R43" s="53"/>
      <c r="S43" s="186"/>
      <c r="T43" s="141"/>
      <c r="U43" s="53"/>
    </row>
    <row r="44" spans="4:21" x14ac:dyDescent="0.3">
      <c r="D44" s="69"/>
      <c r="E44" s="54"/>
      <c r="F44" s="54"/>
      <c r="G44" s="54"/>
      <c r="H44" s="119"/>
      <c r="I44" s="140"/>
      <c r="J44" s="54"/>
      <c r="K44" s="54"/>
      <c r="L44" s="140"/>
      <c r="M44" s="54"/>
      <c r="N44" s="54"/>
      <c r="O44" s="54"/>
      <c r="P44" s="54"/>
      <c r="Q44" s="54"/>
      <c r="R44" s="54"/>
      <c r="S44" s="188"/>
      <c r="T44" s="140"/>
      <c r="U44" s="54"/>
    </row>
    <row r="45" spans="4:21" x14ac:dyDescent="0.3">
      <c r="D45" s="62"/>
      <c r="E45" s="53"/>
      <c r="F45" s="53"/>
      <c r="G45" s="53"/>
      <c r="H45" s="118"/>
      <c r="I45" s="141"/>
      <c r="J45" s="53"/>
      <c r="K45" s="53"/>
      <c r="L45" s="141"/>
      <c r="M45" s="53"/>
      <c r="N45" s="53"/>
      <c r="O45" s="53"/>
      <c r="P45" s="53"/>
      <c r="Q45" s="53"/>
      <c r="R45" s="53"/>
      <c r="S45" s="186"/>
      <c r="T45" s="141"/>
      <c r="U45" s="53"/>
    </row>
    <row r="46" spans="4:21" x14ac:dyDescent="0.3">
      <c r="D46" s="69"/>
      <c r="E46" s="54"/>
      <c r="F46" s="54"/>
      <c r="G46" s="54"/>
      <c r="H46" s="119"/>
      <c r="I46" s="140"/>
      <c r="J46" s="54"/>
      <c r="K46" s="54"/>
      <c r="L46" s="140"/>
      <c r="M46" s="54"/>
      <c r="N46" s="54"/>
      <c r="O46" s="54"/>
      <c r="P46" s="54"/>
      <c r="Q46" s="54"/>
      <c r="R46" s="54"/>
      <c r="S46" s="188"/>
      <c r="T46" s="140"/>
      <c r="U46" s="54"/>
    </row>
    <row r="47" spans="4:21" x14ac:dyDescent="0.3">
      <c r="D47" s="62"/>
      <c r="E47" s="53"/>
      <c r="F47" s="53"/>
      <c r="G47" s="53"/>
      <c r="H47" s="118"/>
      <c r="I47" s="141"/>
      <c r="J47" s="53"/>
      <c r="K47" s="53"/>
      <c r="L47" s="141"/>
      <c r="M47" s="53"/>
      <c r="N47" s="53"/>
      <c r="O47" s="53"/>
      <c r="P47" s="53"/>
      <c r="Q47" s="53"/>
      <c r="R47" s="53"/>
      <c r="S47" s="186"/>
      <c r="T47" s="141"/>
      <c r="U47" s="53"/>
    </row>
    <row r="48" spans="4:21" x14ac:dyDescent="0.3">
      <c r="D48" s="69"/>
      <c r="E48" s="54"/>
      <c r="F48" s="54"/>
      <c r="G48" s="54"/>
      <c r="H48" s="119"/>
      <c r="I48" s="140"/>
      <c r="J48" s="54"/>
      <c r="K48" s="54"/>
      <c r="L48" s="140"/>
      <c r="M48" s="54"/>
      <c r="N48" s="54"/>
      <c r="O48" s="54"/>
      <c r="P48" s="54"/>
      <c r="Q48" s="54"/>
      <c r="R48" s="54"/>
      <c r="S48" s="188"/>
      <c r="T48" s="140"/>
      <c r="U48" s="54"/>
    </row>
    <row r="49" spans="4:21" x14ac:dyDescent="0.3">
      <c r="D49" s="62"/>
      <c r="E49" s="53"/>
      <c r="F49" s="53"/>
      <c r="G49" s="53"/>
      <c r="H49" s="118"/>
      <c r="I49" s="141"/>
      <c r="J49" s="53"/>
      <c r="K49" s="53"/>
      <c r="L49" s="141"/>
      <c r="M49" s="53"/>
      <c r="N49" s="53"/>
      <c r="O49" s="53"/>
      <c r="P49" s="53"/>
      <c r="Q49" s="53"/>
      <c r="R49" s="53"/>
      <c r="S49" s="186"/>
      <c r="T49" s="141"/>
      <c r="U49" s="53"/>
    </row>
    <row r="50" spans="4:21" x14ac:dyDescent="0.3">
      <c r="D50" s="69"/>
      <c r="E50" s="54"/>
      <c r="F50" s="54"/>
      <c r="G50" s="54"/>
      <c r="H50" s="119"/>
      <c r="I50" s="140"/>
      <c r="J50" s="54"/>
      <c r="K50" s="54"/>
      <c r="L50" s="140"/>
      <c r="M50" s="54"/>
      <c r="N50" s="54"/>
      <c r="O50" s="54"/>
      <c r="P50" s="54"/>
      <c r="Q50" s="54"/>
      <c r="R50" s="54"/>
      <c r="S50" s="188"/>
      <c r="T50" s="140"/>
      <c r="U50" s="54"/>
    </row>
    <row r="51" spans="4:21" x14ac:dyDescent="0.3">
      <c r="D51" s="62"/>
      <c r="E51" s="53"/>
      <c r="F51" s="53"/>
      <c r="G51" s="53"/>
      <c r="H51" s="118"/>
      <c r="I51" s="141"/>
      <c r="J51" s="53"/>
      <c r="K51" s="53"/>
      <c r="L51" s="141"/>
      <c r="M51" s="53"/>
      <c r="N51" s="53"/>
      <c r="O51" s="53"/>
      <c r="P51" s="53"/>
      <c r="Q51" s="53"/>
      <c r="R51" s="53"/>
      <c r="S51" s="186"/>
      <c r="T51" s="141"/>
      <c r="U51" s="53"/>
    </row>
    <row r="52" spans="4:21" x14ac:dyDescent="0.3">
      <c r="D52" s="69"/>
      <c r="E52" s="54"/>
      <c r="F52" s="54"/>
      <c r="G52" s="54"/>
      <c r="H52" s="119"/>
      <c r="I52" s="140"/>
      <c r="J52" s="54"/>
      <c r="K52" s="54"/>
      <c r="L52" s="140"/>
      <c r="M52" s="54"/>
      <c r="N52" s="54"/>
      <c r="O52" s="54"/>
      <c r="P52" s="54"/>
      <c r="Q52" s="54"/>
      <c r="R52" s="54"/>
      <c r="S52" s="188"/>
      <c r="T52" s="140"/>
      <c r="U52" s="54"/>
    </row>
    <row r="53" spans="4:21" x14ac:dyDescent="0.3">
      <c r="D53" s="62"/>
      <c r="E53" s="53"/>
      <c r="F53" s="53"/>
      <c r="G53" s="53"/>
      <c r="H53" s="118"/>
      <c r="I53" s="141"/>
      <c r="J53" s="53"/>
      <c r="K53" s="53"/>
      <c r="L53" s="141"/>
      <c r="M53" s="53"/>
      <c r="N53" s="53"/>
      <c r="O53" s="53"/>
      <c r="P53" s="53"/>
      <c r="Q53" s="53"/>
      <c r="R53" s="53"/>
      <c r="S53" s="186"/>
      <c r="T53" s="141"/>
      <c r="U53" s="53"/>
    </row>
    <row r="54" spans="4:21" x14ac:dyDescent="0.3">
      <c r="D54" s="69"/>
      <c r="E54" s="54"/>
      <c r="F54" s="54"/>
      <c r="G54" s="54"/>
      <c r="H54" s="119"/>
      <c r="I54" s="140"/>
      <c r="J54" s="54"/>
      <c r="K54" s="54"/>
      <c r="L54" s="140"/>
      <c r="M54" s="54"/>
      <c r="N54" s="54"/>
      <c r="O54" s="54"/>
      <c r="P54" s="54"/>
      <c r="Q54" s="54"/>
      <c r="R54" s="54"/>
      <c r="S54" s="188"/>
      <c r="T54" s="140"/>
      <c r="U54" s="54"/>
    </row>
    <row r="55" spans="4:21" x14ac:dyDescent="0.3">
      <c r="D55" s="62"/>
      <c r="E55" s="53"/>
      <c r="F55" s="53"/>
      <c r="G55" s="53"/>
      <c r="H55" s="118"/>
      <c r="I55" s="141"/>
      <c r="J55" s="53"/>
      <c r="K55" s="53"/>
      <c r="L55" s="141"/>
      <c r="M55" s="53"/>
      <c r="N55" s="53"/>
      <c r="O55" s="53"/>
      <c r="P55" s="53"/>
      <c r="Q55" s="53"/>
      <c r="R55" s="53"/>
      <c r="S55" s="186"/>
      <c r="T55" s="141"/>
      <c r="U55" s="53"/>
    </row>
    <row r="56" spans="4:21" x14ac:dyDescent="0.3">
      <c r="D56" s="69"/>
      <c r="E56" s="54"/>
      <c r="F56" s="54"/>
      <c r="G56" s="54"/>
      <c r="H56" s="119"/>
      <c r="I56" s="140"/>
      <c r="J56" s="54"/>
      <c r="K56" s="54"/>
      <c r="L56" s="140"/>
      <c r="M56" s="54"/>
      <c r="N56" s="54"/>
      <c r="O56" s="54"/>
      <c r="P56" s="54"/>
      <c r="Q56" s="54"/>
      <c r="R56" s="54"/>
      <c r="S56" s="188"/>
      <c r="T56" s="140"/>
      <c r="U56" s="54"/>
    </row>
    <row r="57" spans="4:21" x14ac:dyDescent="0.3">
      <c r="D57" s="62"/>
      <c r="E57" s="53"/>
      <c r="F57" s="53"/>
      <c r="G57" s="53"/>
      <c r="H57" s="118"/>
      <c r="I57" s="141"/>
      <c r="J57" s="53"/>
      <c r="K57" s="53"/>
      <c r="L57" s="141"/>
      <c r="M57" s="53"/>
      <c r="N57" s="53"/>
      <c r="O57" s="53"/>
      <c r="P57" s="53"/>
      <c r="Q57" s="53"/>
      <c r="R57" s="53"/>
      <c r="S57" s="186"/>
      <c r="T57" s="141"/>
      <c r="U57" s="53"/>
    </row>
    <row r="58" spans="4:21" x14ac:dyDescent="0.3">
      <c r="D58" s="69"/>
      <c r="E58" s="54"/>
      <c r="F58" s="54"/>
      <c r="G58" s="54"/>
      <c r="H58" s="119"/>
      <c r="I58" s="140"/>
      <c r="J58" s="54"/>
      <c r="K58" s="54"/>
      <c r="L58" s="140"/>
      <c r="M58" s="54"/>
      <c r="N58" s="54"/>
      <c r="O58" s="54"/>
      <c r="P58" s="54"/>
      <c r="Q58" s="54"/>
      <c r="R58" s="54"/>
      <c r="S58" s="188"/>
      <c r="T58" s="140"/>
      <c r="U58" s="54"/>
    </row>
    <row r="59" spans="4:21" x14ac:dyDescent="0.3">
      <c r="D59" s="62"/>
      <c r="E59" s="53"/>
      <c r="F59" s="53"/>
      <c r="G59" s="53"/>
      <c r="H59" s="118"/>
      <c r="I59" s="141"/>
      <c r="J59" s="53"/>
      <c r="K59" s="53"/>
      <c r="L59" s="141"/>
      <c r="M59" s="53"/>
      <c r="N59" s="53"/>
      <c r="O59" s="53"/>
      <c r="P59" s="53"/>
      <c r="Q59" s="53"/>
      <c r="R59" s="53"/>
      <c r="S59" s="186"/>
      <c r="T59" s="141"/>
      <c r="U59" s="53"/>
    </row>
    <row r="60" spans="4:21" x14ac:dyDescent="0.3">
      <c r="D60" s="69"/>
      <c r="E60" s="54"/>
      <c r="F60" s="54"/>
      <c r="G60" s="54"/>
      <c r="H60" s="119"/>
      <c r="I60" s="140"/>
      <c r="J60" s="54"/>
      <c r="K60" s="54"/>
      <c r="L60" s="140"/>
      <c r="M60" s="54"/>
      <c r="N60" s="54"/>
      <c r="O60" s="54"/>
      <c r="P60" s="54"/>
      <c r="Q60" s="54"/>
      <c r="R60" s="54"/>
      <c r="S60" s="188"/>
      <c r="T60" s="140"/>
      <c r="U60" s="54"/>
    </row>
    <row r="61" spans="4:21" x14ac:dyDescent="0.3">
      <c r="D61" s="62"/>
      <c r="E61" s="53"/>
      <c r="F61" s="53"/>
      <c r="G61" s="53"/>
      <c r="H61" s="118"/>
      <c r="I61" s="141"/>
      <c r="J61" s="53"/>
      <c r="K61" s="53"/>
      <c r="L61" s="141"/>
      <c r="M61" s="53"/>
      <c r="N61" s="53"/>
      <c r="O61" s="53"/>
      <c r="P61" s="53"/>
      <c r="Q61" s="53"/>
      <c r="R61" s="53"/>
      <c r="S61" s="186"/>
      <c r="T61" s="141"/>
      <c r="U61" s="53"/>
    </row>
    <row r="62" spans="4:21" x14ac:dyDescent="0.3">
      <c r="D62" s="69"/>
      <c r="E62" s="54"/>
      <c r="F62" s="54"/>
      <c r="G62" s="54"/>
      <c r="H62" s="119"/>
      <c r="I62" s="140"/>
      <c r="J62" s="54"/>
      <c r="K62" s="54"/>
      <c r="L62" s="140"/>
      <c r="M62" s="54"/>
      <c r="N62" s="54"/>
      <c r="O62" s="54"/>
      <c r="P62" s="54"/>
      <c r="Q62" s="54"/>
      <c r="R62" s="54"/>
      <c r="S62" s="188"/>
      <c r="T62" s="140"/>
      <c r="U62" s="54"/>
    </row>
    <row r="63" spans="4:21" x14ac:dyDescent="0.3">
      <c r="D63" s="62"/>
      <c r="E63" s="53"/>
      <c r="F63" s="53"/>
      <c r="G63" s="53"/>
      <c r="H63" s="118"/>
      <c r="I63" s="141"/>
      <c r="J63" s="53"/>
      <c r="K63" s="53"/>
      <c r="L63" s="141"/>
      <c r="M63" s="53"/>
      <c r="N63" s="53"/>
      <c r="O63" s="53"/>
      <c r="P63" s="53"/>
      <c r="Q63" s="53"/>
      <c r="R63" s="53"/>
      <c r="S63" s="186"/>
      <c r="T63" s="141"/>
      <c r="U63" s="53"/>
    </row>
    <row r="64" spans="4:21" x14ac:dyDescent="0.3">
      <c r="D64" s="69"/>
      <c r="E64" s="54"/>
      <c r="F64" s="54"/>
      <c r="G64" s="54"/>
      <c r="H64" s="119"/>
      <c r="I64" s="140"/>
      <c r="J64" s="54"/>
      <c r="K64" s="54"/>
      <c r="L64" s="140"/>
      <c r="M64" s="54"/>
      <c r="N64" s="54"/>
      <c r="O64" s="54"/>
      <c r="P64" s="54"/>
      <c r="Q64" s="54"/>
      <c r="R64" s="54"/>
      <c r="S64" s="188"/>
      <c r="T64" s="140"/>
      <c r="U64" s="54"/>
    </row>
    <row r="65" spans="4:21" x14ac:dyDescent="0.3">
      <c r="D65" s="62"/>
      <c r="E65" s="53"/>
      <c r="F65" s="53"/>
      <c r="G65" s="53"/>
      <c r="H65" s="118"/>
      <c r="I65" s="141"/>
      <c r="J65" s="53"/>
      <c r="K65" s="53"/>
      <c r="L65" s="141"/>
      <c r="M65" s="53"/>
      <c r="N65" s="53"/>
      <c r="O65" s="53"/>
      <c r="P65" s="53"/>
      <c r="Q65" s="53"/>
      <c r="R65" s="53"/>
      <c r="S65" s="186"/>
      <c r="T65" s="141"/>
      <c r="U65" s="53"/>
    </row>
    <row r="66" spans="4:21" x14ac:dyDescent="0.3">
      <c r="D66" s="69"/>
      <c r="E66" s="54"/>
      <c r="F66" s="54"/>
      <c r="G66" s="54"/>
      <c r="H66" s="119"/>
      <c r="I66" s="140"/>
      <c r="J66" s="54"/>
      <c r="K66" s="54"/>
      <c r="L66" s="140"/>
      <c r="M66" s="54"/>
      <c r="N66" s="54"/>
      <c r="O66" s="54"/>
      <c r="P66" s="54"/>
      <c r="Q66" s="54"/>
      <c r="R66" s="54"/>
      <c r="S66" s="188"/>
      <c r="T66" s="140"/>
      <c r="U66" s="54"/>
    </row>
    <row r="67" spans="4:21" x14ac:dyDescent="0.3">
      <c r="D67" s="62"/>
      <c r="E67" s="53"/>
      <c r="F67" s="53"/>
      <c r="G67" s="53"/>
      <c r="H67" s="118"/>
      <c r="I67" s="141"/>
      <c r="J67" s="53"/>
      <c r="K67" s="53"/>
      <c r="L67" s="141"/>
      <c r="M67" s="53"/>
      <c r="N67" s="53"/>
      <c r="O67" s="53"/>
      <c r="P67" s="53"/>
      <c r="Q67" s="53"/>
      <c r="R67" s="53"/>
      <c r="S67" s="186"/>
      <c r="T67" s="141"/>
      <c r="U67" s="53"/>
    </row>
    <row r="68" spans="4:21" x14ac:dyDescent="0.3">
      <c r="D68" s="69"/>
      <c r="E68" s="54"/>
      <c r="F68" s="54"/>
      <c r="G68" s="54"/>
      <c r="H68" s="119"/>
      <c r="I68" s="140"/>
      <c r="J68" s="54"/>
      <c r="K68" s="54"/>
      <c r="L68" s="140"/>
      <c r="M68" s="54"/>
      <c r="N68" s="54"/>
      <c r="O68" s="54"/>
      <c r="P68" s="54"/>
      <c r="Q68" s="54"/>
      <c r="R68" s="54"/>
      <c r="S68" s="188"/>
      <c r="T68" s="140"/>
      <c r="U68" s="54"/>
    </row>
    <row r="69" spans="4:21" x14ac:dyDescent="0.3">
      <c r="D69" s="62"/>
      <c r="E69" s="53"/>
      <c r="F69" s="53"/>
      <c r="G69" s="53"/>
      <c r="H69" s="118"/>
      <c r="I69" s="141"/>
      <c r="J69" s="53"/>
      <c r="K69" s="53"/>
      <c r="L69" s="141"/>
      <c r="M69" s="53"/>
      <c r="N69" s="53"/>
      <c r="O69" s="53"/>
      <c r="P69" s="53"/>
      <c r="Q69" s="53"/>
      <c r="R69" s="53"/>
      <c r="S69" s="186"/>
      <c r="T69" s="141"/>
      <c r="U69" s="53"/>
    </row>
    <row r="70" spans="4:21" x14ac:dyDescent="0.3">
      <c r="D70" s="69"/>
      <c r="E70" s="54"/>
      <c r="F70" s="54"/>
      <c r="G70" s="54"/>
      <c r="H70" s="119"/>
      <c r="I70" s="140"/>
      <c r="J70" s="54"/>
      <c r="K70" s="54"/>
      <c r="L70" s="140"/>
      <c r="M70" s="54"/>
      <c r="N70" s="54"/>
      <c r="O70" s="54"/>
      <c r="P70" s="54"/>
      <c r="Q70" s="54"/>
      <c r="R70" s="54"/>
      <c r="S70" s="188"/>
      <c r="T70" s="140"/>
      <c r="U70" s="54"/>
    </row>
    <row r="71" spans="4:21" x14ac:dyDescent="0.3">
      <c r="D71" s="62"/>
      <c r="E71" s="53"/>
      <c r="F71" s="53"/>
      <c r="G71" s="53"/>
      <c r="H71" s="118"/>
      <c r="I71" s="141"/>
      <c r="J71" s="53"/>
      <c r="K71" s="53"/>
      <c r="L71" s="141"/>
      <c r="M71" s="53"/>
      <c r="N71" s="53"/>
      <c r="O71" s="53"/>
      <c r="P71" s="53"/>
      <c r="Q71" s="53"/>
      <c r="R71" s="53"/>
      <c r="S71" s="186"/>
      <c r="T71" s="141"/>
      <c r="U71" s="53"/>
    </row>
    <row r="72" spans="4:21" x14ac:dyDescent="0.3">
      <c r="D72" s="69"/>
      <c r="E72" s="54"/>
      <c r="F72" s="54"/>
      <c r="G72" s="54"/>
      <c r="H72" s="119"/>
      <c r="I72" s="140"/>
      <c r="J72" s="54"/>
      <c r="K72" s="54"/>
      <c r="L72" s="140"/>
      <c r="M72" s="54"/>
      <c r="N72" s="54"/>
      <c r="O72" s="54"/>
      <c r="P72" s="54"/>
      <c r="Q72" s="54"/>
      <c r="R72" s="54"/>
      <c r="S72" s="188"/>
      <c r="T72" s="140"/>
      <c r="U72" s="54"/>
    </row>
    <row r="73" spans="4:21" x14ac:dyDescent="0.3">
      <c r="D73" s="62"/>
      <c r="E73" s="53"/>
      <c r="F73" s="53"/>
      <c r="G73" s="53"/>
      <c r="H73" s="118"/>
      <c r="I73" s="141"/>
      <c r="J73" s="53"/>
      <c r="K73" s="53"/>
      <c r="L73" s="141"/>
      <c r="M73" s="53"/>
      <c r="N73" s="53"/>
      <c r="O73" s="53"/>
      <c r="P73" s="53"/>
      <c r="Q73" s="53"/>
      <c r="R73" s="53"/>
      <c r="S73" s="186"/>
      <c r="T73" s="141"/>
      <c r="U73" s="53"/>
    </row>
    <row r="74" spans="4:21" x14ac:dyDescent="0.3">
      <c r="D74" s="69"/>
      <c r="E74" s="54"/>
      <c r="F74" s="54"/>
      <c r="G74" s="54"/>
      <c r="H74" s="119"/>
      <c r="I74" s="140"/>
      <c r="J74" s="54"/>
      <c r="K74" s="54"/>
      <c r="L74" s="140"/>
      <c r="M74" s="54"/>
      <c r="N74" s="54"/>
      <c r="O74" s="54"/>
      <c r="P74" s="54"/>
      <c r="Q74" s="54"/>
      <c r="R74" s="54"/>
      <c r="S74" s="188"/>
      <c r="T74" s="140"/>
      <c r="U74" s="54"/>
    </row>
    <row r="75" spans="4:21" x14ac:dyDescent="0.3">
      <c r="D75" s="62"/>
      <c r="E75" s="53"/>
      <c r="F75" s="53"/>
      <c r="G75" s="53"/>
      <c r="H75" s="118"/>
      <c r="I75" s="141"/>
      <c r="J75" s="53"/>
      <c r="K75" s="53"/>
      <c r="L75" s="141"/>
      <c r="M75" s="53"/>
      <c r="N75" s="53"/>
      <c r="O75" s="53"/>
      <c r="P75" s="53"/>
      <c r="Q75" s="53"/>
      <c r="R75" s="53"/>
      <c r="S75" s="186"/>
      <c r="T75" s="141"/>
      <c r="U75" s="53"/>
    </row>
    <row r="76" spans="4:21" x14ac:dyDescent="0.3">
      <c r="D76" s="69"/>
      <c r="E76" s="54"/>
      <c r="F76" s="54"/>
      <c r="G76" s="54"/>
      <c r="H76" s="119"/>
      <c r="I76" s="140"/>
      <c r="J76" s="54"/>
      <c r="K76" s="54"/>
      <c r="L76" s="140"/>
      <c r="M76" s="54"/>
      <c r="N76" s="54"/>
      <c r="O76" s="54"/>
      <c r="P76" s="54"/>
      <c r="Q76" s="54"/>
      <c r="R76" s="54"/>
      <c r="S76" s="188"/>
      <c r="T76" s="140"/>
      <c r="U76" s="54"/>
    </row>
    <row r="77" spans="4:21" x14ac:dyDescent="0.3">
      <c r="D77" s="62"/>
      <c r="E77" s="53"/>
      <c r="F77" s="53"/>
      <c r="G77" s="53"/>
      <c r="H77" s="118"/>
      <c r="I77" s="141"/>
      <c r="J77" s="53"/>
      <c r="K77" s="53"/>
      <c r="L77" s="141"/>
      <c r="M77" s="53"/>
      <c r="N77" s="53"/>
      <c r="O77" s="53"/>
      <c r="P77" s="53"/>
      <c r="Q77" s="53"/>
      <c r="R77" s="53"/>
      <c r="S77" s="186"/>
      <c r="T77" s="141"/>
      <c r="U77" s="53"/>
    </row>
    <row r="78" spans="4:21" x14ac:dyDescent="0.3">
      <c r="D78" s="69"/>
      <c r="E78" s="54"/>
      <c r="F78" s="54"/>
      <c r="G78" s="54"/>
      <c r="H78" s="119"/>
      <c r="I78" s="140"/>
      <c r="J78" s="54"/>
      <c r="K78" s="54"/>
      <c r="L78" s="140"/>
      <c r="M78" s="54"/>
      <c r="N78" s="54"/>
      <c r="O78" s="54"/>
      <c r="P78" s="54"/>
      <c r="Q78" s="54"/>
      <c r="R78" s="54"/>
      <c r="S78" s="188"/>
      <c r="T78" s="140"/>
      <c r="U78" s="54"/>
    </row>
    <row r="79" spans="4:21" x14ac:dyDescent="0.3">
      <c r="D79" s="62"/>
      <c r="E79" s="53"/>
      <c r="F79" s="53"/>
      <c r="G79" s="53"/>
      <c r="H79" s="118"/>
      <c r="I79" s="141"/>
      <c r="J79" s="53"/>
      <c r="K79" s="53"/>
      <c r="L79" s="141"/>
      <c r="M79" s="53"/>
      <c r="N79" s="53"/>
      <c r="O79" s="53"/>
      <c r="P79" s="53"/>
      <c r="Q79" s="53"/>
      <c r="R79" s="53"/>
      <c r="S79" s="186"/>
      <c r="T79" s="141"/>
      <c r="U79" s="53"/>
    </row>
    <row r="80" spans="4:21" x14ac:dyDescent="0.3">
      <c r="D80" s="69"/>
      <c r="E80" s="54"/>
      <c r="F80" s="54"/>
      <c r="G80" s="54"/>
      <c r="H80" s="119"/>
      <c r="I80" s="140"/>
      <c r="J80" s="54"/>
      <c r="K80" s="54"/>
      <c r="L80" s="140"/>
      <c r="M80" s="54"/>
      <c r="N80" s="54"/>
      <c r="O80" s="54"/>
      <c r="P80" s="54"/>
      <c r="Q80" s="54"/>
      <c r="R80" s="54"/>
      <c r="S80" s="188"/>
      <c r="T80" s="140"/>
      <c r="U80" s="54"/>
    </row>
    <row r="81" spans="4:21" x14ac:dyDescent="0.3">
      <c r="D81" s="62"/>
      <c r="E81" s="53"/>
      <c r="F81" s="53"/>
      <c r="G81" s="53"/>
      <c r="H81" s="118"/>
      <c r="I81" s="141"/>
      <c r="J81" s="53"/>
      <c r="K81" s="53"/>
      <c r="L81" s="141"/>
      <c r="M81" s="53"/>
      <c r="N81" s="53"/>
      <c r="O81" s="53"/>
      <c r="P81" s="53"/>
      <c r="Q81" s="53"/>
      <c r="R81" s="53"/>
      <c r="S81" s="186"/>
      <c r="T81" s="141"/>
      <c r="U81" s="53"/>
    </row>
    <row r="82" spans="4:21" x14ac:dyDescent="0.3">
      <c r="D82" s="69"/>
      <c r="E82" s="54"/>
      <c r="F82" s="54"/>
      <c r="G82" s="54"/>
      <c r="H82" s="119"/>
      <c r="I82" s="140"/>
      <c r="J82" s="54"/>
      <c r="K82" s="54"/>
      <c r="L82" s="140"/>
      <c r="M82" s="54"/>
      <c r="N82" s="54"/>
      <c r="O82" s="54"/>
      <c r="P82" s="54"/>
      <c r="Q82" s="54"/>
      <c r="R82" s="54"/>
      <c r="S82" s="188"/>
      <c r="T82" s="140"/>
      <c r="U82" s="54"/>
    </row>
    <row r="83" spans="4:21" x14ac:dyDescent="0.3">
      <c r="D83" s="62"/>
      <c r="E83" s="53"/>
      <c r="F83" s="53"/>
      <c r="G83" s="53"/>
      <c r="H83" s="118"/>
      <c r="I83" s="141"/>
      <c r="J83" s="53"/>
      <c r="K83" s="53"/>
      <c r="L83" s="141"/>
      <c r="M83" s="53"/>
      <c r="N83" s="53"/>
      <c r="O83" s="53"/>
      <c r="P83" s="53"/>
      <c r="Q83" s="53"/>
      <c r="R83" s="53"/>
      <c r="S83" s="186"/>
      <c r="T83" s="141"/>
      <c r="U83" s="53"/>
    </row>
    <row r="84" spans="4:21" x14ac:dyDescent="0.3">
      <c r="D84" s="69"/>
      <c r="E84" s="54"/>
      <c r="F84" s="54"/>
      <c r="G84" s="54"/>
      <c r="H84" s="119"/>
      <c r="I84" s="140"/>
      <c r="J84" s="54"/>
      <c r="K84" s="54"/>
      <c r="L84" s="140"/>
      <c r="M84" s="54"/>
      <c r="N84" s="54"/>
      <c r="O84" s="54"/>
      <c r="P84" s="54"/>
      <c r="Q84" s="54"/>
      <c r="R84" s="54"/>
      <c r="S84" s="188"/>
      <c r="T84" s="140"/>
      <c r="U84" s="54"/>
    </row>
    <row r="85" spans="4:21" x14ac:dyDescent="0.3">
      <c r="D85" s="62"/>
      <c r="E85" s="53"/>
      <c r="F85" s="53"/>
      <c r="G85" s="53"/>
      <c r="H85" s="118"/>
      <c r="I85" s="141"/>
      <c r="J85" s="53"/>
      <c r="K85" s="53"/>
      <c r="L85" s="141"/>
      <c r="M85" s="53"/>
      <c r="N85" s="53"/>
      <c r="O85" s="53"/>
      <c r="P85" s="53"/>
      <c r="Q85" s="53"/>
      <c r="R85" s="53"/>
      <c r="S85" s="186"/>
      <c r="T85" s="141"/>
      <c r="U85" s="53"/>
    </row>
    <row r="86" spans="4:21" x14ac:dyDescent="0.3">
      <c r="D86" s="69"/>
      <c r="E86" s="54"/>
      <c r="F86" s="54"/>
      <c r="G86" s="54"/>
      <c r="H86" s="119"/>
      <c r="I86" s="140"/>
      <c r="J86" s="54"/>
      <c r="K86" s="54"/>
      <c r="L86" s="140"/>
      <c r="M86" s="54"/>
      <c r="N86" s="54"/>
      <c r="O86" s="54"/>
      <c r="P86" s="54"/>
      <c r="Q86" s="54"/>
      <c r="R86" s="54"/>
      <c r="S86" s="188"/>
      <c r="T86" s="140"/>
      <c r="U86" s="54"/>
    </row>
    <row r="87" spans="4:21" x14ac:dyDescent="0.3">
      <c r="D87" s="62"/>
      <c r="E87" s="53"/>
      <c r="F87" s="53"/>
      <c r="G87" s="53"/>
      <c r="H87" s="118"/>
      <c r="I87" s="141"/>
      <c r="J87" s="53"/>
      <c r="K87" s="53"/>
      <c r="L87" s="141"/>
      <c r="M87" s="53"/>
      <c r="N87" s="53"/>
      <c r="O87" s="53"/>
      <c r="P87" s="53"/>
      <c r="Q87" s="53"/>
      <c r="R87" s="53"/>
      <c r="S87" s="186"/>
      <c r="T87" s="141"/>
      <c r="U87" s="53"/>
    </row>
    <row r="88" spans="4:21" x14ac:dyDescent="0.3">
      <c r="D88" s="69"/>
      <c r="E88" s="54"/>
      <c r="F88" s="54"/>
      <c r="G88" s="54"/>
      <c r="H88" s="119"/>
      <c r="I88" s="140"/>
      <c r="J88" s="54"/>
      <c r="K88" s="54"/>
      <c r="L88" s="140"/>
      <c r="M88" s="54"/>
      <c r="N88" s="54"/>
      <c r="O88" s="54"/>
      <c r="P88" s="54"/>
      <c r="Q88" s="54"/>
      <c r="R88" s="54"/>
      <c r="S88" s="188"/>
      <c r="T88" s="140"/>
      <c r="U88" s="54"/>
    </row>
    <row r="89" spans="4:21" x14ac:dyDescent="0.3">
      <c r="D89" s="62"/>
      <c r="E89" s="53"/>
      <c r="F89" s="53"/>
      <c r="G89" s="53"/>
      <c r="H89" s="118"/>
      <c r="I89" s="141"/>
      <c r="J89" s="53"/>
      <c r="K89" s="53"/>
      <c r="L89" s="141"/>
      <c r="M89" s="53"/>
      <c r="N89" s="53"/>
      <c r="O89" s="53"/>
      <c r="P89" s="53"/>
      <c r="Q89" s="53"/>
      <c r="R89" s="53"/>
      <c r="S89" s="186"/>
      <c r="T89" s="141"/>
      <c r="U89" s="53"/>
    </row>
    <row r="90" spans="4:21" x14ac:dyDescent="0.3">
      <c r="D90" s="69"/>
      <c r="E90" s="54"/>
      <c r="F90" s="54"/>
      <c r="G90" s="54"/>
      <c r="H90" s="119"/>
      <c r="I90" s="140"/>
      <c r="J90" s="54"/>
      <c r="K90" s="54"/>
      <c r="L90" s="140"/>
      <c r="M90" s="54"/>
      <c r="N90" s="54"/>
      <c r="O90" s="54"/>
      <c r="P90" s="54"/>
      <c r="Q90" s="54"/>
      <c r="R90" s="54"/>
      <c r="S90" s="188"/>
      <c r="T90" s="140"/>
      <c r="U90" s="54"/>
    </row>
    <row r="91" spans="4:21" x14ac:dyDescent="0.3">
      <c r="D91" s="62"/>
      <c r="E91" s="53"/>
      <c r="F91" s="53"/>
      <c r="G91" s="53"/>
      <c r="H91" s="118"/>
      <c r="I91" s="141"/>
      <c r="J91" s="53"/>
      <c r="K91" s="53"/>
      <c r="L91" s="141"/>
      <c r="M91" s="53"/>
      <c r="N91" s="53"/>
      <c r="O91" s="53"/>
      <c r="P91" s="53"/>
      <c r="Q91" s="53"/>
      <c r="R91" s="53"/>
      <c r="S91" s="186"/>
      <c r="T91" s="141"/>
      <c r="U91" s="53"/>
    </row>
    <row r="92" spans="4:21" x14ac:dyDescent="0.3">
      <c r="D92" s="69"/>
      <c r="E92" s="54"/>
      <c r="F92" s="54"/>
      <c r="G92" s="54"/>
      <c r="H92" s="119"/>
      <c r="I92" s="140"/>
      <c r="J92" s="54"/>
      <c r="K92" s="54"/>
      <c r="L92" s="140"/>
      <c r="M92" s="54"/>
      <c r="N92" s="54"/>
      <c r="O92" s="54"/>
      <c r="P92" s="54"/>
      <c r="Q92" s="54"/>
      <c r="R92" s="54"/>
      <c r="S92" s="188"/>
      <c r="T92" s="140"/>
      <c r="U92" s="54"/>
    </row>
    <row r="93" spans="4:21" x14ac:dyDescent="0.3">
      <c r="D93" s="62"/>
      <c r="E93" s="53"/>
      <c r="F93" s="53"/>
      <c r="G93" s="53"/>
      <c r="H93" s="118"/>
      <c r="I93" s="141"/>
      <c r="J93" s="53"/>
      <c r="K93" s="53"/>
      <c r="L93" s="141"/>
      <c r="M93" s="53"/>
      <c r="N93" s="53"/>
      <c r="O93" s="53"/>
      <c r="P93" s="53"/>
      <c r="Q93" s="53"/>
      <c r="R93" s="53"/>
      <c r="S93" s="186"/>
      <c r="T93" s="141"/>
      <c r="U93" s="53"/>
    </row>
    <row r="94" spans="4:21" x14ac:dyDescent="0.3">
      <c r="D94" s="69"/>
      <c r="E94" s="54"/>
      <c r="F94" s="54"/>
      <c r="G94" s="54"/>
      <c r="H94" s="119"/>
      <c r="I94" s="140"/>
      <c r="J94" s="54"/>
      <c r="K94" s="54"/>
      <c r="L94" s="140"/>
      <c r="M94" s="54"/>
      <c r="N94" s="54"/>
      <c r="O94" s="54"/>
      <c r="P94" s="54"/>
      <c r="Q94" s="54"/>
      <c r="R94" s="54"/>
      <c r="S94" s="188"/>
      <c r="T94" s="140"/>
      <c r="U94" s="54"/>
    </row>
    <row r="95" spans="4:21" x14ac:dyDescent="0.3">
      <c r="D95" s="62"/>
      <c r="E95" s="53"/>
      <c r="F95" s="53"/>
      <c r="G95" s="53"/>
      <c r="H95" s="118"/>
      <c r="I95" s="141"/>
      <c r="J95" s="53"/>
      <c r="K95" s="53"/>
      <c r="L95" s="141"/>
      <c r="M95" s="53"/>
      <c r="N95" s="53"/>
      <c r="O95" s="53"/>
      <c r="P95" s="53"/>
      <c r="Q95" s="53"/>
      <c r="R95" s="53"/>
      <c r="S95" s="186"/>
      <c r="T95" s="141"/>
      <c r="U95" s="53"/>
    </row>
    <row r="96" spans="4:21" x14ac:dyDescent="0.3">
      <c r="D96" s="69"/>
      <c r="E96" s="54"/>
      <c r="F96" s="54"/>
      <c r="G96" s="54"/>
      <c r="H96" s="119"/>
      <c r="I96" s="140"/>
      <c r="J96" s="54"/>
      <c r="K96" s="54"/>
      <c r="L96" s="140"/>
      <c r="M96" s="54"/>
      <c r="N96" s="54"/>
      <c r="O96" s="54"/>
      <c r="P96" s="54"/>
      <c r="Q96" s="54"/>
      <c r="R96" s="54"/>
      <c r="S96" s="188"/>
      <c r="T96" s="140"/>
      <c r="U96" s="54"/>
    </row>
    <row r="97" spans="4:21" x14ac:dyDescent="0.3">
      <c r="D97" s="62"/>
      <c r="E97" s="53"/>
      <c r="F97" s="53"/>
      <c r="G97" s="53"/>
      <c r="H97" s="118"/>
      <c r="I97" s="141"/>
      <c r="J97" s="53"/>
      <c r="K97" s="53"/>
      <c r="L97" s="141"/>
      <c r="M97" s="53"/>
      <c r="N97" s="53"/>
      <c r="O97" s="53"/>
      <c r="P97" s="53"/>
      <c r="Q97" s="53"/>
      <c r="R97" s="53"/>
      <c r="S97" s="186"/>
      <c r="T97" s="141"/>
      <c r="U97" s="53"/>
    </row>
    <row r="98" spans="4:21" x14ac:dyDescent="0.3">
      <c r="D98" s="69"/>
      <c r="E98" s="54"/>
      <c r="F98" s="54"/>
      <c r="G98" s="54"/>
      <c r="H98" s="119"/>
      <c r="I98" s="140"/>
      <c r="J98" s="54"/>
      <c r="K98" s="54"/>
      <c r="L98" s="140"/>
      <c r="M98" s="54"/>
      <c r="N98" s="54"/>
      <c r="O98" s="54"/>
      <c r="P98" s="54"/>
      <c r="Q98" s="54"/>
      <c r="R98" s="54"/>
      <c r="S98" s="188"/>
      <c r="T98" s="140"/>
      <c r="U98" s="54"/>
    </row>
    <row r="99" spans="4:21" x14ac:dyDescent="0.3">
      <c r="D99" s="62"/>
      <c r="E99" s="53"/>
      <c r="F99" s="53"/>
      <c r="G99" s="53"/>
      <c r="H99" s="118"/>
      <c r="I99" s="141"/>
      <c r="J99" s="53"/>
      <c r="K99" s="53"/>
      <c r="L99" s="141"/>
      <c r="M99" s="53"/>
      <c r="N99" s="53"/>
      <c r="O99" s="53"/>
      <c r="P99" s="53"/>
      <c r="Q99" s="53"/>
      <c r="R99" s="53"/>
      <c r="S99" s="186"/>
      <c r="T99" s="141"/>
      <c r="U99" s="53"/>
    </row>
    <row r="100" spans="4:21" x14ac:dyDescent="0.3">
      <c r="D100" s="69"/>
      <c r="E100" s="54"/>
      <c r="F100" s="54"/>
      <c r="G100" s="54"/>
      <c r="H100" s="119"/>
      <c r="I100" s="140"/>
      <c r="J100" s="54"/>
      <c r="K100" s="54"/>
      <c r="L100" s="140"/>
      <c r="M100" s="54"/>
      <c r="N100" s="54"/>
      <c r="O100" s="54"/>
      <c r="P100" s="54"/>
      <c r="Q100" s="54"/>
      <c r="R100" s="54"/>
      <c r="S100" s="188"/>
      <c r="T100" s="140"/>
      <c r="U100" s="54"/>
    </row>
    <row r="101" spans="4:21" x14ac:dyDescent="0.3">
      <c r="D101" s="62"/>
      <c r="E101" s="53"/>
      <c r="F101" s="53"/>
      <c r="G101" s="53"/>
      <c r="H101" s="118"/>
      <c r="I101" s="141"/>
      <c r="J101" s="53"/>
      <c r="K101" s="53"/>
      <c r="L101" s="141"/>
      <c r="M101" s="53"/>
      <c r="N101" s="53"/>
      <c r="O101" s="53"/>
      <c r="P101" s="53"/>
      <c r="Q101" s="53"/>
      <c r="R101" s="53"/>
      <c r="S101" s="186"/>
      <c r="T101" s="141"/>
      <c r="U101" s="53"/>
    </row>
    <row r="102" spans="4:21" x14ac:dyDescent="0.3">
      <c r="D102" s="69"/>
      <c r="E102" s="54"/>
      <c r="F102" s="54"/>
      <c r="G102" s="54"/>
      <c r="H102" s="119"/>
      <c r="I102" s="140"/>
      <c r="J102" s="54"/>
      <c r="K102" s="54"/>
      <c r="L102" s="140"/>
      <c r="M102" s="54"/>
      <c r="N102" s="54"/>
      <c r="O102" s="54"/>
      <c r="P102" s="54"/>
      <c r="Q102" s="54"/>
      <c r="R102" s="54"/>
      <c r="S102" s="188"/>
      <c r="T102" s="140"/>
      <c r="U102" s="54"/>
    </row>
    <row r="103" spans="4:21" x14ac:dyDescent="0.3">
      <c r="D103" s="62"/>
      <c r="E103" s="53"/>
      <c r="F103" s="53"/>
      <c r="G103" s="53"/>
      <c r="H103" s="118"/>
      <c r="I103" s="141"/>
      <c r="J103" s="53"/>
      <c r="K103" s="53"/>
      <c r="L103" s="141"/>
      <c r="M103" s="53"/>
      <c r="N103" s="53"/>
      <c r="O103" s="53"/>
      <c r="P103" s="53"/>
      <c r="Q103" s="53"/>
      <c r="R103" s="53"/>
      <c r="S103" s="186"/>
      <c r="T103" s="141"/>
      <c r="U103" s="53"/>
    </row>
    <row r="104" spans="4:21" x14ac:dyDescent="0.3">
      <c r="D104" s="69"/>
      <c r="E104" s="54"/>
      <c r="F104" s="54"/>
      <c r="G104" s="54"/>
      <c r="H104" s="119"/>
      <c r="I104" s="140"/>
      <c r="J104" s="54"/>
      <c r="K104" s="54"/>
      <c r="L104" s="140"/>
      <c r="M104" s="54"/>
      <c r="N104" s="54"/>
      <c r="O104" s="54"/>
      <c r="P104" s="54"/>
      <c r="Q104" s="54"/>
      <c r="R104" s="54"/>
      <c r="S104" s="188"/>
      <c r="T104" s="140"/>
      <c r="U104" s="54"/>
    </row>
    <row r="105" spans="4:21" x14ac:dyDescent="0.3">
      <c r="D105" s="62"/>
      <c r="E105" s="53"/>
      <c r="F105" s="53"/>
      <c r="G105" s="53"/>
      <c r="H105" s="118"/>
      <c r="I105" s="141"/>
      <c r="J105" s="53"/>
      <c r="K105" s="53"/>
      <c r="L105" s="141"/>
      <c r="M105" s="53"/>
      <c r="N105" s="53"/>
      <c r="O105" s="53"/>
      <c r="P105" s="53"/>
      <c r="Q105" s="53"/>
      <c r="R105" s="53"/>
      <c r="S105" s="186"/>
      <c r="T105" s="141"/>
      <c r="U105" s="53"/>
    </row>
    <row r="106" spans="4:21" x14ac:dyDescent="0.3">
      <c r="D106" s="69"/>
      <c r="E106" s="54"/>
      <c r="F106" s="54"/>
      <c r="G106" s="54"/>
      <c r="H106" s="119"/>
      <c r="I106" s="140"/>
      <c r="J106" s="54"/>
      <c r="K106" s="54"/>
      <c r="L106" s="140"/>
      <c r="M106" s="54"/>
      <c r="N106" s="54"/>
      <c r="O106" s="54"/>
      <c r="P106" s="54"/>
      <c r="Q106" s="54"/>
      <c r="R106" s="54"/>
      <c r="S106" s="188"/>
      <c r="T106" s="140"/>
      <c r="U106" s="54"/>
    </row>
    <row r="107" spans="4:21" x14ac:dyDescent="0.3">
      <c r="D107" s="62"/>
      <c r="E107" s="53"/>
      <c r="F107" s="53"/>
      <c r="G107" s="53"/>
      <c r="H107" s="118"/>
      <c r="I107" s="141"/>
      <c r="J107" s="53"/>
      <c r="K107" s="53"/>
      <c r="L107" s="141"/>
      <c r="M107" s="53"/>
      <c r="N107" s="53"/>
      <c r="O107" s="53"/>
      <c r="P107" s="53"/>
      <c r="Q107" s="53"/>
      <c r="R107" s="53"/>
      <c r="S107" s="186"/>
      <c r="T107" s="141"/>
      <c r="U107" s="53"/>
    </row>
    <row r="108" spans="4:21" x14ac:dyDescent="0.3">
      <c r="D108" s="69"/>
      <c r="E108" s="54"/>
      <c r="F108" s="54"/>
      <c r="G108" s="54"/>
      <c r="H108" s="119"/>
      <c r="I108" s="140"/>
      <c r="J108" s="54"/>
      <c r="K108" s="54"/>
      <c r="L108" s="140"/>
      <c r="M108" s="54"/>
      <c r="N108" s="54"/>
      <c r="O108" s="54"/>
      <c r="P108" s="54"/>
      <c r="Q108" s="54"/>
      <c r="R108" s="54"/>
      <c r="S108" s="188"/>
      <c r="T108" s="140"/>
      <c r="U108" s="54"/>
    </row>
    <row r="109" spans="4:21" x14ac:dyDescent="0.3">
      <c r="D109" s="62"/>
      <c r="E109" s="53"/>
      <c r="F109" s="53"/>
      <c r="G109" s="53"/>
      <c r="H109" s="118"/>
      <c r="I109" s="141"/>
      <c r="J109" s="53"/>
      <c r="K109" s="53"/>
      <c r="L109" s="141"/>
      <c r="M109" s="53"/>
      <c r="N109" s="53"/>
      <c r="O109" s="53"/>
      <c r="P109" s="53"/>
      <c r="Q109" s="53"/>
      <c r="R109" s="53"/>
      <c r="S109" s="186"/>
      <c r="T109" s="141"/>
      <c r="U109" s="53"/>
    </row>
    <row r="110" spans="4:21" x14ac:dyDescent="0.3">
      <c r="D110" s="69"/>
      <c r="E110" s="54"/>
      <c r="F110" s="54"/>
      <c r="G110" s="54"/>
      <c r="H110" s="119"/>
      <c r="I110" s="140"/>
      <c r="J110" s="54"/>
      <c r="K110" s="54"/>
      <c r="L110" s="140"/>
      <c r="M110" s="54"/>
      <c r="N110" s="54"/>
      <c r="O110" s="54"/>
      <c r="P110" s="54"/>
      <c r="Q110" s="54"/>
      <c r="R110" s="54"/>
      <c r="S110" s="188"/>
      <c r="T110" s="140"/>
      <c r="U110" s="54"/>
    </row>
    <row r="111" spans="4:21" x14ac:dyDescent="0.3">
      <c r="D111" s="62"/>
      <c r="E111" s="53"/>
      <c r="F111" s="53"/>
      <c r="G111" s="53"/>
      <c r="H111" s="118"/>
      <c r="I111" s="141"/>
      <c r="J111" s="53"/>
      <c r="K111" s="53"/>
      <c r="L111" s="141"/>
      <c r="M111" s="53"/>
      <c r="N111" s="53"/>
      <c r="O111" s="53"/>
      <c r="P111" s="53"/>
      <c r="Q111" s="53"/>
      <c r="R111" s="53"/>
      <c r="S111" s="186"/>
      <c r="T111" s="141"/>
      <c r="U111" s="53"/>
    </row>
    <row r="112" spans="4:21" x14ac:dyDescent="0.3">
      <c r="D112" s="69"/>
      <c r="E112" s="54"/>
      <c r="F112" s="54"/>
      <c r="G112" s="54"/>
      <c r="H112" s="119"/>
      <c r="I112" s="140"/>
      <c r="J112" s="54"/>
      <c r="K112" s="54"/>
      <c r="L112" s="140"/>
      <c r="M112" s="54"/>
      <c r="N112" s="54"/>
      <c r="O112" s="54"/>
      <c r="P112" s="54"/>
      <c r="Q112" s="54"/>
      <c r="R112" s="54"/>
      <c r="S112" s="188"/>
      <c r="T112" s="140"/>
      <c r="U112" s="54"/>
    </row>
    <row r="113" spans="4:21" x14ac:dyDescent="0.3">
      <c r="D113" s="62"/>
      <c r="E113" s="53"/>
      <c r="F113" s="53"/>
      <c r="G113" s="53"/>
      <c r="H113" s="118"/>
      <c r="I113" s="141"/>
      <c r="J113" s="53"/>
      <c r="K113" s="53"/>
      <c r="L113" s="141"/>
      <c r="M113" s="53"/>
      <c r="N113" s="53"/>
      <c r="O113" s="53"/>
      <c r="P113" s="53"/>
      <c r="Q113" s="53"/>
      <c r="R113" s="53"/>
      <c r="S113" s="186"/>
      <c r="T113" s="141"/>
      <c r="U113" s="53"/>
    </row>
    <row r="114" spans="4:21" x14ac:dyDescent="0.3">
      <c r="D114" s="69"/>
      <c r="E114" s="54"/>
      <c r="F114" s="54"/>
      <c r="G114" s="54"/>
      <c r="H114" s="119"/>
      <c r="I114" s="140"/>
      <c r="J114" s="54"/>
      <c r="K114" s="54"/>
      <c r="L114" s="140"/>
      <c r="M114" s="54"/>
      <c r="N114" s="54"/>
      <c r="O114" s="54"/>
      <c r="P114" s="54"/>
      <c r="Q114" s="54"/>
      <c r="R114" s="54"/>
      <c r="S114" s="188"/>
      <c r="T114" s="140"/>
      <c r="U114" s="54"/>
    </row>
    <row r="115" spans="4:21" x14ac:dyDescent="0.3">
      <c r="D115" s="62"/>
      <c r="E115" s="53"/>
      <c r="F115" s="53"/>
      <c r="G115" s="53"/>
      <c r="H115" s="118"/>
      <c r="I115" s="141"/>
      <c r="J115" s="53"/>
      <c r="K115" s="53"/>
      <c r="L115" s="141"/>
      <c r="M115" s="53"/>
      <c r="N115" s="53"/>
      <c r="O115" s="53"/>
      <c r="P115" s="53"/>
      <c r="Q115" s="53"/>
      <c r="R115" s="53"/>
      <c r="S115" s="186"/>
      <c r="T115" s="141"/>
      <c r="U115" s="53"/>
    </row>
    <row r="116" spans="4:21" x14ac:dyDescent="0.3">
      <c r="D116" s="69"/>
      <c r="E116" s="54"/>
      <c r="F116" s="54"/>
      <c r="G116" s="54"/>
      <c r="H116" s="119"/>
      <c r="I116" s="140"/>
      <c r="J116" s="54"/>
      <c r="K116" s="54"/>
      <c r="L116" s="140"/>
      <c r="M116" s="54"/>
      <c r="N116" s="54"/>
      <c r="O116" s="54"/>
      <c r="P116" s="54"/>
      <c r="Q116" s="54"/>
      <c r="R116" s="54"/>
      <c r="S116" s="188"/>
      <c r="T116" s="140"/>
      <c r="U116" s="54"/>
    </row>
    <row r="117" spans="4:21" x14ac:dyDescent="0.3">
      <c r="D117" s="62"/>
      <c r="E117" s="53"/>
      <c r="F117" s="53"/>
      <c r="G117" s="53"/>
      <c r="H117" s="118"/>
      <c r="I117" s="141"/>
      <c r="J117" s="53"/>
      <c r="K117" s="53"/>
      <c r="L117" s="141"/>
      <c r="M117" s="53"/>
      <c r="N117" s="53"/>
      <c r="O117" s="53"/>
      <c r="P117" s="53"/>
      <c r="Q117" s="53"/>
      <c r="R117" s="53"/>
      <c r="S117" s="186"/>
      <c r="T117" s="141"/>
      <c r="U117" s="53"/>
    </row>
    <row r="118" spans="4:21" x14ac:dyDescent="0.3">
      <c r="D118" s="69"/>
      <c r="E118" s="54"/>
      <c r="F118" s="54"/>
      <c r="G118" s="54"/>
      <c r="H118" s="119"/>
      <c r="I118" s="140"/>
      <c r="J118" s="54"/>
      <c r="K118" s="54"/>
      <c r="L118" s="140"/>
      <c r="M118" s="54"/>
      <c r="N118" s="54"/>
      <c r="O118" s="54"/>
      <c r="P118" s="54"/>
      <c r="Q118" s="54"/>
      <c r="R118" s="54"/>
      <c r="S118" s="188"/>
      <c r="T118" s="140"/>
      <c r="U118" s="54"/>
    </row>
    <row r="119" spans="4:21" x14ac:dyDescent="0.3">
      <c r="D119" s="62"/>
      <c r="E119" s="53"/>
      <c r="F119" s="53"/>
      <c r="G119" s="53"/>
      <c r="H119" s="118"/>
      <c r="I119" s="141"/>
      <c r="J119" s="53"/>
      <c r="K119" s="53"/>
      <c r="L119" s="141"/>
      <c r="M119" s="53"/>
      <c r="N119" s="53"/>
      <c r="O119" s="53"/>
      <c r="P119" s="53"/>
      <c r="Q119" s="53"/>
      <c r="R119" s="53"/>
      <c r="S119" s="186"/>
      <c r="T119" s="141"/>
      <c r="U119" s="53"/>
    </row>
    <row r="120" spans="4:21" x14ac:dyDescent="0.3">
      <c r="D120" s="69"/>
      <c r="E120" s="54"/>
      <c r="F120" s="54"/>
      <c r="G120" s="54"/>
      <c r="H120" s="119"/>
      <c r="I120" s="140"/>
      <c r="J120" s="54"/>
      <c r="K120" s="54"/>
      <c r="L120" s="140"/>
      <c r="M120" s="54"/>
      <c r="N120" s="54"/>
      <c r="O120" s="54"/>
      <c r="P120" s="54"/>
      <c r="Q120" s="54"/>
      <c r="R120" s="54"/>
      <c r="S120" s="188"/>
      <c r="T120" s="140"/>
      <c r="U120" s="54"/>
    </row>
    <row r="121" spans="4:21" x14ac:dyDescent="0.3">
      <c r="D121" s="62"/>
      <c r="E121" s="53"/>
      <c r="F121" s="53"/>
      <c r="G121" s="53"/>
      <c r="H121" s="118"/>
      <c r="I121" s="141"/>
      <c r="J121" s="53"/>
      <c r="K121" s="53"/>
      <c r="L121" s="141"/>
      <c r="M121" s="53"/>
      <c r="N121" s="53"/>
      <c r="O121" s="53"/>
      <c r="P121" s="53"/>
      <c r="Q121" s="53"/>
      <c r="R121" s="53"/>
      <c r="S121" s="186"/>
      <c r="T121" s="141"/>
      <c r="U121" s="53"/>
    </row>
    <row r="122" spans="4:21" x14ac:dyDescent="0.3">
      <c r="D122" s="69"/>
      <c r="E122" s="54"/>
      <c r="F122" s="54"/>
      <c r="G122" s="54"/>
      <c r="H122" s="119"/>
      <c r="I122" s="140"/>
      <c r="J122" s="54"/>
      <c r="K122" s="54"/>
      <c r="L122" s="140"/>
      <c r="M122" s="54"/>
      <c r="N122" s="54"/>
      <c r="O122" s="54"/>
      <c r="P122" s="54"/>
      <c r="Q122" s="54"/>
      <c r="R122" s="54"/>
      <c r="S122" s="188"/>
      <c r="T122" s="140"/>
      <c r="U122" s="54"/>
    </row>
    <row r="123" spans="4:21" x14ac:dyDescent="0.3">
      <c r="D123" s="62"/>
      <c r="E123" s="53"/>
      <c r="F123" s="53"/>
      <c r="G123" s="53"/>
      <c r="H123" s="118"/>
      <c r="I123" s="141"/>
      <c r="J123" s="53"/>
      <c r="K123" s="53"/>
      <c r="L123" s="141"/>
      <c r="M123" s="53"/>
      <c r="N123" s="53"/>
      <c r="O123" s="53"/>
      <c r="P123" s="53"/>
      <c r="Q123" s="53"/>
      <c r="R123" s="53"/>
      <c r="S123" s="186"/>
      <c r="T123" s="141"/>
      <c r="U123" s="53"/>
    </row>
    <row r="124" spans="4:21" x14ac:dyDescent="0.3">
      <c r="D124" s="69"/>
      <c r="E124" s="54"/>
      <c r="F124" s="54"/>
      <c r="G124" s="54"/>
      <c r="H124" s="119"/>
      <c r="I124" s="140"/>
      <c r="J124" s="54"/>
      <c r="K124" s="54"/>
      <c r="L124" s="140"/>
      <c r="M124" s="54"/>
      <c r="N124" s="54"/>
      <c r="O124" s="54"/>
      <c r="P124" s="54"/>
      <c r="Q124" s="54"/>
      <c r="R124" s="54"/>
      <c r="S124" s="188"/>
      <c r="T124" s="140"/>
      <c r="U124" s="54"/>
    </row>
    <row r="125" spans="4:21" x14ac:dyDescent="0.3">
      <c r="D125" s="62"/>
      <c r="E125" s="53"/>
      <c r="F125" s="53"/>
      <c r="G125" s="53"/>
      <c r="H125" s="118"/>
      <c r="I125" s="141"/>
      <c r="J125" s="53"/>
      <c r="K125" s="53"/>
      <c r="L125" s="141"/>
      <c r="M125" s="53"/>
      <c r="N125" s="53"/>
      <c r="O125" s="53"/>
      <c r="P125" s="53"/>
      <c r="Q125" s="53"/>
      <c r="R125" s="53"/>
      <c r="S125" s="186"/>
      <c r="T125" s="141"/>
      <c r="U125" s="53"/>
    </row>
    <row r="126" spans="4:21" x14ac:dyDescent="0.3">
      <c r="D126" s="69"/>
      <c r="E126" s="54"/>
      <c r="F126" s="54"/>
      <c r="G126" s="54"/>
      <c r="H126" s="119"/>
      <c r="I126" s="140"/>
      <c r="J126" s="54"/>
      <c r="K126" s="54"/>
      <c r="L126" s="140"/>
      <c r="M126" s="54"/>
      <c r="N126" s="54"/>
      <c r="O126" s="54"/>
      <c r="P126" s="54"/>
      <c r="Q126" s="54"/>
      <c r="R126" s="54"/>
      <c r="S126" s="188"/>
      <c r="T126" s="140"/>
      <c r="U126" s="54"/>
    </row>
    <row r="127" spans="4:21" x14ac:dyDescent="0.3">
      <c r="D127" s="62"/>
      <c r="E127" s="53"/>
      <c r="F127" s="53"/>
      <c r="G127" s="53"/>
      <c r="H127" s="118"/>
      <c r="I127" s="141"/>
      <c r="J127" s="53"/>
      <c r="K127" s="53"/>
      <c r="L127" s="141"/>
      <c r="M127" s="53"/>
      <c r="N127" s="53"/>
      <c r="O127" s="53"/>
      <c r="P127" s="53"/>
      <c r="Q127" s="53"/>
      <c r="R127" s="53"/>
      <c r="S127" s="186"/>
      <c r="T127" s="141"/>
      <c r="U127" s="53"/>
    </row>
    <row r="128" spans="4:21" x14ac:dyDescent="0.3">
      <c r="D128" s="69"/>
      <c r="E128" s="54"/>
      <c r="F128" s="54"/>
      <c r="G128" s="54"/>
      <c r="H128" s="119"/>
      <c r="I128" s="140"/>
      <c r="J128" s="54"/>
      <c r="K128" s="54"/>
      <c r="L128" s="140"/>
      <c r="M128" s="54"/>
      <c r="N128" s="54"/>
      <c r="O128" s="54"/>
      <c r="P128" s="54"/>
      <c r="Q128" s="54"/>
      <c r="R128" s="54"/>
      <c r="S128" s="188"/>
      <c r="T128" s="140"/>
      <c r="U128" s="54"/>
    </row>
    <row r="129" spans="4:21" x14ac:dyDescent="0.3">
      <c r="D129" s="62"/>
      <c r="E129" s="53"/>
      <c r="F129" s="53"/>
      <c r="G129" s="53"/>
      <c r="H129" s="118"/>
      <c r="I129" s="141"/>
      <c r="J129" s="53"/>
      <c r="K129" s="53"/>
      <c r="L129" s="141"/>
      <c r="M129" s="53"/>
      <c r="N129" s="53"/>
      <c r="O129" s="53"/>
      <c r="P129" s="53"/>
      <c r="Q129" s="53"/>
      <c r="R129" s="53"/>
      <c r="S129" s="186"/>
      <c r="T129" s="141"/>
      <c r="U129" s="53"/>
    </row>
    <row r="130" spans="4:21" x14ac:dyDescent="0.3">
      <c r="D130" s="69"/>
      <c r="E130" s="54"/>
      <c r="F130" s="54"/>
      <c r="G130" s="54"/>
      <c r="H130" s="119"/>
      <c r="I130" s="140"/>
      <c r="J130" s="54"/>
      <c r="K130" s="54"/>
      <c r="L130" s="140"/>
      <c r="M130" s="54"/>
      <c r="N130" s="54"/>
      <c r="O130" s="54"/>
      <c r="P130" s="54"/>
      <c r="Q130" s="54"/>
      <c r="R130" s="54"/>
      <c r="S130" s="188"/>
      <c r="T130" s="140"/>
      <c r="U130" s="54"/>
    </row>
    <row r="131" spans="4:21" x14ac:dyDescent="0.3">
      <c r="D131" s="62"/>
      <c r="E131" s="53"/>
      <c r="F131" s="53"/>
      <c r="G131" s="53"/>
      <c r="H131" s="118"/>
      <c r="I131" s="141"/>
      <c r="J131" s="53"/>
      <c r="K131" s="53"/>
      <c r="L131" s="141"/>
      <c r="M131" s="53"/>
      <c r="N131" s="53"/>
      <c r="O131" s="53"/>
      <c r="P131" s="53"/>
      <c r="Q131" s="53"/>
      <c r="R131" s="53"/>
      <c r="S131" s="186"/>
      <c r="T131" s="141"/>
      <c r="U131" s="53"/>
    </row>
    <row r="132" spans="4:21" x14ac:dyDescent="0.3">
      <c r="D132" s="69"/>
      <c r="E132" s="54"/>
      <c r="F132" s="54"/>
      <c r="G132" s="54"/>
      <c r="H132" s="119"/>
      <c r="I132" s="140"/>
      <c r="J132" s="54"/>
      <c r="K132" s="54"/>
      <c r="L132" s="140"/>
      <c r="M132" s="54"/>
      <c r="N132" s="54"/>
      <c r="O132" s="54"/>
      <c r="P132" s="54"/>
      <c r="Q132" s="54"/>
      <c r="R132" s="54"/>
      <c r="S132" s="188"/>
      <c r="T132" s="140"/>
      <c r="U132" s="54"/>
    </row>
    <row r="133" spans="4:21" x14ac:dyDescent="0.3">
      <c r="D133" s="62"/>
      <c r="E133" s="53"/>
      <c r="F133" s="53"/>
      <c r="G133" s="53"/>
      <c r="H133" s="118"/>
      <c r="I133" s="141"/>
      <c r="J133" s="53"/>
      <c r="K133" s="53"/>
      <c r="L133" s="141"/>
      <c r="M133" s="53"/>
      <c r="N133" s="53"/>
      <c r="O133" s="53"/>
      <c r="P133" s="53"/>
      <c r="Q133" s="53"/>
      <c r="R133" s="53"/>
      <c r="S133" s="186"/>
      <c r="T133" s="141"/>
      <c r="U133" s="53"/>
    </row>
    <row r="134" spans="4:21" x14ac:dyDescent="0.3">
      <c r="D134" s="69"/>
      <c r="E134" s="54"/>
      <c r="F134" s="54"/>
      <c r="G134" s="54"/>
      <c r="H134" s="119"/>
      <c r="I134" s="140"/>
      <c r="J134" s="54"/>
      <c r="K134" s="54"/>
      <c r="L134" s="140"/>
      <c r="M134" s="54"/>
      <c r="N134" s="54"/>
      <c r="O134" s="54"/>
      <c r="P134" s="54"/>
      <c r="Q134" s="54"/>
      <c r="R134" s="54"/>
      <c r="S134" s="188"/>
      <c r="T134" s="140"/>
      <c r="U134" s="54"/>
    </row>
    <row r="135" spans="4:21" x14ac:dyDescent="0.3">
      <c r="D135" s="62"/>
      <c r="E135" s="53"/>
      <c r="F135" s="53"/>
      <c r="G135" s="53"/>
      <c r="H135" s="118"/>
      <c r="I135" s="141"/>
      <c r="J135" s="53"/>
      <c r="K135" s="53"/>
      <c r="L135" s="141"/>
      <c r="M135" s="53"/>
      <c r="N135" s="53"/>
      <c r="O135" s="53"/>
      <c r="P135" s="53"/>
      <c r="Q135" s="53"/>
      <c r="R135" s="53"/>
      <c r="S135" s="186"/>
      <c r="T135" s="141"/>
      <c r="U135" s="53"/>
    </row>
    <row r="136" spans="4:21" x14ac:dyDescent="0.3">
      <c r="D136" s="69"/>
      <c r="E136" s="54"/>
      <c r="F136" s="54"/>
      <c r="G136" s="54"/>
      <c r="H136" s="119"/>
      <c r="I136" s="140"/>
      <c r="J136" s="54"/>
      <c r="K136" s="54"/>
      <c r="L136" s="140"/>
      <c r="M136" s="54"/>
      <c r="N136" s="54"/>
      <c r="O136" s="54"/>
      <c r="P136" s="54"/>
      <c r="Q136" s="54"/>
      <c r="R136" s="54"/>
      <c r="S136" s="188"/>
      <c r="T136" s="140"/>
      <c r="U136" s="54"/>
    </row>
    <row r="137" spans="4:21" x14ac:dyDescent="0.3">
      <c r="D137" s="62"/>
      <c r="E137" s="53"/>
      <c r="F137" s="53"/>
      <c r="G137" s="53"/>
      <c r="H137" s="118"/>
      <c r="I137" s="141"/>
      <c r="J137" s="53"/>
      <c r="K137" s="53"/>
      <c r="L137" s="141"/>
      <c r="M137" s="53"/>
      <c r="N137" s="53"/>
      <c r="O137" s="53"/>
      <c r="P137" s="53"/>
      <c r="Q137" s="53"/>
      <c r="R137" s="53"/>
      <c r="S137" s="186"/>
      <c r="T137" s="141"/>
      <c r="U137" s="53"/>
    </row>
    <row r="138" spans="4:21" x14ac:dyDescent="0.3">
      <c r="D138" s="69"/>
      <c r="E138" s="54"/>
      <c r="F138" s="54"/>
      <c r="G138" s="54"/>
      <c r="H138" s="119"/>
      <c r="I138" s="140"/>
      <c r="J138" s="54"/>
      <c r="K138" s="54"/>
      <c r="L138" s="140"/>
      <c r="M138" s="54"/>
      <c r="N138" s="54"/>
      <c r="O138" s="54"/>
      <c r="P138" s="54"/>
      <c r="Q138" s="54"/>
      <c r="R138" s="54"/>
      <c r="S138" s="188"/>
      <c r="T138" s="140"/>
      <c r="U138" s="54"/>
    </row>
    <row r="139" spans="4:21" x14ac:dyDescent="0.3">
      <c r="D139" s="62"/>
      <c r="E139" s="53"/>
      <c r="F139" s="53"/>
      <c r="G139" s="53"/>
      <c r="H139" s="118"/>
      <c r="I139" s="141"/>
      <c r="J139" s="53"/>
      <c r="K139" s="53"/>
      <c r="L139" s="141"/>
      <c r="M139" s="53"/>
      <c r="N139" s="53"/>
      <c r="O139" s="53"/>
      <c r="P139" s="53"/>
      <c r="Q139" s="53"/>
      <c r="R139" s="53"/>
      <c r="S139" s="186"/>
      <c r="T139" s="141"/>
      <c r="U139" s="53"/>
    </row>
    <row r="140" spans="4:21" x14ac:dyDescent="0.3">
      <c r="D140" s="69"/>
      <c r="E140" s="54"/>
      <c r="F140" s="54"/>
      <c r="G140" s="54"/>
      <c r="H140" s="119"/>
      <c r="I140" s="140"/>
      <c r="J140" s="54"/>
      <c r="K140" s="54"/>
      <c r="L140" s="140"/>
      <c r="M140" s="54"/>
      <c r="N140" s="54"/>
      <c r="O140" s="54"/>
      <c r="P140" s="54"/>
      <c r="Q140" s="54"/>
      <c r="R140" s="54"/>
      <c r="S140" s="188"/>
      <c r="T140" s="140"/>
      <c r="U140" s="54"/>
    </row>
    <row r="141" spans="4:21" x14ac:dyDescent="0.3">
      <c r="D141" s="62"/>
      <c r="E141" s="53"/>
      <c r="F141" s="53"/>
      <c r="G141" s="53"/>
      <c r="H141" s="118"/>
      <c r="I141" s="141"/>
      <c r="J141" s="53"/>
      <c r="K141" s="53"/>
      <c r="L141" s="141"/>
      <c r="M141" s="53"/>
      <c r="N141" s="53"/>
      <c r="O141" s="53"/>
      <c r="P141" s="53"/>
      <c r="Q141" s="53"/>
      <c r="R141" s="53"/>
      <c r="S141" s="186"/>
      <c r="T141" s="141"/>
      <c r="U141" s="53"/>
    </row>
    <row r="142" spans="4:21" x14ac:dyDescent="0.3">
      <c r="D142" s="69"/>
      <c r="E142" s="54"/>
      <c r="F142" s="54"/>
      <c r="G142" s="54"/>
      <c r="H142" s="119"/>
      <c r="I142" s="140"/>
      <c r="J142" s="54"/>
      <c r="K142" s="54"/>
      <c r="L142" s="140"/>
      <c r="M142" s="54"/>
      <c r="N142" s="54"/>
      <c r="O142" s="54"/>
      <c r="P142" s="54"/>
      <c r="Q142" s="54"/>
      <c r="R142" s="54"/>
      <c r="S142" s="188"/>
      <c r="T142" s="140"/>
      <c r="U142" s="54"/>
    </row>
    <row r="143" spans="4:21" x14ac:dyDescent="0.3">
      <c r="D143" s="62"/>
      <c r="E143" s="53"/>
      <c r="F143" s="53"/>
      <c r="G143" s="53"/>
      <c r="H143" s="118"/>
      <c r="I143" s="141"/>
      <c r="J143" s="53"/>
      <c r="K143" s="53"/>
      <c r="L143" s="141"/>
      <c r="M143" s="53"/>
      <c r="N143" s="53"/>
      <c r="O143" s="53"/>
      <c r="P143" s="53"/>
      <c r="Q143" s="53"/>
      <c r="R143" s="53"/>
      <c r="S143" s="186"/>
      <c r="T143" s="141"/>
      <c r="U143" s="53"/>
    </row>
    <row r="144" spans="4:21" x14ac:dyDescent="0.3">
      <c r="D144" s="69"/>
      <c r="E144" s="54"/>
      <c r="F144" s="54"/>
      <c r="G144" s="54"/>
      <c r="H144" s="119"/>
      <c r="I144" s="140"/>
      <c r="J144" s="54"/>
      <c r="K144" s="54"/>
      <c r="L144" s="140"/>
      <c r="M144" s="54"/>
      <c r="N144" s="54"/>
      <c r="O144" s="54"/>
      <c r="P144" s="54"/>
      <c r="Q144" s="54"/>
      <c r="R144" s="54"/>
      <c r="S144" s="188"/>
      <c r="T144" s="140"/>
      <c r="U144" s="54"/>
    </row>
    <row r="145" spans="4:21" x14ac:dyDescent="0.3">
      <c r="D145" s="62"/>
      <c r="E145" s="53"/>
      <c r="F145" s="53"/>
      <c r="G145" s="53"/>
      <c r="H145" s="118"/>
      <c r="I145" s="141"/>
      <c r="J145" s="53"/>
      <c r="K145" s="53"/>
      <c r="L145" s="141"/>
      <c r="M145" s="53"/>
      <c r="N145" s="53"/>
      <c r="O145" s="53"/>
      <c r="P145" s="53"/>
      <c r="Q145" s="53"/>
      <c r="R145" s="53"/>
      <c r="S145" s="186"/>
      <c r="T145" s="141"/>
      <c r="U145" s="53"/>
    </row>
    <row r="146" spans="4:21" x14ac:dyDescent="0.3">
      <c r="D146" s="69"/>
      <c r="E146" s="54"/>
      <c r="F146" s="54"/>
      <c r="G146" s="54"/>
      <c r="H146" s="119"/>
      <c r="I146" s="140"/>
      <c r="J146" s="54"/>
      <c r="K146" s="54"/>
      <c r="L146" s="140"/>
      <c r="M146" s="54"/>
      <c r="N146" s="54"/>
      <c r="O146" s="54"/>
      <c r="P146" s="54"/>
      <c r="Q146" s="54"/>
      <c r="R146" s="54"/>
      <c r="S146" s="188"/>
      <c r="T146" s="140"/>
      <c r="U146" s="54"/>
    </row>
    <row r="147" spans="4:21" x14ac:dyDescent="0.3">
      <c r="D147" s="62"/>
      <c r="E147" s="53"/>
      <c r="F147" s="53"/>
      <c r="G147" s="53"/>
      <c r="H147" s="118"/>
      <c r="I147" s="141"/>
      <c r="J147" s="53"/>
      <c r="K147" s="53"/>
      <c r="L147" s="141"/>
      <c r="M147" s="53"/>
      <c r="N147" s="53"/>
      <c r="O147" s="53"/>
      <c r="P147" s="53"/>
      <c r="Q147" s="53"/>
      <c r="R147" s="53"/>
      <c r="S147" s="186"/>
      <c r="T147" s="141"/>
      <c r="U147" s="53"/>
    </row>
    <row r="148" spans="4:21" x14ac:dyDescent="0.3">
      <c r="D148" s="69"/>
      <c r="E148" s="54"/>
      <c r="F148" s="54"/>
      <c r="G148" s="54"/>
      <c r="H148" s="119"/>
      <c r="I148" s="140"/>
      <c r="J148" s="54"/>
      <c r="K148" s="54"/>
      <c r="L148" s="140"/>
      <c r="M148" s="54"/>
      <c r="N148" s="54"/>
      <c r="O148" s="54"/>
      <c r="P148" s="54"/>
      <c r="Q148" s="54"/>
      <c r="R148" s="54"/>
      <c r="S148" s="188"/>
      <c r="T148" s="140"/>
      <c r="U148" s="54"/>
    </row>
    <row r="149" spans="4:21" x14ac:dyDescent="0.3">
      <c r="D149" s="62"/>
      <c r="E149" s="53"/>
      <c r="F149" s="53"/>
      <c r="G149" s="53"/>
      <c r="H149" s="118"/>
      <c r="I149" s="141"/>
      <c r="J149" s="53"/>
      <c r="K149" s="53"/>
      <c r="L149" s="141"/>
      <c r="M149" s="53"/>
      <c r="N149" s="53"/>
      <c r="O149" s="53"/>
      <c r="P149" s="53"/>
      <c r="Q149" s="53"/>
      <c r="R149" s="53"/>
      <c r="S149" s="186"/>
      <c r="T149" s="141"/>
      <c r="U149" s="53"/>
    </row>
    <row r="150" spans="4:21" x14ac:dyDescent="0.3">
      <c r="D150" s="69"/>
      <c r="E150" s="54"/>
      <c r="F150" s="54"/>
      <c r="G150" s="54"/>
      <c r="H150" s="119"/>
      <c r="I150" s="140"/>
      <c r="J150" s="54"/>
      <c r="K150" s="54"/>
      <c r="L150" s="140"/>
      <c r="M150" s="54"/>
      <c r="N150" s="54"/>
      <c r="O150" s="54"/>
      <c r="P150" s="54"/>
      <c r="Q150" s="54"/>
      <c r="R150" s="54"/>
      <c r="S150" s="188"/>
      <c r="T150" s="140"/>
      <c r="U150" s="54"/>
    </row>
    <row r="151" spans="4:21" x14ac:dyDescent="0.3">
      <c r="D151" s="62"/>
      <c r="E151" s="53"/>
      <c r="F151" s="53"/>
      <c r="G151" s="53"/>
      <c r="H151" s="118"/>
      <c r="I151" s="141"/>
      <c r="J151" s="53"/>
      <c r="K151" s="53"/>
      <c r="L151" s="141"/>
      <c r="M151" s="53"/>
      <c r="N151" s="53"/>
      <c r="O151" s="53"/>
      <c r="P151" s="53"/>
      <c r="Q151" s="53"/>
      <c r="R151" s="53"/>
      <c r="S151" s="186"/>
      <c r="T151" s="141"/>
      <c r="U151" s="53"/>
    </row>
    <row r="152" spans="4:21" x14ac:dyDescent="0.3">
      <c r="D152" s="69"/>
      <c r="E152" s="54"/>
      <c r="F152" s="54"/>
      <c r="G152" s="54"/>
      <c r="H152" s="119"/>
      <c r="I152" s="140"/>
      <c r="J152" s="54"/>
      <c r="K152" s="54"/>
      <c r="L152" s="140"/>
      <c r="M152" s="54"/>
      <c r="N152" s="54"/>
      <c r="O152" s="54"/>
      <c r="P152" s="54"/>
      <c r="Q152" s="54"/>
      <c r="R152" s="54"/>
      <c r="S152" s="188"/>
      <c r="T152" s="140"/>
      <c r="U152" s="54"/>
    </row>
    <row r="153" spans="4:21" x14ac:dyDescent="0.3">
      <c r="D153" s="62"/>
      <c r="E153" s="53"/>
      <c r="F153" s="53"/>
      <c r="G153" s="53"/>
      <c r="H153" s="118"/>
      <c r="I153" s="141"/>
      <c r="J153" s="53"/>
      <c r="K153" s="53"/>
      <c r="L153" s="141"/>
      <c r="M153" s="53"/>
      <c r="N153" s="53"/>
      <c r="O153" s="53"/>
      <c r="P153" s="53"/>
      <c r="Q153" s="53"/>
      <c r="R153" s="53"/>
      <c r="S153" s="186"/>
      <c r="T153" s="141"/>
      <c r="U153" s="53"/>
    </row>
    <row r="154" spans="4:21" x14ac:dyDescent="0.3">
      <c r="D154" s="69"/>
      <c r="E154" s="54"/>
      <c r="F154" s="54"/>
      <c r="G154" s="54"/>
      <c r="H154" s="119"/>
      <c r="I154" s="140"/>
      <c r="J154" s="54"/>
      <c r="K154" s="54"/>
      <c r="L154" s="140"/>
      <c r="M154" s="54"/>
      <c r="N154" s="54"/>
      <c r="O154" s="54"/>
      <c r="P154" s="54"/>
      <c r="Q154" s="54"/>
      <c r="R154" s="54"/>
      <c r="S154" s="188"/>
      <c r="T154" s="140"/>
      <c r="U154" s="54"/>
    </row>
    <row r="155" spans="4:21" x14ac:dyDescent="0.3">
      <c r="D155" s="62"/>
      <c r="E155" s="53"/>
      <c r="F155" s="53"/>
      <c r="G155" s="53"/>
      <c r="H155" s="118"/>
      <c r="I155" s="141"/>
      <c r="J155" s="53"/>
      <c r="K155" s="53"/>
      <c r="L155" s="141"/>
      <c r="M155" s="53"/>
      <c r="N155" s="53"/>
      <c r="O155" s="53"/>
      <c r="P155" s="53"/>
      <c r="Q155" s="53"/>
      <c r="R155" s="53"/>
      <c r="S155" s="186"/>
      <c r="T155" s="141"/>
      <c r="U155" s="53"/>
    </row>
    <row r="156" spans="4:21" x14ac:dyDescent="0.3">
      <c r="D156" s="69"/>
      <c r="E156" s="54"/>
      <c r="F156" s="54"/>
      <c r="G156" s="54"/>
      <c r="H156" s="119"/>
      <c r="I156" s="140"/>
      <c r="J156" s="54"/>
      <c r="K156" s="54"/>
      <c r="L156" s="140"/>
      <c r="M156" s="54"/>
      <c r="N156" s="54"/>
      <c r="O156" s="54"/>
      <c r="P156" s="54"/>
      <c r="Q156" s="54"/>
      <c r="R156" s="54"/>
      <c r="S156" s="188"/>
      <c r="T156" s="140"/>
      <c r="U156" s="54"/>
    </row>
    <row r="157" spans="4:21" x14ac:dyDescent="0.3">
      <c r="D157" s="62"/>
      <c r="E157" s="53"/>
      <c r="F157" s="53"/>
      <c r="G157" s="53"/>
      <c r="H157" s="118"/>
      <c r="I157" s="141"/>
      <c r="J157" s="53"/>
      <c r="K157" s="53"/>
      <c r="L157" s="141"/>
      <c r="M157" s="53"/>
      <c r="N157" s="53"/>
      <c r="O157" s="53"/>
      <c r="P157" s="53"/>
      <c r="Q157" s="53"/>
      <c r="R157" s="53"/>
      <c r="S157" s="186"/>
      <c r="T157" s="141"/>
      <c r="U157" s="53"/>
    </row>
    <row r="158" spans="4:21" x14ac:dyDescent="0.3">
      <c r="D158" s="69"/>
      <c r="E158" s="54"/>
      <c r="F158" s="54"/>
      <c r="G158" s="54"/>
      <c r="H158" s="119"/>
      <c r="I158" s="140"/>
      <c r="J158" s="54"/>
      <c r="K158" s="54"/>
      <c r="L158" s="140"/>
      <c r="M158" s="54"/>
      <c r="N158" s="54"/>
      <c r="O158" s="54"/>
      <c r="P158" s="54"/>
      <c r="Q158" s="54"/>
      <c r="R158" s="54"/>
      <c r="S158" s="188"/>
      <c r="T158" s="140"/>
      <c r="U158" s="54"/>
    </row>
    <row r="159" spans="4:21" x14ac:dyDescent="0.3">
      <c r="D159" s="62"/>
      <c r="E159" s="53"/>
      <c r="F159" s="53"/>
      <c r="G159" s="53"/>
      <c r="H159" s="118"/>
      <c r="I159" s="141"/>
      <c r="J159" s="53"/>
      <c r="K159" s="53"/>
      <c r="L159" s="141"/>
      <c r="M159" s="53"/>
      <c r="N159" s="53"/>
      <c r="O159" s="53"/>
      <c r="P159" s="53"/>
      <c r="Q159" s="53"/>
      <c r="R159" s="53"/>
      <c r="S159" s="186"/>
      <c r="T159" s="141"/>
      <c r="U159" s="53"/>
    </row>
    <row r="160" spans="4:21" x14ac:dyDescent="0.3">
      <c r="D160" s="69"/>
      <c r="E160" s="54"/>
      <c r="F160" s="54"/>
      <c r="G160" s="54"/>
      <c r="H160" s="119"/>
      <c r="I160" s="140"/>
      <c r="J160" s="54"/>
      <c r="K160" s="54"/>
      <c r="L160" s="140"/>
      <c r="M160" s="54"/>
      <c r="N160" s="54"/>
      <c r="O160" s="54"/>
      <c r="P160" s="54"/>
      <c r="Q160" s="54"/>
      <c r="R160" s="54"/>
      <c r="S160" s="188"/>
      <c r="T160" s="140"/>
      <c r="U160" s="54"/>
    </row>
    <row r="161" spans="4:21" x14ac:dyDescent="0.3">
      <c r="D161" s="62"/>
      <c r="E161" s="53"/>
      <c r="F161" s="53"/>
      <c r="G161" s="53"/>
      <c r="H161" s="118"/>
      <c r="I161" s="141"/>
      <c r="J161" s="53"/>
      <c r="K161" s="53"/>
      <c r="L161" s="141"/>
      <c r="M161" s="53"/>
      <c r="N161" s="53"/>
      <c r="O161" s="53"/>
      <c r="P161" s="53"/>
      <c r="Q161" s="53"/>
      <c r="R161" s="53"/>
      <c r="S161" s="186"/>
      <c r="T161" s="141"/>
      <c r="U161" s="53"/>
    </row>
    <row r="162" spans="4:21" x14ac:dyDescent="0.3">
      <c r="D162" s="69"/>
      <c r="E162" s="54"/>
      <c r="F162" s="54"/>
      <c r="G162" s="54"/>
      <c r="H162" s="119"/>
      <c r="I162" s="140"/>
      <c r="J162" s="54"/>
      <c r="K162" s="54"/>
      <c r="L162" s="140"/>
      <c r="M162" s="54"/>
      <c r="N162" s="54"/>
      <c r="O162" s="54"/>
      <c r="P162" s="54"/>
      <c r="Q162" s="54"/>
      <c r="R162" s="54"/>
      <c r="S162" s="188"/>
      <c r="T162" s="140"/>
      <c r="U162" s="54"/>
    </row>
    <row r="163" spans="4:21" x14ac:dyDescent="0.3">
      <c r="D163" s="62"/>
      <c r="E163" s="53"/>
      <c r="F163" s="53"/>
      <c r="G163" s="53"/>
      <c r="H163" s="118"/>
      <c r="I163" s="141"/>
      <c r="J163" s="53"/>
      <c r="K163" s="53"/>
      <c r="L163" s="141"/>
      <c r="M163" s="53"/>
      <c r="N163" s="53"/>
      <c r="O163" s="53"/>
      <c r="P163" s="53"/>
      <c r="Q163" s="53"/>
      <c r="R163" s="53"/>
      <c r="S163" s="186"/>
      <c r="T163" s="141"/>
      <c r="U163" s="53"/>
    </row>
    <row r="164" spans="4:21" x14ac:dyDescent="0.3">
      <c r="D164" s="69"/>
      <c r="E164" s="54"/>
      <c r="F164" s="54"/>
      <c r="G164" s="54"/>
      <c r="H164" s="119"/>
      <c r="I164" s="140"/>
      <c r="J164" s="54"/>
      <c r="K164" s="54"/>
      <c r="L164" s="140"/>
      <c r="M164" s="54"/>
      <c r="N164" s="54"/>
      <c r="O164" s="54"/>
      <c r="P164" s="54"/>
      <c r="Q164" s="54"/>
      <c r="R164" s="54"/>
      <c r="S164" s="188"/>
      <c r="T164" s="140"/>
      <c r="U164" s="54"/>
    </row>
    <row r="165" spans="4:21" x14ac:dyDescent="0.3">
      <c r="D165" s="62"/>
      <c r="E165" s="53"/>
      <c r="F165" s="53"/>
      <c r="G165" s="53"/>
      <c r="H165" s="118"/>
      <c r="I165" s="141"/>
      <c r="J165" s="53"/>
      <c r="K165" s="53"/>
      <c r="L165" s="141"/>
      <c r="M165" s="53"/>
      <c r="N165" s="53"/>
      <c r="O165" s="53"/>
      <c r="P165" s="53"/>
      <c r="Q165" s="53"/>
      <c r="R165" s="53"/>
      <c r="S165" s="186"/>
      <c r="T165" s="141"/>
      <c r="U165" s="53"/>
    </row>
    <row r="166" spans="4:21" x14ac:dyDescent="0.3">
      <c r="D166" s="69"/>
      <c r="E166" s="54"/>
      <c r="F166" s="54"/>
      <c r="G166" s="54"/>
      <c r="H166" s="119"/>
      <c r="I166" s="140"/>
      <c r="J166" s="54"/>
      <c r="K166" s="54"/>
      <c r="L166" s="140"/>
      <c r="M166" s="54"/>
      <c r="N166" s="54"/>
      <c r="O166" s="54"/>
      <c r="P166" s="54"/>
      <c r="Q166" s="54"/>
      <c r="R166" s="54"/>
      <c r="S166" s="188"/>
      <c r="T166" s="140"/>
      <c r="U166" s="54"/>
    </row>
    <row r="167" spans="4:21" x14ac:dyDescent="0.3">
      <c r="D167" s="62"/>
      <c r="E167" s="53"/>
      <c r="F167" s="53"/>
      <c r="G167" s="53"/>
      <c r="H167" s="118"/>
      <c r="I167" s="141"/>
      <c r="J167" s="53"/>
      <c r="K167" s="53"/>
      <c r="L167" s="141"/>
      <c r="M167" s="53"/>
      <c r="N167" s="53"/>
      <c r="O167" s="53"/>
      <c r="P167" s="53"/>
      <c r="Q167" s="53"/>
      <c r="R167" s="53"/>
      <c r="S167" s="186"/>
      <c r="T167" s="141"/>
      <c r="U167" s="53"/>
    </row>
    <row r="168" spans="4:21" x14ac:dyDescent="0.3">
      <c r="D168" s="69"/>
      <c r="E168" s="54"/>
      <c r="F168" s="54"/>
      <c r="G168" s="54"/>
      <c r="H168" s="119"/>
      <c r="I168" s="140"/>
      <c r="J168" s="54"/>
      <c r="K168" s="54"/>
      <c r="L168" s="140"/>
      <c r="M168" s="54"/>
      <c r="N168" s="54"/>
      <c r="O168" s="54"/>
      <c r="P168" s="54"/>
      <c r="Q168" s="54"/>
      <c r="R168" s="54"/>
      <c r="S168" s="188"/>
      <c r="T168" s="140"/>
      <c r="U168" s="54"/>
    </row>
    <row r="169" spans="4:21" x14ac:dyDescent="0.3">
      <c r="D169" s="62"/>
      <c r="E169" s="53"/>
      <c r="F169" s="53"/>
      <c r="G169" s="53"/>
      <c r="H169" s="118"/>
      <c r="I169" s="141"/>
      <c r="J169" s="53"/>
      <c r="K169" s="53"/>
      <c r="L169" s="141"/>
      <c r="M169" s="53"/>
      <c r="N169" s="53"/>
      <c r="O169" s="53"/>
      <c r="P169" s="53"/>
      <c r="Q169" s="53"/>
      <c r="R169" s="53"/>
      <c r="S169" s="186"/>
      <c r="T169" s="141"/>
      <c r="U169" s="53"/>
    </row>
    <row r="170" spans="4:21" x14ac:dyDescent="0.3">
      <c r="D170" s="69"/>
      <c r="E170" s="54"/>
      <c r="F170" s="54"/>
      <c r="G170" s="54"/>
      <c r="H170" s="119"/>
      <c r="I170" s="140"/>
      <c r="J170" s="54"/>
      <c r="K170" s="54"/>
      <c r="L170" s="140"/>
      <c r="M170" s="54"/>
      <c r="N170" s="54"/>
      <c r="O170" s="54"/>
      <c r="P170" s="54"/>
      <c r="Q170" s="54"/>
      <c r="R170" s="54"/>
      <c r="S170" s="188"/>
      <c r="T170" s="140"/>
      <c r="U170" s="54"/>
    </row>
    <row r="171" spans="4:21" x14ac:dyDescent="0.3">
      <c r="D171" s="62"/>
      <c r="E171" s="53"/>
      <c r="F171" s="53"/>
      <c r="G171" s="53"/>
      <c r="H171" s="118"/>
      <c r="I171" s="141"/>
      <c r="J171" s="53"/>
      <c r="K171" s="53"/>
      <c r="L171" s="141"/>
      <c r="M171" s="53"/>
      <c r="N171" s="53"/>
      <c r="O171" s="53"/>
      <c r="P171" s="53"/>
      <c r="Q171" s="53"/>
      <c r="R171" s="53"/>
      <c r="S171" s="186"/>
      <c r="T171" s="141"/>
      <c r="U171" s="53"/>
    </row>
    <row r="172" spans="4:21" x14ac:dyDescent="0.3">
      <c r="D172" s="69"/>
      <c r="E172" s="54"/>
      <c r="F172" s="54"/>
      <c r="G172" s="54"/>
      <c r="H172" s="119"/>
      <c r="I172" s="140"/>
      <c r="J172" s="54"/>
      <c r="K172" s="54"/>
      <c r="L172" s="140"/>
      <c r="M172" s="54"/>
      <c r="N172" s="54"/>
      <c r="O172" s="54"/>
      <c r="P172" s="54"/>
      <c r="Q172" s="54"/>
      <c r="R172" s="54"/>
      <c r="S172" s="188"/>
      <c r="T172" s="140"/>
      <c r="U172" s="54"/>
    </row>
    <row r="173" spans="4:21" x14ac:dyDescent="0.3">
      <c r="D173" s="62"/>
      <c r="E173" s="53"/>
      <c r="F173" s="53"/>
      <c r="G173" s="53"/>
      <c r="H173" s="118"/>
      <c r="I173" s="141"/>
      <c r="J173" s="53"/>
      <c r="K173" s="53"/>
      <c r="L173" s="141"/>
      <c r="M173" s="53"/>
      <c r="N173" s="53"/>
      <c r="O173" s="53"/>
      <c r="P173" s="53"/>
      <c r="Q173" s="53"/>
      <c r="R173" s="53"/>
      <c r="S173" s="186"/>
      <c r="T173" s="141"/>
      <c r="U173" s="53"/>
    </row>
    <row r="174" spans="4:21" x14ac:dyDescent="0.3">
      <c r="D174" s="69"/>
      <c r="E174" s="54"/>
      <c r="F174" s="54"/>
      <c r="G174" s="54"/>
      <c r="H174" s="119"/>
      <c r="I174" s="140"/>
      <c r="J174" s="54"/>
      <c r="K174" s="54"/>
      <c r="L174" s="140"/>
      <c r="M174" s="54"/>
      <c r="N174" s="54"/>
      <c r="O174" s="54"/>
      <c r="P174" s="54"/>
      <c r="Q174" s="54"/>
      <c r="R174" s="54"/>
      <c r="S174" s="188"/>
      <c r="T174" s="140"/>
      <c r="U174" s="54"/>
    </row>
    <row r="175" spans="4:21" x14ac:dyDescent="0.3">
      <c r="D175" s="62"/>
      <c r="E175" s="53"/>
      <c r="F175" s="53"/>
      <c r="G175" s="53"/>
      <c r="H175" s="118"/>
      <c r="I175" s="141"/>
      <c r="J175" s="53"/>
      <c r="K175" s="53"/>
      <c r="L175" s="141"/>
      <c r="M175" s="53"/>
      <c r="N175" s="53"/>
      <c r="O175" s="53"/>
      <c r="P175" s="53"/>
      <c r="Q175" s="53"/>
      <c r="R175" s="53"/>
      <c r="S175" s="186"/>
      <c r="T175" s="141"/>
      <c r="U175" s="53"/>
    </row>
    <row r="176" spans="4:21" x14ac:dyDescent="0.3">
      <c r="D176" s="69"/>
      <c r="E176" s="54"/>
      <c r="F176" s="54"/>
      <c r="G176" s="54"/>
      <c r="H176" s="119"/>
      <c r="I176" s="140"/>
      <c r="J176" s="54"/>
      <c r="K176" s="54"/>
      <c r="L176" s="140"/>
      <c r="M176" s="54"/>
      <c r="N176" s="54"/>
      <c r="O176" s="54"/>
      <c r="P176" s="54"/>
      <c r="Q176" s="54"/>
      <c r="R176" s="54"/>
      <c r="S176" s="188"/>
      <c r="T176" s="140"/>
      <c r="U176" s="54"/>
    </row>
    <row r="177" spans="4:21" x14ac:dyDescent="0.3">
      <c r="D177" s="62"/>
      <c r="E177" s="53"/>
      <c r="F177" s="53"/>
      <c r="G177" s="53"/>
      <c r="H177" s="118"/>
      <c r="I177" s="141"/>
      <c r="J177" s="53"/>
      <c r="K177" s="53"/>
      <c r="L177" s="141"/>
      <c r="M177" s="53"/>
      <c r="N177" s="53"/>
      <c r="O177" s="53"/>
      <c r="P177" s="53"/>
      <c r="Q177" s="53"/>
      <c r="R177" s="53"/>
      <c r="S177" s="186"/>
      <c r="T177" s="141"/>
      <c r="U177" s="53"/>
    </row>
    <row r="178" spans="4:21" x14ac:dyDescent="0.3">
      <c r="D178" s="69"/>
      <c r="E178" s="54"/>
      <c r="F178" s="54"/>
      <c r="G178" s="54"/>
      <c r="H178" s="119"/>
      <c r="I178" s="140"/>
      <c r="J178" s="54"/>
      <c r="K178" s="54"/>
      <c r="L178" s="140"/>
      <c r="M178" s="54"/>
      <c r="N178" s="54"/>
      <c r="O178" s="54"/>
      <c r="P178" s="54"/>
      <c r="Q178" s="54"/>
      <c r="R178" s="54"/>
      <c r="S178" s="188"/>
      <c r="T178" s="140"/>
      <c r="U178" s="54"/>
    </row>
    <row r="179" spans="4:21" x14ac:dyDescent="0.3">
      <c r="D179" s="62"/>
      <c r="E179" s="53"/>
      <c r="F179" s="53"/>
      <c r="G179" s="53"/>
      <c r="H179" s="118"/>
      <c r="I179" s="141"/>
      <c r="J179" s="53"/>
      <c r="K179" s="53"/>
      <c r="L179" s="141"/>
      <c r="M179" s="53"/>
      <c r="N179" s="53"/>
      <c r="O179" s="53"/>
      <c r="P179" s="53"/>
      <c r="Q179" s="53"/>
      <c r="R179" s="53"/>
      <c r="S179" s="186"/>
      <c r="T179" s="141"/>
      <c r="U179" s="53"/>
    </row>
    <row r="180" spans="4:21" x14ac:dyDescent="0.3">
      <c r="D180" s="69"/>
      <c r="E180" s="54"/>
      <c r="F180" s="54"/>
      <c r="G180" s="54"/>
      <c r="H180" s="119"/>
      <c r="I180" s="140"/>
      <c r="J180" s="54"/>
      <c r="K180" s="54"/>
      <c r="L180" s="140"/>
      <c r="M180" s="54"/>
      <c r="N180" s="54"/>
      <c r="O180" s="54"/>
      <c r="P180" s="54"/>
      <c r="Q180" s="54"/>
      <c r="R180" s="54"/>
      <c r="S180" s="188"/>
      <c r="T180" s="140"/>
      <c r="U180" s="54"/>
    </row>
    <row r="181" spans="4:21" x14ac:dyDescent="0.3">
      <c r="D181" s="62"/>
      <c r="E181" s="53"/>
      <c r="F181" s="53"/>
      <c r="G181" s="53"/>
      <c r="H181" s="118"/>
      <c r="I181" s="141"/>
      <c r="J181" s="53"/>
      <c r="K181" s="53"/>
      <c r="L181" s="141"/>
      <c r="M181" s="53"/>
      <c r="N181" s="53"/>
      <c r="O181" s="53"/>
      <c r="P181" s="53"/>
      <c r="Q181" s="53"/>
      <c r="R181" s="53"/>
      <c r="S181" s="186"/>
      <c r="T181" s="141"/>
      <c r="U181" s="53"/>
    </row>
    <row r="182" spans="4:21" x14ac:dyDescent="0.3">
      <c r="D182" s="69"/>
      <c r="E182" s="54"/>
      <c r="F182" s="54"/>
      <c r="G182" s="54"/>
      <c r="H182" s="119"/>
      <c r="I182" s="140"/>
      <c r="J182" s="54"/>
      <c r="K182" s="54"/>
      <c r="L182" s="140"/>
      <c r="M182" s="54"/>
      <c r="N182" s="54"/>
      <c r="O182" s="54"/>
      <c r="P182" s="54"/>
      <c r="Q182" s="54"/>
      <c r="R182" s="54"/>
      <c r="S182" s="188"/>
      <c r="T182" s="140"/>
      <c r="U182" s="54"/>
    </row>
    <row r="183" spans="4:21" x14ac:dyDescent="0.3">
      <c r="D183" s="62"/>
      <c r="E183" s="53"/>
      <c r="F183" s="53"/>
      <c r="G183" s="53"/>
      <c r="H183" s="118"/>
      <c r="I183" s="141"/>
      <c r="J183" s="53"/>
      <c r="K183" s="53"/>
      <c r="L183" s="141"/>
      <c r="M183" s="53"/>
      <c r="N183" s="53"/>
      <c r="O183" s="53"/>
      <c r="P183" s="53"/>
      <c r="Q183" s="53"/>
      <c r="R183" s="53"/>
      <c r="S183" s="186"/>
      <c r="T183" s="141"/>
      <c r="U183" s="53"/>
    </row>
    <row r="184" spans="4:21" x14ac:dyDescent="0.3">
      <c r="D184" s="69"/>
      <c r="E184" s="54"/>
      <c r="F184" s="54"/>
      <c r="G184" s="54"/>
      <c r="H184" s="119"/>
      <c r="I184" s="140"/>
      <c r="J184" s="54"/>
      <c r="K184" s="54"/>
      <c r="L184" s="140"/>
      <c r="M184" s="54"/>
      <c r="N184" s="54"/>
      <c r="O184" s="54"/>
      <c r="P184" s="54"/>
      <c r="Q184" s="54"/>
      <c r="R184" s="54"/>
      <c r="S184" s="188"/>
      <c r="T184" s="140"/>
      <c r="U184" s="54"/>
    </row>
    <row r="185" spans="4:21" x14ac:dyDescent="0.3">
      <c r="D185" s="62"/>
      <c r="E185" s="53"/>
      <c r="F185" s="53"/>
      <c r="G185" s="53"/>
      <c r="H185" s="118"/>
      <c r="I185" s="141"/>
      <c r="J185" s="53"/>
      <c r="K185" s="53"/>
      <c r="L185" s="141"/>
      <c r="M185" s="53"/>
      <c r="N185" s="53"/>
      <c r="O185" s="53"/>
      <c r="P185" s="53"/>
      <c r="Q185" s="53"/>
      <c r="R185" s="53"/>
      <c r="S185" s="186"/>
      <c r="T185" s="141"/>
      <c r="U185" s="53"/>
    </row>
    <row r="186" spans="4:21" x14ac:dyDescent="0.3">
      <c r="D186" s="69"/>
      <c r="E186" s="54"/>
      <c r="F186" s="54"/>
      <c r="G186" s="54"/>
      <c r="H186" s="119"/>
      <c r="I186" s="140"/>
      <c r="J186" s="54"/>
      <c r="K186" s="54"/>
      <c r="L186" s="140"/>
      <c r="M186" s="54"/>
      <c r="N186" s="54"/>
      <c r="O186" s="54"/>
      <c r="P186" s="54"/>
      <c r="Q186" s="54"/>
      <c r="R186" s="54"/>
      <c r="S186" s="188"/>
      <c r="T186" s="140"/>
      <c r="U186" s="54"/>
    </row>
    <row r="187" spans="4:21" x14ac:dyDescent="0.3">
      <c r="D187" s="62"/>
      <c r="E187" s="53"/>
      <c r="F187" s="53"/>
      <c r="G187" s="53"/>
      <c r="H187" s="118"/>
      <c r="I187" s="141"/>
      <c r="J187" s="53"/>
      <c r="K187" s="53"/>
      <c r="L187" s="141"/>
      <c r="M187" s="53"/>
      <c r="N187" s="53"/>
      <c r="O187" s="53"/>
      <c r="P187" s="53"/>
      <c r="Q187" s="53"/>
      <c r="R187" s="53"/>
      <c r="S187" s="186"/>
      <c r="T187" s="141"/>
      <c r="U187" s="53"/>
    </row>
    <row r="188" spans="4:21" x14ac:dyDescent="0.3">
      <c r="D188" s="69"/>
      <c r="E188" s="54"/>
      <c r="F188" s="54"/>
      <c r="G188" s="54"/>
      <c r="H188" s="119"/>
      <c r="I188" s="140"/>
      <c r="J188" s="54"/>
      <c r="K188" s="54"/>
      <c r="L188" s="140"/>
      <c r="M188" s="54"/>
      <c r="N188" s="54"/>
      <c r="O188" s="54"/>
      <c r="P188" s="54"/>
      <c r="Q188" s="54"/>
      <c r="R188" s="54"/>
      <c r="S188" s="188"/>
      <c r="T188" s="140"/>
      <c r="U188" s="54"/>
    </row>
    <row r="189" spans="4:21" x14ac:dyDescent="0.3">
      <c r="D189" s="62"/>
      <c r="E189" s="53"/>
      <c r="F189" s="53"/>
      <c r="G189" s="53"/>
      <c r="H189" s="118"/>
      <c r="I189" s="141"/>
      <c r="J189" s="53"/>
      <c r="K189" s="53"/>
      <c r="L189" s="141"/>
      <c r="M189" s="53"/>
      <c r="N189" s="53"/>
      <c r="O189" s="53"/>
      <c r="P189" s="53"/>
      <c r="Q189" s="53"/>
      <c r="R189" s="53"/>
      <c r="S189" s="186"/>
      <c r="T189" s="141"/>
      <c r="U189" s="53"/>
    </row>
    <row r="190" spans="4:21" x14ac:dyDescent="0.3">
      <c r="D190" s="69"/>
      <c r="E190" s="54"/>
      <c r="F190" s="54"/>
      <c r="G190" s="54"/>
      <c r="H190" s="119"/>
      <c r="I190" s="140"/>
      <c r="J190" s="54"/>
      <c r="K190" s="54"/>
      <c r="L190" s="140"/>
      <c r="M190" s="54"/>
      <c r="N190" s="54"/>
      <c r="O190" s="54"/>
      <c r="P190" s="54"/>
      <c r="Q190" s="54"/>
      <c r="R190" s="54"/>
      <c r="S190" s="188"/>
      <c r="T190" s="140"/>
      <c r="U190" s="54"/>
    </row>
    <row r="191" spans="4:21" x14ac:dyDescent="0.3">
      <c r="D191" s="62"/>
      <c r="E191" s="53"/>
      <c r="F191" s="53"/>
      <c r="G191" s="53"/>
      <c r="H191" s="118"/>
      <c r="I191" s="141"/>
      <c r="J191" s="53"/>
      <c r="K191" s="53"/>
      <c r="L191" s="141"/>
      <c r="M191" s="53"/>
      <c r="N191" s="53"/>
      <c r="O191" s="53"/>
      <c r="P191" s="53"/>
      <c r="Q191" s="53"/>
      <c r="R191" s="53"/>
      <c r="S191" s="186"/>
      <c r="T191" s="141"/>
      <c r="U191" s="53"/>
    </row>
    <row r="192" spans="4:21" x14ac:dyDescent="0.3">
      <c r="D192" s="69"/>
      <c r="E192" s="54"/>
      <c r="F192" s="54"/>
      <c r="G192" s="54"/>
      <c r="H192" s="119"/>
      <c r="I192" s="140"/>
      <c r="J192" s="54"/>
      <c r="K192" s="54"/>
      <c r="L192" s="140"/>
      <c r="M192" s="54"/>
      <c r="N192" s="54"/>
      <c r="O192" s="54"/>
      <c r="P192" s="54"/>
      <c r="Q192" s="54"/>
      <c r="R192" s="54"/>
      <c r="S192" s="188"/>
      <c r="T192" s="140"/>
      <c r="U192" s="54"/>
    </row>
    <row r="193" spans="4:21" x14ac:dyDescent="0.3">
      <c r="D193" s="62"/>
      <c r="E193" s="53"/>
      <c r="F193" s="53"/>
      <c r="G193" s="53"/>
      <c r="H193" s="118"/>
      <c r="I193" s="141"/>
      <c r="J193" s="53"/>
      <c r="K193" s="53"/>
      <c r="L193" s="141"/>
      <c r="M193" s="53"/>
      <c r="N193" s="53"/>
      <c r="O193" s="53"/>
      <c r="P193" s="53"/>
      <c r="Q193" s="53"/>
      <c r="R193" s="53"/>
      <c r="S193" s="186"/>
      <c r="T193" s="141"/>
      <c r="U193" s="53"/>
    </row>
    <row r="194" spans="4:21" x14ac:dyDescent="0.3">
      <c r="D194" s="69"/>
      <c r="E194" s="54"/>
      <c r="F194" s="54"/>
      <c r="G194" s="54"/>
      <c r="H194" s="119"/>
      <c r="I194" s="140"/>
      <c r="J194" s="54"/>
      <c r="K194" s="54"/>
      <c r="L194" s="140"/>
      <c r="M194" s="54"/>
      <c r="N194" s="54"/>
      <c r="O194" s="54"/>
      <c r="P194" s="54"/>
      <c r="Q194" s="54"/>
      <c r="R194" s="54"/>
      <c r="S194" s="188"/>
      <c r="T194" s="140"/>
      <c r="U194" s="54"/>
    </row>
    <row r="195" spans="4:21" x14ac:dyDescent="0.3">
      <c r="D195" s="62"/>
      <c r="E195" s="53"/>
      <c r="F195" s="53"/>
      <c r="G195" s="53"/>
      <c r="H195" s="118"/>
      <c r="I195" s="141"/>
      <c r="J195" s="53"/>
      <c r="K195" s="53"/>
      <c r="L195" s="141"/>
      <c r="M195" s="53"/>
      <c r="N195" s="53"/>
      <c r="O195" s="53"/>
      <c r="P195" s="53"/>
      <c r="Q195" s="53"/>
      <c r="R195" s="53"/>
      <c r="S195" s="186"/>
      <c r="T195" s="141"/>
      <c r="U195" s="53"/>
    </row>
    <row r="196" spans="4:21" x14ac:dyDescent="0.3">
      <c r="D196" s="69"/>
      <c r="E196" s="54"/>
      <c r="F196" s="54"/>
      <c r="G196" s="54"/>
      <c r="H196" s="119"/>
      <c r="I196" s="140"/>
      <c r="J196" s="54"/>
      <c r="K196" s="54"/>
      <c r="L196" s="140"/>
      <c r="M196" s="54"/>
      <c r="N196" s="54"/>
      <c r="O196" s="54"/>
      <c r="P196" s="54"/>
      <c r="Q196" s="54"/>
      <c r="R196" s="54"/>
      <c r="S196" s="188"/>
      <c r="T196" s="140"/>
      <c r="U196" s="54"/>
    </row>
    <row r="197" spans="4:21" x14ac:dyDescent="0.3">
      <c r="D197" s="62"/>
      <c r="E197" s="53"/>
      <c r="F197" s="53"/>
      <c r="G197" s="53"/>
      <c r="H197" s="118"/>
      <c r="I197" s="141"/>
      <c r="J197" s="53"/>
      <c r="K197" s="53"/>
      <c r="L197" s="141"/>
      <c r="M197" s="53"/>
      <c r="N197" s="53"/>
      <c r="O197" s="53"/>
      <c r="P197" s="53"/>
      <c r="Q197" s="53"/>
      <c r="R197" s="53"/>
      <c r="S197" s="186"/>
      <c r="T197" s="141"/>
      <c r="U197" s="53"/>
    </row>
    <row r="198" spans="4:21" x14ac:dyDescent="0.3">
      <c r="D198" s="69"/>
      <c r="E198" s="54"/>
      <c r="F198" s="54"/>
      <c r="G198" s="54"/>
      <c r="H198" s="119"/>
      <c r="I198" s="140"/>
      <c r="J198" s="54"/>
      <c r="K198" s="54"/>
      <c r="L198" s="140"/>
      <c r="M198" s="54"/>
      <c r="N198" s="54"/>
      <c r="O198" s="54"/>
      <c r="P198" s="54"/>
      <c r="Q198" s="54"/>
      <c r="R198" s="54"/>
      <c r="S198" s="188"/>
      <c r="T198" s="140"/>
      <c r="U198" s="54"/>
    </row>
    <row r="199" spans="4:21" x14ac:dyDescent="0.3">
      <c r="D199" s="62"/>
      <c r="E199" s="53"/>
      <c r="F199" s="53"/>
      <c r="G199" s="53"/>
      <c r="H199" s="118"/>
      <c r="I199" s="141"/>
      <c r="J199" s="53"/>
      <c r="K199" s="53"/>
      <c r="L199" s="141"/>
      <c r="M199" s="53"/>
      <c r="N199" s="53"/>
      <c r="O199" s="53"/>
      <c r="P199" s="53"/>
      <c r="Q199" s="53"/>
      <c r="R199" s="53"/>
      <c r="S199" s="186"/>
      <c r="T199" s="141"/>
      <c r="U199" s="53"/>
    </row>
    <row r="200" spans="4:21" x14ac:dyDescent="0.3">
      <c r="D200" s="83"/>
      <c r="E200" s="52"/>
      <c r="F200" s="52"/>
      <c r="G200" s="52"/>
      <c r="H200" s="120"/>
      <c r="I200" s="142"/>
      <c r="J200" s="52"/>
      <c r="K200" s="52"/>
      <c r="L200" s="142"/>
      <c r="M200" s="52"/>
      <c r="N200" s="52"/>
      <c r="O200" s="52"/>
      <c r="P200" s="52"/>
      <c r="Q200" s="52"/>
      <c r="R200" s="52"/>
      <c r="S200" s="189"/>
      <c r="T200" s="142"/>
      <c r="U200" s="52"/>
    </row>
    <row r="201" spans="4:21" x14ac:dyDescent="0.3"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</row>
    <row r="202" spans="4:21" x14ac:dyDescent="0.3">
      <c r="D202" s="79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</row>
  </sheetData>
  <mergeCells count="13">
    <mergeCell ref="P1:R1"/>
    <mergeCell ref="A18:B18"/>
    <mergeCell ref="A12:B12"/>
    <mergeCell ref="A13:B13"/>
    <mergeCell ref="A14:B14"/>
    <mergeCell ref="A15:B15"/>
    <mergeCell ref="A16:B16"/>
    <mergeCell ref="A17:B17"/>
    <mergeCell ref="A6:B6"/>
    <mergeCell ref="A1:B1"/>
    <mergeCell ref="D1:F1"/>
    <mergeCell ref="H1:J1"/>
    <mergeCell ref="M1:O1"/>
  </mergeCells>
  <dataValidations count="2">
    <dataValidation type="list" allowBlank="1" showInputMessage="1" showErrorMessage="1" sqref="B7" xr:uid="{6BB25B35-A666-4B0E-8E21-5A91FDC3A674}">
      <formula1>"All,January,February,March,April,May,June,July,August,September,October,November,December"</formula1>
    </dataValidation>
    <dataValidation type="custom" allowBlank="1" showInputMessage="1" showErrorMessage="1" errorTitle="invalid number entered" error="Please enter a number with 10 digits" sqref="I3:I14" xr:uid="{D711D37E-FE3D-440D-9250-E852C427DCEE}">
      <formula1>AND(LEN(I3)=10,ISNUMBER(--I3))</formula1>
    </dataValidation>
  </dataValidations>
  <hyperlinks>
    <hyperlink ref="A13" location="Home!A1" display="Home" xr:uid="{5CB1659E-3599-4D04-9D4F-076E37F7A427}"/>
    <hyperlink ref="A14:B14" location="Enrollment!A1" display="Enrollment" xr:uid="{F2A18F02-1538-4CE6-B135-EF7F1ACDA716}"/>
    <hyperlink ref="A15:B15" location="Attendance!A1" display="Attendance" xr:uid="{1E3A49C5-9698-4651-964C-FE9909835E9E}"/>
    <hyperlink ref="A16:B16" location="Teachers!A1" display="Teachers" xr:uid="{E20ABE6F-5B3A-4509-9570-7E6B4DED055B}"/>
    <hyperlink ref="A17:B17" location="Classes!A1" display="Classes" xr:uid="{59BB7E08-D52D-4E30-93C8-36C1607FC45E}"/>
    <hyperlink ref="A18:B18" location="Monthly_Report!A1" display="Monthly report" xr:uid="{17E7FA54-9C7D-4778-96E6-5BB7463EA78D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E6B61D-987C-41ED-B616-DE0BF4E164FD}">
          <x14:formula1>
            <xm:f>Classes!$A$3:$A$23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F6D4F-3D07-4699-AA5E-4B0147353410}">
  <sheetPr codeName="Sheet18"/>
  <dimension ref="A1:BK2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B18"/>
    </sheetView>
  </sheetViews>
  <sheetFormatPr defaultRowHeight="14.4" x14ac:dyDescent="0.3"/>
  <cols>
    <col min="1" max="1" width="22.44140625" customWidth="1"/>
    <col min="2" max="2" width="16.33203125" customWidth="1"/>
    <col min="4" max="4" width="17.77734375" customWidth="1"/>
    <col min="5" max="5" width="16.21875" customWidth="1"/>
    <col min="6" max="7" width="14.5546875" customWidth="1"/>
    <col min="8" max="8" width="12.44140625" customWidth="1"/>
    <col min="9" max="9" width="16.6640625" customWidth="1"/>
    <col min="10" max="10" width="10.77734375" customWidth="1"/>
    <col min="11" max="11" width="18.109375" customWidth="1"/>
    <col min="12" max="12" width="13.77734375" customWidth="1"/>
    <col min="13" max="18" width="12.33203125" customWidth="1"/>
    <col min="19" max="19" width="18.88671875" customWidth="1"/>
    <col min="20" max="20" width="20.21875" customWidth="1"/>
    <col min="21" max="21" width="23.33203125" customWidth="1"/>
    <col min="22" max="60" width="12.33203125" customWidth="1"/>
  </cols>
  <sheetData>
    <row r="1" spans="1:63" ht="15.6" customHeight="1" x14ac:dyDescent="0.3">
      <c r="A1" s="310" t="s">
        <v>105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 t="str">
        <f>Teachers!A8</f>
        <v>T-007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str">
        <f>_xlfn.XLOOKUP(B2, teachers_table[*Teacher ID], teachers_table[*Teacher Name])</f>
        <v>Ali Sina Nayab</v>
      </c>
      <c r="C3" s="26"/>
      <c r="D3" s="62" t="str" cm="1">
        <f t="array" ref="D3:U3">IF(B7 = "All", _xlfn._xlws.FILTER(enrollment_table[], enrollment_table[*Teacher Name] = T_Nayab!B3, "No Students Found"), _xlfn._xlws.FILTER(enrollment_table[], (enrollment_table[*Teacher Name] = T_Nayab!B3 ) * (enrollment_table[Enrollment Month] = B7), "No Students Found"))</f>
        <v>h</v>
      </c>
      <c r="E3" s="53" t="str">
        <v>h</v>
      </c>
      <c r="F3" s="53" t="str">
        <v>ICDL</v>
      </c>
      <c r="G3" s="131" t="str">
        <v>7 - 4 PM</v>
      </c>
      <c r="H3" s="115">
        <v>1500</v>
      </c>
      <c r="I3" s="64" t="str">
        <v>0378899994</v>
      </c>
      <c r="J3" s="183" t="str">
        <v>female</v>
      </c>
      <c r="K3" s="183" t="str">
        <v>Ali Sina Nayab</v>
      </c>
      <c r="L3" s="64" t="str">
        <v>T-007</v>
      </c>
      <c r="M3" s="64">
        <v>0</v>
      </c>
      <c r="N3" s="64">
        <v>0</v>
      </c>
      <c r="O3" s="64">
        <v>0</v>
      </c>
      <c r="P3" s="64">
        <v>0</v>
      </c>
      <c r="Q3" s="64">
        <v>0</v>
      </c>
      <c r="R3" s="64">
        <v>0</v>
      </c>
      <c r="S3" s="177">
        <v>46272</v>
      </c>
      <c r="T3" s="64" t="str">
        <v>September</v>
      </c>
      <c r="U3" s="183">
        <v>0</v>
      </c>
    </row>
    <row r="4" spans="1:63" ht="15.6" customHeight="1" x14ac:dyDescent="0.3">
      <c r="A4" s="88" t="s">
        <v>29</v>
      </c>
      <c r="B4" s="87">
        <f>_xlfn.XLOOKUP(B2, teachers_table[*Teacher ID], teachers_table[*Income Rate])</f>
        <v>0.3</v>
      </c>
      <c r="C4" s="27"/>
      <c r="D4" s="69"/>
      <c r="E4" s="54"/>
      <c r="F4" s="54"/>
      <c r="G4" s="70"/>
      <c r="H4" s="114"/>
      <c r="I4" s="71"/>
      <c r="J4" s="37"/>
      <c r="K4" s="54"/>
      <c r="L4" s="145"/>
      <c r="M4" s="54"/>
      <c r="N4" s="54"/>
      <c r="O4" s="54"/>
      <c r="P4" s="54"/>
      <c r="Q4" s="54"/>
      <c r="R4" s="54"/>
      <c r="S4" s="185"/>
      <c r="T4" s="72"/>
      <c r="U4" s="54"/>
    </row>
    <row r="5" spans="1:63" ht="15.6" customHeight="1" x14ac:dyDescent="0.3">
      <c r="C5" s="28"/>
      <c r="D5" s="62"/>
      <c r="E5" s="53"/>
      <c r="F5" s="53"/>
      <c r="G5" s="63"/>
      <c r="H5" s="115"/>
      <c r="I5" s="65"/>
      <c r="J5" s="66"/>
      <c r="K5" s="53"/>
      <c r="L5" s="141"/>
      <c r="M5" s="53"/>
      <c r="N5" s="53"/>
      <c r="O5" s="53"/>
      <c r="P5" s="53"/>
      <c r="Q5" s="53"/>
      <c r="R5" s="53"/>
      <c r="S5" s="177"/>
      <c r="T5" s="68"/>
      <c r="U5" s="53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70"/>
      <c r="H6" s="116"/>
      <c r="I6" s="71"/>
      <c r="J6" s="37"/>
      <c r="K6" s="54"/>
      <c r="L6" s="140"/>
      <c r="M6" s="54"/>
      <c r="N6" s="54"/>
      <c r="O6" s="54"/>
      <c r="P6" s="54"/>
      <c r="Q6" s="54"/>
      <c r="R6" s="54"/>
      <c r="S6" s="185"/>
      <c r="T6" s="72"/>
      <c r="U6" s="54"/>
    </row>
    <row r="7" spans="1:63" ht="15.6" customHeight="1" x14ac:dyDescent="0.3">
      <c r="A7" s="47" t="s">
        <v>157</v>
      </c>
      <c r="B7" s="24" t="s">
        <v>162</v>
      </c>
      <c r="D7" s="62"/>
      <c r="E7" s="53"/>
      <c r="F7" s="53"/>
      <c r="G7" s="63"/>
      <c r="H7" s="117"/>
      <c r="I7" s="65"/>
      <c r="J7" s="66"/>
      <c r="K7" s="53"/>
      <c r="L7" s="141"/>
      <c r="M7" s="53"/>
      <c r="N7" s="53"/>
      <c r="O7" s="53"/>
      <c r="P7" s="53"/>
      <c r="Q7" s="53"/>
      <c r="R7" s="53"/>
      <c r="S7" s="177"/>
      <c r="T7" s="68"/>
      <c r="U7" s="53"/>
    </row>
    <row r="8" spans="1:63" ht="15.6" customHeight="1" x14ac:dyDescent="0.3">
      <c r="A8" s="84" t="s">
        <v>52</v>
      </c>
      <c r="B8" s="86">
        <f>IF(D3 = "No Students Found", 0, COUNTA(D3:D200))</f>
        <v>1</v>
      </c>
      <c r="C8" s="30"/>
      <c r="D8" s="69"/>
      <c r="E8" s="54"/>
      <c r="F8" s="54"/>
      <c r="G8" s="70"/>
      <c r="H8" s="116"/>
      <c r="I8" s="71"/>
      <c r="J8" s="37"/>
      <c r="K8" s="54"/>
      <c r="L8" s="140"/>
      <c r="M8" s="54"/>
      <c r="N8" s="54"/>
      <c r="O8" s="54"/>
      <c r="P8" s="54"/>
      <c r="Q8" s="54"/>
      <c r="R8" s="54"/>
      <c r="S8" s="185"/>
      <c r="T8" s="72"/>
      <c r="U8" s="54"/>
    </row>
    <row r="9" spans="1:63" ht="15.6" customHeight="1" x14ac:dyDescent="0.3">
      <c r="A9" s="47" t="s">
        <v>106</v>
      </c>
      <c r="B9" s="156">
        <f>SUM(H3:H200)</f>
        <v>1500</v>
      </c>
      <c r="C9" s="31"/>
      <c r="D9" s="62"/>
      <c r="E9" s="53"/>
      <c r="F9" s="53"/>
      <c r="G9" s="63"/>
      <c r="H9" s="117"/>
      <c r="I9" s="65"/>
      <c r="J9" s="66"/>
      <c r="K9" s="53"/>
      <c r="L9" s="141"/>
      <c r="M9" s="53"/>
      <c r="N9" s="53"/>
      <c r="O9" s="53"/>
      <c r="P9" s="53"/>
      <c r="Q9" s="53"/>
      <c r="R9" s="53"/>
      <c r="S9" s="177"/>
      <c r="T9" s="68"/>
      <c r="U9" s="53"/>
    </row>
    <row r="10" spans="1:63" ht="15.6" customHeight="1" x14ac:dyDescent="0.3">
      <c r="A10" s="85" t="s">
        <v>44</v>
      </c>
      <c r="B10" s="155">
        <f>B9*B4</f>
        <v>450</v>
      </c>
      <c r="C10" s="31"/>
      <c r="D10" s="69"/>
      <c r="E10" s="54"/>
      <c r="F10" s="54"/>
      <c r="G10" s="54"/>
      <c r="H10" s="116"/>
      <c r="I10" s="71"/>
      <c r="J10" s="37"/>
      <c r="K10" s="54"/>
      <c r="L10" s="140"/>
      <c r="M10" s="54"/>
      <c r="N10" s="54"/>
      <c r="O10" s="54"/>
      <c r="P10" s="54"/>
      <c r="Q10" s="54"/>
      <c r="R10" s="54"/>
      <c r="S10" s="185"/>
      <c r="T10" s="72"/>
      <c r="U10" s="54"/>
    </row>
    <row r="11" spans="1:63" ht="15.6" customHeight="1" x14ac:dyDescent="0.3">
      <c r="B11" s="7"/>
      <c r="C11" s="31"/>
      <c r="D11" s="62"/>
      <c r="E11" s="53"/>
      <c r="F11" s="53"/>
      <c r="G11" s="53"/>
      <c r="H11" s="117"/>
      <c r="I11" s="65"/>
      <c r="J11" s="66"/>
      <c r="K11" s="53"/>
      <c r="L11" s="141"/>
      <c r="M11" s="53"/>
      <c r="N11" s="53"/>
      <c r="O11" s="53"/>
      <c r="P11" s="53"/>
      <c r="Q11" s="53"/>
      <c r="R11" s="53"/>
      <c r="S11" s="177"/>
      <c r="T11" s="68"/>
      <c r="U11" s="53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54"/>
      <c r="H12" s="116"/>
      <c r="I12" s="71"/>
      <c r="J12" s="37"/>
      <c r="K12" s="54"/>
      <c r="L12" s="140"/>
      <c r="M12" s="54"/>
      <c r="N12" s="54"/>
      <c r="O12" s="54"/>
      <c r="P12" s="54"/>
      <c r="Q12" s="54"/>
      <c r="R12" s="54"/>
      <c r="S12" s="185"/>
      <c r="T12" s="72"/>
      <c r="U12" s="5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53"/>
      <c r="H13" s="117"/>
      <c r="I13" s="65"/>
      <c r="J13" s="66"/>
      <c r="K13" s="53"/>
      <c r="L13" s="141"/>
      <c r="M13" s="53"/>
      <c r="N13" s="53"/>
      <c r="O13" s="53"/>
      <c r="P13" s="53"/>
      <c r="Q13" s="53"/>
      <c r="R13" s="53"/>
      <c r="S13" s="177"/>
      <c r="T13" s="68"/>
      <c r="U13" s="53"/>
    </row>
    <row r="14" spans="1:63" ht="15.6" customHeight="1" x14ac:dyDescent="0.3">
      <c r="A14" s="307" t="s">
        <v>104</v>
      </c>
      <c r="B14" s="307"/>
      <c r="D14" s="69"/>
      <c r="E14" s="54"/>
      <c r="F14" s="54"/>
      <c r="G14" s="54"/>
      <c r="H14" s="116"/>
      <c r="I14" s="71"/>
      <c r="J14" s="37"/>
      <c r="K14" s="54"/>
      <c r="L14" s="140"/>
      <c r="M14" s="54"/>
      <c r="N14" s="54"/>
      <c r="O14" s="54"/>
      <c r="P14" s="54"/>
      <c r="Q14" s="54"/>
      <c r="R14" s="54"/>
      <c r="S14" s="185"/>
      <c r="T14" s="72"/>
      <c r="U14" s="5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53"/>
      <c r="H15" s="118"/>
      <c r="I15" s="141"/>
      <c r="J15" s="53"/>
      <c r="K15" s="53"/>
      <c r="L15" s="141"/>
      <c r="M15" s="53"/>
      <c r="N15" s="53"/>
      <c r="O15" s="53"/>
      <c r="P15" s="53"/>
      <c r="Q15" s="53"/>
      <c r="R15" s="53"/>
      <c r="S15" s="186"/>
      <c r="T15" s="141"/>
      <c r="U15" s="53"/>
    </row>
    <row r="16" spans="1:63" ht="15.6" customHeight="1" x14ac:dyDescent="0.3">
      <c r="A16" s="307" t="s">
        <v>57</v>
      </c>
      <c r="B16" s="307"/>
      <c r="D16" s="69"/>
      <c r="E16" s="54"/>
      <c r="F16" s="54"/>
      <c r="G16" s="54"/>
      <c r="H16" s="119"/>
      <c r="I16" s="140"/>
      <c r="J16" s="54"/>
      <c r="K16" s="54"/>
      <c r="L16" s="140"/>
      <c r="M16" s="54"/>
      <c r="N16" s="54"/>
      <c r="O16" s="54"/>
      <c r="P16" s="54"/>
      <c r="Q16" s="54"/>
      <c r="R16" s="54"/>
      <c r="S16" s="188"/>
      <c r="T16" s="140"/>
      <c r="U16" s="54"/>
    </row>
    <row r="17" spans="1:21" ht="15.6" customHeight="1" x14ac:dyDescent="0.3">
      <c r="A17" s="308" t="s">
        <v>58</v>
      </c>
      <c r="B17" s="308"/>
      <c r="D17" s="62"/>
      <c r="E17" s="53"/>
      <c r="F17" s="53"/>
      <c r="G17" s="53"/>
      <c r="H17" s="118"/>
      <c r="I17" s="141"/>
      <c r="J17" s="53"/>
      <c r="K17" s="53"/>
      <c r="L17" s="141"/>
      <c r="M17" s="53"/>
      <c r="N17" s="53"/>
      <c r="O17" s="53"/>
      <c r="P17" s="53"/>
      <c r="Q17" s="53"/>
      <c r="R17" s="53"/>
      <c r="S17" s="186"/>
      <c r="T17" s="141"/>
      <c r="U17" s="53"/>
    </row>
    <row r="18" spans="1:21" ht="15.6" customHeight="1" x14ac:dyDescent="0.3">
      <c r="A18" s="309" t="s">
        <v>124</v>
      </c>
      <c r="B18" s="309"/>
      <c r="D18" s="69"/>
      <c r="E18" s="54"/>
      <c r="F18" s="54"/>
      <c r="G18" s="54"/>
      <c r="H18" s="119"/>
      <c r="I18" s="140"/>
      <c r="J18" s="54"/>
      <c r="K18" s="54"/>
      <c r="L18" s="140"/>
      <c r="M18" s="54"/>
      <c r="N18" s="54"/>
      <c r="O18" s="54"/>
      <c r="P18" s="54"/>
      <c r="Q18" s="54"/>
      <c r="R18" s="54"/>
      <c r="S18" s="188"/>
      <c r="T18" s="140"/>
      <c r="U18" s="54"/>
    </row>
    <row r="19" spans="1:21" ht="15.6" customHeight="1" x14ac:dyDescent="0.3">
      <c r="D19" s="62"/>
      <c r="E19" s="53"/>
      <c r="F19" s="53"/>
      <c r="G19" s="53"/>
      <c r="H19" s="118"/>
      <c r="I19" s="141"/>
      <c r="J19" s="53"/>
      <c r="K19" s="53"/>
      <c r="L19" s="141"/>
      <c r="M19" s="53"/>
      <c r="N19" s="53"/>
      <c r="O19" s="53"/>
      <c r="P19" s="53"/>
      <c r="Q19" s="53"/>
      <c r="R19" s="53"/>
      <c r="S19" s="186"/>
      <c r="T19" s="141"/>
      <c r="U19" s="53"/>
    </row>
    <row r="20" spans="1:21" ht="15.6" customHeight="1" x14ac:dyDescent="0.3">
      <c r="D20" s="69"/>
      <c r="E20" s="54"/>
      <c r="F20" s="54"/>
      <c r="G20" s="54"/>
      <c r="H20" s="119"/>
      <c r="I20" s="140"/>
      <c r="J20" s="54"/>
      <c r="K20" s="54"/>
      <c r="L20" s="140"/>
      <c r="M20" s="54"/>
      <c r="N20" s="54"/>
      <c r="O20" s="54"/>
      <c r="P20" s="54"/>
      <c r="Q20" s="54"/>
      <c r="R20" s="54"/>
      <c r="S20" s="188"/>
      <c r="T20" s="140"/>
      <c r="U20" s="54"/>
    </row>
    <row r="21" spans="1:21" ht="15.6" customHeight="1" x14ac:dyDescent="0.3">
      <c r="D21" s="62"/>
      <c r="E21" s="53"/>
      <c r="F21" s="53"/>
      <c r="G21" s="53"/>
      <c r="H21" s="118"/>
      <c r="I21" s="141"/>
      <c r="J21" s="53"/>
      <c r="K21" s="53"/>
      <c r="L21" s="141"/>
      <c r="M21" s="53"/>
      <c r="N21" s="53"/>
      <c r="O21" s="53"/>
      <c r="P21" s="53"/>
      <c r="Q21" s="53"/>
      <c r="R21" s="53"/>
      <c r="S21" s="186"/>
      <c r="T21" s="141"/>
      <c r="U21" s="53"/>
    </row>
    <row r="22" spans="1:21" ht="15.6" customHeight="1" x14ac:dyDescent="0.3">
      <c r="D22" s="69"/>
      <c r="E22" s="54"/>
      <c r="F22" s="54"/>
      <c r="G22" s="54"/>
      <c r="H22" s="119"/>
      <c r="I22" s="140"/>
      <c r="J22" s="54"/>
      <c r="K22" s="54"/>
      <c r="L22" s="140"/>
      <c r="M22" s="54"/>
      <c r="N22" s="54"/>
      <c r="O22" s="54"/>
      <c r="P22" s="54"/>
      <c r="Q22" s="54"/>
      <c r="R22" s="54"/>
      <c r="S22" s="188"/>
      <c r="T22" s="140"/>
      <c r="U22" s="54"/>
    </row>
    <row r="23" spans="1:21" ht="15.6" customHeight="1" x14ac:dyDescent="0.3">
      <c r="D23" s="62"/>
      <c r="E23" s="53"/>
      <c r="F23" s="53"/>
      <c r="G23" s="53"/>
      <c r="H23" s="118"/>
      <c r="I23" s="141"/>
      <c r="J23" s="53"/>
      <c r="K23" s="53"/>
      <c r="L23" s="141"/>
      <c r="M23" s="53"/>
      <c r="N23" s="53"/>
      <c r="O23" s="53"/>
      <c r="P23" s="53"/>
      <c r="Q23" s="53"/>
      <c r="R23" s="53"/>
      <c r="S23" s="186"/>
      <c r="T23" s="141"/>
      <c r="U23" s="53"/>
    </row>
    <row r="24" spans="1:21" ht="15.6" customHeight="1" x14ac:dyDescent="0.3">
      <c r="D24" s="69"/>
      <c r="E24" s="54"/>
      <c r="F24" s="54"/>
      <c r="G24" s="54"/>
      <c r="H24" s="119"/>
      <c r="I24" s="140"/>
      <c r="J24" s="54"/>
      <c r="K24" s="54"/>
      <c r="L24" s="140"/>
      <c r="M24" s="54"/>
      <c r="N24" s="54"/>
      <c r="O24" s="54"/>
      <c r="P24" s="54"/>
      <c r="Q24" s="54"/>
      <c r="R24" s="54"/>
      <c r="S24" s="188"/>
      <c r="T24" s="140"/>
      <c r="U24" s="54"/>
    </row>
    <row r="25" spans="1:21" x14ac:dyDescent="0.3">
      <c r="D25" s="62"/>
      <c r="E25" s="53"/>
      <c r="F25" s="53"/>
      <c r="G25" s="53"/>
      <c r="H25" s="118"/>
      <c r="I25" s="141"/>
      <c r="J25" s="53"/>
      <c r="K25" s="53"/>
      <c r="L25" s="141"/>
      <c r="M25" s="53"/>
      <c r="N25" s="53"/>
      <c r="O25" s="53"/>
      <c r="P25" s="53"/>
      <c r="Q25" s="53"/>
      <c r="R25" s="53"/>
      <c r="S25" s="186"/>
      <c r="T25" s="141"/>
      <c r="U25" s="53"/>
    </row>
    <row r="26" spans="1:21" x14ac:dyDescent="0.3">
      <c r="D26" s="69"/>
      <c r="E26" s="54"/>
      <c r="F26" s="54"/>
      <c r="G26" s="54"/>
      <c r="H26" s="119"/>
      <c r="I26" s="140"/>
      <c r="J26" s="54"/>
      <c r="K26" s="54"/>
      <c r="L26" s="140"/>
      <c r="M26" s="54"/>
      <c r="N26" s="54"/>
      <c r="O26" s="54"/>
      <c r="P26" s="54"/>
      <c r="Q26" s="54"/>
      <c r="R26" s="54"/>
      <c r="S26" s="188"/>
      <c r="T26" s="140"/>
      <c r="U26" s="54"/>
    </row>
    <row r="27" spans="1:21" x14ac:dyDescent="0.3">
      <c r="D27" s="62"/>
      <c r="E27" s="53"/>
      <c r="F27" s="53"/>
      <c r="G27" s="53"/>
      <c r="H27" s="118"/>
      <c r="I27" s="141"/>
      <c r="J27" s="53"/>
      <c r="K27" s="53"/>
      <c r="L27" s="141"/>
      <c r="M27" s="53"/>
      <c r="N27" s="53"/>
      <c r="O27" s="53"/>
      <c r="P27" s="53"/>
      <c r="Q27" s="53"/>
      <c r="R27" s="53"/>
      <c r="S27" s="186"/>
      <c r="T27" s="141"/>
      <c r="U27" s="53"/>
    </row>
    <row r="28" spans="1:21" x14ac:dyDescent="0.3">
      <c r="D28" s="69"/>
      <c r="E28" s="54"/>
      <c r="F28" s="54"/>
      <c r="G28" s="54"/>
      <c r="H28" s="119"/>
      <c r="I28" s="140"/>
      <c r="J28" s="54"/>
      <c r="K28" s="54"/>
      <c r="L28" s="140"/>
      <c r="M28" s="54"/>
      <c r="N28" s="54"/>
      <c r="O28" s="54"/>
      <c r="P28" s="54"/>
      <c r="Q28" s="54"/>
      <c r="R28" s="54"/>
      <c r="S28" s="188"/>
      <c r="T28" s="140"/>
      <c r="U28" s="54"/>
    </row>
    <row r="29" spans="1:21" x14ac:dyDescent="0.3">
      <c r="D29" s="62"/>
      <c r="E29" s="53"/>
      <c r="F29" s="53"/>
      <c r="G29" s="53"/>
      <c r="H29" s="118"/>
      <c r="I29" s="141"/>
      <c r="J29" s="53"/>
      <c r="K29" s="53"/>
      <c r="L29" s="141"/>
      <c r="M29" s="53"/>
      <c r="N29" s="53"/>
      <c r="O29" s="53"/>
      <c r="P29" s="53"/>
      <c r="Q29" s="53"/>
      <c r="R29" s="53"/>
      <c r="S29" s="186"/>
      <c r="T29" s="141"/>
      <c r="U29" s="53"/>
    </row>
    <row r="30" spans="1:21" x14ac:dyDescent="0.3">
      <c r="D30" s="69"/>
      <c r="E30" s="54"/>
      <c r="F30" s="54"/>
      <c r="G30" s="54"/>
      <c r="H30" s="119"/>
      <c r="I30" s="140"/>
      <c r="J30" s="54"/>
      <c r="K30" s="54"/>
      <c r="L30" s="140"/>
      <c r="M30" s="54"/>
      <c r="N30" s="54"/>
      <c r="O30" s="54"/>
      <c r="P30" s="54"/>
      <c r="Q30" s="54"/>
      <c r="R30" s="54"/>
      <c r="S30" s="188"/>
      <c r="T30" s="140"/>
      <c r="U30" s="54"/>
    </row>
    <row r="31" spans="1:21" x14ac:dyDescent="0.3">
      <c r="D31" s="62"/>
      <c r="E31" s="53"/>
      <c r="F31" s="53"/>
      <c r="G31" s="53"/>
      <c r="H31" s="118"/>
      <c r="I31" s="141"/>
      <c r="J31" s="53"/>
      <c r="K31" s="53"/>
      <c r="L31" s="141"/>
      <c r="M31" s="53"/>
      <c r="N31" s="53"/>
      <c r="O31" s="53"/>
      <c r="P31" s="53"/>
      <c r="Q31" s="53"/>
      <c r="R31" s="53"/>
      <c r="S31" s="186"/>
      <c r="T31" s="141"/>
      <c r="U31" s="53"/>
    </row>
    <row r="32" spans="1:21" x14ac:dyDescent="0.3">
      <c r="D32" s="69"/>
      <c r="E32" s="54"/>
      <c r="F32" s="54"/>
      <c r="G32" s="54"/>
      <c r="H32" s="119"/>
      <c r="I32" s="140"/>
      <c r="J32" s="54"/>
      <c r="K32" s="54"/>
      <c r="L32" s="140"/>
      <c r="M32" s="54"/>
      <c r="N32" s="54"/>
      <c r="O32" s="54"/>
      <c r="P32" s="54"/>
      <c r="Q32" s="54"/>
      <c r="R32" s="54"/>
      <c r="S32" s="188"/>
      <c r="T32" s="140"/>
      <c r="U32" s="54"/>
    </row>
    <row r="33" spans="4:21" x14ac:dyDescent="0.3">
      <c r="D33" s="62"/>
      <c r="E33" s="53"/>
      <c r="F33" s="53"/>
      <c r="G33" s="53"/>
      <c r="H33" s="118"/>
      <c r="I33" s="141"/>
      <c r="J33" s="53"/>
      <c r="K33" s="53"/>
      <c r="L33" s="141"/>
      <c r="M33" s="53"/>
      <c r="N33" s="53"/>
      <c r="O33" s="53"/>
      <c r="P33" s="53"/>
      <c r="Q33" s="53"/>
      <c r="R33" s="53"/>
      <c r="S33" s="186"/>
      <c r="T33" s="141"/>
      <c r="U33" s="53"/>
    </row>
    <row r="34" spans="4:21" x14ac:dyDescent="0.3">
      <c r="D34" s="69"/>
      <c r="E34" s="54"/>
      <c r="F34" s="54"/>
      <c r="G34" s="54"/>
      <c r="H34" s="119"/>
      <c r="I34" s="140"/>
      <c r="J34" s="54"/>
      <c r="K34" s="54"/>
      <c r="L34" s="140"/>
      <c r="M34" s="54"/>
      <c r="N34" s="54"/>
      <c r="O34" s="54"/>
      <c r="P34" s="54"/>
      <c r="Q34" s="54"/>
      <c r="R34" s="54"/>
      <c r="S34" s="188"/>
      <c r="T34" s="140"/>
      <c r="U34" s="54"/>
    </row>
    <row r="35" spans="4:21" x14ac:dyDescent="0.3">
      <c r="D35" s="62"/>
      <c r="E35" s="53"/>
      <c r="F35" s="53"/>
      <c r="G35" s="53"/>
      <c r="H35" s="118"/>
      <c r="I35" s="141"/>
      <c r="J35" s="53"/>
      <c r="K35" s="53"/>
      <c r="L35" s="141"/>
      <c r="M35" s="53"/>
      <c r="N35" s="53"/>
      <c r="O35" s="53"/>
      <c r="P35" s="53"/>
      <c r="Q35" s="53"/>
      <c r="R35" s="53"/>
      <c r="S35" s="186"/>
      <c r="T35" s="141"/>
      <c r="U35" s="53"/>
    </row>
    <row r="36" spans="4:21" x14ac:dyDescent="0.3">
      <c r="D36" s="69"/>
      <c r="E36" s="54"/>
      <c r="F36" s="54"/>
      <c r="G36" s="54"/>
      <c r="H36" s="119"/>
      <c r="I36" s="140"/>
      <c r="J36" s="54"/>
      <c r="K36" s="54"/>
      <c r="L36" s="140"/>
      <c r="M36" s="54"/>
      <c r="N36" s="54"/>
      <c r="O36" s="54"/>
      <c r="P36" s="54"/>
      <c r="Q36" s="54"/>
      <c r="R36" s="54"/>
      <c r="S36" s="188"/>
      <c r="T36" s="140"/>
      <c r="U36" s="54"/>
    </row>
    <row r="37" spans="4:21" x14ac:dyDescent="0.3">
      <c r="D37" s="62"/>
      <c r="E37" s="53"/>
      <c r="F37" s="53"/>
      <c r="G37" s="53"/>
      <c r="H37" s="118"/>
      <c r="I37" s="141"/>
      <c r="J37" s="53"/>
      <c r="K37" s="53"/>
      <c r="L37" s="141"/>
      <c r="M37" s="53"/>
      <c r="N37" s="53"/>
      <c r="O37" s="53"/>
      <c r="P37" s="53"/>
      <c r="Q37" s="53"/>
      <c r="R37" s="53"/>
      <c r="S37" s="186"/>
      <c r="T37" s="141"/>
      <c r="U37" s="53"/>
    </row>
    <row r="38" spans="4:21" x14ac:dyDescent="0.3">
      <c r="D38" s="69"/>
      <c r="E38" s="54"/>
      <c r="F38" s="54"/>
      <c r="G38" s="54"/>
      <c r="H38" s="119"/>
      <c r="I38" s="140"/>
      <c r="J38" s="54"/>
      <c r="K38" s="54"/>
      <c r="L38" s="140"/>
      <c r="M38" s="54"/>
      <c r="N38" s="54"/>
      <c r="O38" s="54"/>
      <c r="P38" s="54"/>
      <c r="Q38" s="54"/>
      <c r="R38" s="54"/>
      <c r="S38" s="188"/>
      <c r="T38" s="140"/>
      <c r="U38" s="54"/>
    </row>
    <row r="39" spans="4:21" x14ac:dyDescent="0.3">
      <c r="D39" s="62"/>
      <c r="E39" s="53"/>
      <c r="F39" s="53"/>
      <c r="G39" s="53"/>
      <c r="H39" s="118"/>
      <c r="I39" s="141"/>
      <c r="J39" s="53"/>
      <c r="K39" s="53"/>
      <c r="L39" s="141"/>
      <c r="M39" s="53"/>
      <c r="N39" s="53"/>
      <c r="O39" s="53"/>
      <c r="P39" s="53"/>
      <c r="Q39" s="53"/>
      <c r="R39" s="53"/>
      <c r="S39" s="186"/>
      <c r="T39" s="141"/>
      <c r="U39" s="53"/>
    </row>
    <row r="40" spans="4:21" x14ac:dyDescent="0.3">
      <c r="D40" s="69"/>
      <c r="E40" s="54"/>
      <c r="F40" s="54"/>
      <c r="G40" s="54"/>
      <c r="H40" s="119"/>
      <c r="I40" s="140"/>
      <c r="J40" s="54"/>
      <c r="K40" s="54"/>
      <c r="L40" s="140"/>
      <c r="M40" s="54"/>
      <c r="N40" s="54"/>
      <c r="O40" s="54"/>
      <c r="P40" s="54"/>
      <c r="Q40" s="54"/>
      <c r="R40" s="54"/>
      <c r="S40" s="188"/>
      <c r="T40" s="140"/>
      <c r="U40" s="54"/>
    </row>
    <row r="41" spans="4:21" x14ac:dyDescent="0.3">
      <c r="D41" s="62"/>
      <c r="E41" s="53"/>
      <c r="F41" s="53"/>
      <c r="G41" s="53"/>
      <c r="H41" s="118"/>
      <c r="I41" s="141"/>
      <c r="J41" s="53"/>
      <c r="K41" s="53"/>
      <c r="L41" s="141"/>
      <c r="M41" s="53"/>
      <c r="N41" s="53"/>
      <c r="O41" s="53"/>
      <c r="P41" s="53"/>
      <c r="Q41" s="53"/>
      <c r="R41" s="53"/>
      <c r="S41" s="186"/>
      <c r="T41" s="141"/>
      <c r="U41" s="53"/>
    </row>
    <row r="42" spans="4:21" x14ac:dyDescent="0.3">
      <c r="D42" s="69"/>
      <c r="E42" s="54"/>
      <c r="F42" s="54"/>
      <c r="G42" s="54"/>
      <c r="H42" s="119"/>
      <c r="I42" s="140"/>
      <c r="J42" s="54"/>
      <c r="K42" s="54"/>
      <c r="L42" s="140"/>
      <c r="M42" s="54"/>
      <c r="N42" s="54"/>
      <c r="O42" s="54"/>
      <c r="P42" s="54"/>
      <c r="Q42" s="54"/>
      <c r="R42" s="54"/>
      <c r="S42" s="188"/>
      <c r="T42" s="140"/>
      <c r="U42" s="54"/>
    </row>
    <row r="43" spans="4:21" x14ac:dyDescent="0.3">
      <c r="D43" s="62"/>
      <c r="E43" s="53"/>
      <c r="F43" s="53"/>
      <c r="G43" s="53"/>
      <c r="H43" s="118"/>
      <c r="I43" s="141"/>
      <c r="J43" s="53"/>
      <c r="K43" s="53"/>
      <c r="L43" s="141"/>
      <c r="M43" s="53"/>
      <c r="N43" s="53"/>
      <c r="O43" s="53"/>
      <c r="P43" s="53"/>
      <c r="Q43" s="53"/>
      <c r="R43" s="53"/>
      <c r="S43" s="186"/>
      <c r="T43" s="141"/>
      <c r="U43" s="53"/>
    </row>
    <row r="44" spans="4:21" x14ac:dyDescent="0.3">
      <c r="D44" s="69"/>
      <c r="E44" s="54"/>
      <c r="F44" s="54"/>
      <c r="G44" s="54"/>
      <c r="H44" s="119"/>
      <c r="I44" s="140"/>
      <c r="J44" s="54"/>
      <c r="K44" s="54"/>
      <c r="L44" s="140"/>
      <c r="M44" s="54"/>
      <c r="N44" s="54"/>
      <c r="O44" s="54"/>
      <c r="P44" s="54"/>
      <c r="Q44" s="54"/>
      <c r="R44" s="54"/>
      <c r="S44" s="188"/>
      <c r="T44" s="140"/>
      <c r="U44" s="54"/>
    </row>
    <row r="45" spans="4:21" x14ac:dyDescent="0.3">
      <c r="D45" s="62"/>
      <c r="E45" s="53"/>
      <c r="F45" s="53"/>
      <c r="G45" s="53"/>
      <c r="H45" s="118"/>
      <c r="I45" s="141"/>
      <c r="J45" s="53"/>
      <c r="K45" s="53"/>
      <c r="L45" s="141"/>
      <c r="M45" s="53"/>
      <c r="N45" s="53"/>
      <c r="O45" s="53"/>
      <c r="P45" s="53"/>
      <c r="Q45" s="53"/>
      <c r="R45" s="53"/>
      <c r="S45" s="186"/>
      <c r="T45" s="141"/>
      <c r="U45" s="53"/>
    </row>
    <row r="46" spans="4:21" x14ac:dyDescent="0.3">
      <c r="D46" s="69"/>
      <c r="E46" s="54"/>
      <c r="F46" s="54"/>
      <c r="G46" s="54"/>
      <c r="H46" s="119"/>
      <c r="I46" s="140"/>
      <c r="J46" s="54"/>
      <c r="K46" s="54"/>
      <c r="L46" s="140"/>
      <c r="M46" s="54"/>
      <c r="N46" s="54"/>
      <c r="O46" s="54"/>
      <c r="P46" s="54"/>
      <c r="Q46" s="54"/>
      <c r="R46" s="54"/>
      <c r="S46" s="188"/>
      <c r="T46" s="140"/>
      <c r="U46" s="54"/>
    </row>
    <row r="47" spans="4:21" x14ac:dyDescent="0.3">
      <c r="D47" s="62"/>
      <c r="E47" s="53"/>
      <c r="F47" s="53"/>
      <c r="G47" s="53"/>
      <c r="H47" s="118"/>
      <c r="I47" s="141"/>
      <c r="J47" s="53"/>
      <c r="K47" s="53"/>
      <c r="L47" s="141"/>
      <c r="M47" s="53"/>
      <c r="N47" s="53"/>
      <c r="O47" s="53"/>
      <c r="P47" s="53"/>
      <c r="Q47" s="53"/>
      <c r="R47" s="53"/>
      <c r="S47" s="186"/>
      <c r="T47" s="141"/>
      <c r="U47" s="53"/>
    </row>
    <row r="48" spans="4:21" x14ac:dyDescent="0.3">
      <c r="D48" s="69"/>
      <c r="E48" s="54"/>
      <c r="F48" s="54"/>
      <c r="G48" s="54"/>
      <c r="H48" s="119"/>
      <c r="I48" s="140"/>
      <c r="J48" s="54"/>
      <c r="K48" s="54"/>
      <c r="L48" s="140"/>
      <c r="M48" s="54"/>
      <c r="N48" s="54"/>
      <c r="O48" s="54"/>
      <c r="P48" s="54"/>
      <c r="Q48" s="54"/>
      <c r="R48" s="54"/>
      <c r="S48" s="188"/>
      <c r="T48" s="140"/>
      <c r="U48" s="54"/>
    </row>
    <row r="49" spans="4:21" x14ac:dyDescent="0.3">
      <c r="D49" s="62"/>
      <c r="E49" s="53"/>
      <c r="F49" s="53"/>
      <c r="G49" s="53"/>
      <c r="H49" s="118"/>
      <c r="I49" s="141"/>
      <c r="J49" s="53"/>
      <c r="K49" s="53"/>
      <c r="L49" s="141"/>
      <c r="M49" s="53"/>
      <c r="N49" s="53"/>
      <c r="O49" s="53"/>
      <c r="P49" s="53"/>
      <c r="Q49" s="53"/>
      <c r="R49" s="53"/>
      <c r="S49" s="186"/>
      <c r="T49" s="141"/>
      <c r="U49" s="53"/>
    </row>
    <row r="50" spans="4:21" x14ac:dyDescent="0.3">
      <c r="D50" s="69"/>
      <c r="E50" s="54"/>
      <c r="F50" s="54"/>
      <c r="G50" s="54"/>
      <c r="H50" s="119"/>
      <c r="I50" s="140"/>
      <c r="J50" s="54"/>
      <c r="K50" s="54"/>
      <c r="L50" s="140"/>
      <c r="M50" s="54"/>
      <c r="N50" s="54"/>
      <c r="O50" s="54"/>
      <c r="P50" s="54"/>
      <c r="Q50" s="54"/>
      <c r="R50" s="54"/>
      <c r="S50" s="188"/>
      <c r="T50" s="140"/>
      <c r="U50" s="54"/>
    </row>
    <row r="51" spans="4:21" x14ac:dyDescent="0.3">
      <c r="D51" s="62"/>
      <c r="E51" s="53"/>
      <c r="F51" s="53"/>
      <c r="G51" s="53"/>
      <c r="H51" s="118"/>
      <c r="I51" s="141"/>
      <c r="J51" s="53"/>
      <c r="K51" s="53"/>
      <c r="L51" s="141"/>
      <c r="M51" s="53"/>
      <c r="N51" s="53"/>
      <c r="O51" s="53"/>
      <c r="P51" s="53"/>
      <c r="Q51" s="53"/>
      <c r="R51" s="53"/>
      <c r="S51" s="186"/>
      <c r="T51" s="141"/>
      <c r="U51" s="53"/>
    </row>
    <row r="52" spans="4:21" x14ac:dyDescent="0.3">
      <c r="D52" s="69"/>
      <c r="E52" s="54"/>
      <c r="F52" s="54"/>
      <c r="G52" s="54"/>
      <c r="H52" s="119"/>
      <c r="I52" s="140"/>
      <c r="J52" s="54"/>
      <c r="K52" s="54"/>
      <c r="L52" s="140"/>
      <c r="M52" s="54"/>
      <c r="N52" s="54"/>
      <c r="O52" s="54"/>
      <c r="P52" s="54"/>
      <c r="Q52" s="54"/>
      <c r="R52" s="54"/>
      <c r="S52" s="188"/>
      <c r="T52" s="140"/>
      <c r="U52" s="54"/>
    </row>
    <row r="53" spans="4:21" x14ac:dyDescent="0.3">
      <c r="D53" s="62"/>
      <c r="E53" s="53"/>
      <c r="F53" s="53"/>
      <c r="G53" s="53"/>
      <c r="H53" s="118"/>
      <c r="I53" s="141"/>
      <c r="J53" s="53"/>
      <c r="K53" s="53"/>
      <c r="L53" s="141"/>
      <c r="M53" s="53"/>
      <c r="N53" s="53"/>
      <c r="O53" s="53"/>
      <c r="P53" s="53"/>
      <c r="Q53" s="53"/>
      <c r="R53" s="53"/>
      <c r="S53" s="186"/>
      <c r="T53" s="141"/>
      <c r="U53" s="53"/>
    </row>
    <row r="54" spans="4:21" x14ac:dyDescent="0.3">
      <c r="D54" s="69"/>
      <c r="E54" s="54"/>
      <c r="F54" s="54"/>
      <c r="G54" s="54"/>
      <c r="H54" s="119"/>
      <c r="I54" s="140"/>
      <c r="J54" s="54"/>
      <c r="K54" s="54"/>
      <c r="L54" s="140"/>
      <c r="M54" s="54"/>
      <c r="N54" s="54"/>
      <c r="O54" s="54"/>
      <c r="P54" s="54"/>
      <c r="Q54" s="54"/>
      <c r="R54" s="54"/>
      <c r="S54" s="188"/>
      <c r="T54" s="140"/>
      <c r="U54" s="54"/>
    </row>
    <row r="55" spans="4:21" x14ac:dyDescent="0.3">
      <c r="D55" s="62"/>
      <c r="E55" s="53"/>
      <c r="F55" s="53"/>
      <c r="G55" s="53"/>
      <c r="H55" s="118"/>
      <c r="I55" s="141"/>
      <c r="J55" s="53"/>
      <c r="K55" s="53"/>
      <c r="L55" s="141"/>
      <c r="M55" s="53"/>
      <c r="N55" s="53"/>
      <c r="O55" s="53"/>
      <c r="P55" s="53"/>
      <c r="Q55" s="53"/>
      <c r="R55" s="53"/>
      <c r="S55" s="186"/>
      <c r="T55" s="141"/>
      <c r="U55" s="53"/>
    </row>
    <row r="56" spans="4:21" x14ac:dyDescent="0.3">
      <c r="D56" s="69"/>
      <c r="E56" s="54"/>
      <c r="F56" s="54"/>
      <c r="G56" s="54"/>
      <c r="H56" s="119"/>
      <c r="I56" s="140"/>
      <c r="J56" s="54"/>
      <c r="K56" s="54"/>
      <c r="L56" s="140"/>
      <c r="M56" s="54"/>
      <c r="N56" s="54"/>
      <c r="O56" s="54"/>
      <c r="P56" s="54"/>
      <c r="Q56" s="54"/>
      <c r="R56" s="54"/>
      <c r="S56" s="188"/>
      <c r="T56" s="140"/>
      <c r="U56" s="54"/>
    </row>
    <row r="57" spans="4:21" x14ac:dyDescent="0.3">
      <c r="D57" s="62"/>
      <c r="E57" s="53"/>
      <c r="F57" s="53"/>
      <c r="G57" s="53"/>
      <c r="H57" s="118"/>
      <c r="I57" s="141"/>
      <c r="J57" s="53"/>
      <c r="K57" s="53"/>
      <c r="L57" s="141"/>
      <c r="M57" s="53"/>
      <c r="N57" s="53"/>
      <c r="O57" s="53"/>
      <c r="P57" s="53"/>
      <c r="Q57" s="53"/>
      <c r="R57" s="53"/>
      <c r="S57" s="186"/>
      <c r="T57" s="141"/>
      <c r="U57" s="53"/>
    </row>
    <row r="58" spans="4:21" x14ac:dyDescent="0.3">
      <c r="D58" s="69"/>
      <c r="E58" s="54"/>
      <c r="F58" s="54"/>
      <c r="G58" s="54"/>
      <c r="H58" s="119"/>
      <c r="I58" s="140"/>
      <c r="J58" s="54"/>
      <c r="K58" s="54"/>
      <c r="L58" s="140"/>
      <c r="M58" s="54"/>
      <c r="N58" s="54"/>
      <c r="O58" s="54"/>
      <c r="P58" s="54"/>
      <c r="Q58" s="54"/>
      <c r="R58" s="54"/>
      <c r="S58" s="188"/>
      <c r="T58" s="140"/>
      <c r="U58" s="54"/>
    </row>
    <row r="59" spans="4:21" x14ac:dyDescent="0.3">
      <c r="D59" s="62"/>
      <c r="E59" s="53"/>
      <c r="F59" s="53"/>
      <c r="G59" s="53"/>
      <c r="H59" s="118"/>
      <c r="I59" s="141"/>
      <c r="J59" s="53"/>
      <c r="K59" s="53"/>
      <c r="L59" s="141"/>
      <c r="M59" s="53"/>
      <c r="N59" s="53"/>
      <c r="O59" s="53"/>
      <c r="P59" s="53"/>
      <c r="Q59" s="53"/>
      <c r="R59" s="53"/>
      <c r="S59" s="186"/>
      <c r="T59" s="141"/>
      <c r="U59" s="53"/>
    </row>
    <row r="60" spans="4:21" x14ac:dyDescent="0.3">
      <c r="D60" s="69"/>
      <c r="E60" s="54"/>
      <c r="F60" s="54"/>
      <c r="G60" s="54"/>
      <c r="H60" s="119"/>
      <c r="I60" s="140"/>
      <c r="J60" s="54"/>
      <c r="K60" s="54"/>
      <c r="L60" s="140"/>
      <c r="M60" s="54"/>
      <c r="N60" s="54"/>
      <c r="O60" s="54"/>
      <c r="P60" s="54"/>
      <c r="Q60" s="54"/>
      <c r="R60" s="54"/>
      <c r="S60" s="188"/>
      <c r="T60" s="140"/>
      <c r="U60" s="54"/>
    </row>
    <row r="61" spans="4:21" x14ac:dyDescent="0.3">
      <c r="D61" s="62"/>
      <c r="E61" s="53"/>
      <c r="F61" s="53"/>
      <c r="G61" s="53"/>
      <c r="H61" s="118"/>
      <c r="I61" s="141"/>
      <c r="J61" s="53"/>
      <c r="K61" s="53"/>
      <c r="L61" s="141"/>
      <c r="M61" s="53"/>
      <c r="N61" s="53"/>
      <c r="O61" s="53"/>
      <c r="P61" s="53"/>
      <c r="Q61" s="53"/>
      <c r="R61" s="53"/>
      <c r="S61" s="186"/>
      <c r="T61" s="141"/>
      <c r="U61" s="53"/>
    </row>
    <row r="62" spans="4:21" x14ac:dyDescent="0.3">
      <c r="D62" s="69"/>
      <c r="E62" s="54"/>
      <c r="F62" s="54"/>
      <c r="G62" s="54"/>
      <c r="H62" s="119"/>
      <c r="I62" s="140"/>
      <c r="J62" s="54"/>
      <c r="K62" s="54"/>
      <c r="L62" s="140"/>
      <c r="M62" s="54"/>
      <c r="N62" s="54"/>
      <c r="O62" s="54"/>
      <c r="P62" s="54"/>
      <c r="Q62" s="54"/>
      <c r="R62" s="54"/>
      <c r="S62" s="188"/>
      <c r="T62" s="140"/>
      <c r="U62" s="54"/>
    </row>
    <row r="63" spans="4:21" x14ac:dyDescent="0.3">
      <c r="D63" s="62"/>
      <c r="E63" s="53"/>
      <c r="F63" s="53"/>
      <c r="G63" s="53"/>
      <c r="H63" s="118"/>
      <c r="I63" s="141"/>
      <c r="J63" s="53"/>
      <c r="K63" s="53"/>
      <c r="L63" s="141"/>
      <c r="M63" s="53"/>
      <c r="N63" s="53"/>
      <c r="O63" s="53"/>
      <c r="P63" s="53"/>
      <c r="Q63" s="53"/>
      <c r="R63" s="53"/>
      <c r="S63" s="186"/>
      <c r="T63" s="141"/>
      <c r="U63" s="53"/>
    </row>
    <row r="64" spans="4:21" x14ac:dyDescent="0.3">
      <c r="D64" s="69"/>
      <c r="E64" s="54"/>
      <c r="F64" s="54"/>
      <c r="G64" s="54"/>
      <c r="H64" s="119"/>
      <c r="I64" s="140"/>
      <c r="J64" s="54"/>
      <c r="K64" s="54"/>
      <c r="L64" s="140"/>
      <c r="M64" s="54"/>
      <c r="N64" s="54"/>
      <c r="O64" s="54"/>
      <c r="P64" s="54"/>
      <c r="Q64" s="54"/>
      <c r="R64" s="54"/>
      <c r="S64" s="188"/>
      <c r="T64" s="140"/>
      <c r="U64" s="54"/>
    </row>
    <row r="65" spans="4:21" x14ac:dyDescent="0.3">
      <c r="D65" s="62"/>
      <c r="E65" s="53"/>
      <c r="F65" s="53"/>
      <c r="G65" s="53"/>
      <c r="H65" s="118"/>
      <c r="I65" s="141"/>
      <c r="J65" s="53"/>
      <c r="K65" s="53"/>
      <c r="L65" s="141"/>
      <c r="M65" s="53"/>
      <c r="N65" s="53"/>
      <c r="O65" s="53"/>
      <c r="P65" s="53"/>
      <c r="Q65" s="53"/>
      <c r="R65" s="53"/>
      <c r="S65" s="186"/>
      <c r="T65" s="141"/>
      <c r="U65" s="53"/>
    </row>
    <row r="66" spans="4:21" x14ac:dyDescent="0.3">
      <c r="D66" s="69"/>
      <c r="E66" s="54"/>
      <c r="F66" s="54"/>
      <c r="G66" s="54"/>
      <c r="H66" s="119"/>
      <c r="I66" s="140"/>
      <c r="J66" s="54"/>
      <c r="K66" s="54"/>
      <c r="L66" s="140"/>
      <c r="M66" s="54"/>
      <c r="N66" s="54"/>
      <c r="O66" s="54"/>
      <c r="P66" s="54"/>
      <c r="Q66" s="54"/>
      <c r="R66" s="54"/>
      <c r="S66" s="188"/>
      <c r="T66" s="140"/>
      <c r="U66" s="54"/>
    </row>
    <row r="67" spans="4:21" x14ac:dyDescent="0.3">
      <c r="D67" s="62"/>
      <c r="E67" s="53"/>
      <c r="F67" s="53"/>
      <c r="G67" s="53"/>
      <c r="H67" s="118"/>
      <c r="I67" s="141"/>
      <c r="J67" s="53"/>
      <c r="K67" s="53"/>
      <c r="L67" s="141"/>
      <c r="M67" s="53"/>
      <c r="N67" s="53"/>
      <c r="O67" s="53"/>
      <c r="P67" s="53"/>
      <c r="Q67" s="53"/>
      <c r="R67" s="53"/>
      <c r="S67" s="186"/>
      <c r="T67" s="141"/>
      <c r="U67" s="53"/>
    </row>
    <row r="68" spans="4:21" x14ac:dyDescent="0.3">
      <c r="D68" s="69"/>
      <c r="E68" s="54"/>
      <c r="F68" s="54"/>
      <c r="G68" s="54"/>
      <c r="H68" s="119"/>
      <c r="I68" s="140"/>
      <c r="J68" s="54"/>
      <c r="K68" s="54"/>
      <c r="L68" s="140"/>
      <c r="M68" s="54"/>
      <c r="N68" s="54"/>
      <c r="O68" s="54"/>
      <c r="P68" s="54"/>
      <c r="Q68" s="54"/>
      <c r="R68" s="54"/>
      <c r="S68" s="188"/>
      <c r="T68" s="140"/>
      <c r="U68" s="54"/>
    </row>
    <row r="69" spans="4:21" x14ac:dyDescent="0.3">
      <c r="D69" s="62"/>
      <c r="E69" s="53"/>
      <c r="F69" s="53"/>
      <c r="G69" s="53"/>
      <c r="H69" s="118"/>
      <c r="I69" s="141"/>
      <c r="J69" s="53"/>
      <c r="K69" s="53"/>
      <c r="L69" s="141"/>
      <c r="M69" s="53"/>
      <c r="N69" s="53"/>
      <c r="O69" s="53"/>
      <c r="P69" s="53"/>
      <c r="Q69" s="53"/>
      <c r="R69" s="53"/>
      <c r="S69" s="186"/>
      <c r="T69" s="141"/>
      <c r="U69" s="53"/>
    </row>
    <row r="70" spans="4:21" x14ac:dyDescent="0.3">
      <c r="D70" s="69"/>
      <c r="E70" s="54"/>
      <c r="F70" s="54"/>
      <c r="G70" s="54"/>
      <c r="H70" s="119"/>
      <c r="I70" s="140"/>
      <c r="J70" s="54"/>
      <c r="K70" s="54"/>
      <c r="L70" s="140"/>
      <c r="M70" s="54"/>
      <c r="N70" s="54"/>
      <c r="O70" s="54"/>
      <c r="P70" s="54"/>
      <c r="Q70" s="54"/>
      <c r="R70" s="54"/>
      <c r="S70" s="188"/>
      <c r="T70" s="140"/>
      <c r="U70" s="54"/>
    </row>
    <row r="71" spans="4:21" x14ac:dyDescent="0.3">
      <c r="D71" s="62"/>
      <c r="E71" s="53"/>
      <c r="F71" s="53"/>
      <c r="G71" s="53"/>
      <c r="H71" s="118"/>
      <c r="I71" s="141"/>
      <c r="J71" s="53"/>
      <c r="K71" s="53"/>
      <c r="L71" s="141"/>
      <c r="M71" s="53"/>
      <c r="N71" s="53"/>
      <c r="O71" s="53"/>
      <c r="P71" s="53"/>
      <c r="Q71" s="53"/>
      <c r="R71" s="53"/>
      <c r="S71" s="186"/>
      <c r="T71" s="141"/>
      <c r="U71" s="53"/>
    </row>
    <row r="72" spans="4:21" x14ac:dyDescent="0.3">
      <c r="D72" s="69"/>
      <c r="E72" s="54"/>
      <c r="F72" s="54"/>
      <c r="G72" s="54"/>
      <c r="H72" s="119"/>
      <c r="I72" s="140"/>
      <c r="J72" s="54"/>
      <c r="K72" s="54"/>
      <c r="L72" s="140"/>
      <c r="M72" s="54"/>
      <c r="N72" s="54"/>
      <c r="O72" s="54"/>
      <c r="P72" s="54"/>
      <c r="Q72" s="54"/>
      <c r="R72" s="54"/>
      <c r="S72" s="188"/>
      <c r="T72" s="140"/>
      <c r="U72" s="54"/>
    </row>
    <row r="73" spans="4:21" x14ac:dyDescent="0.3">
      <c r="D73" s="62"/>
      <c r="E73" s="53"/>
      <c r="F73" s="53"/>
      <c r="G73" s="53"/>
      <c r="H73" s="118"/>
      <c r="I73" s="141"/>
      <c r="J73" s="53"/>
      <c r="K73" s="53"/>
      <c r="L73" s="141"/>
      <c r="M73" s="53"/>
      <c r="N73" s="53"/>
      <c r="O73" s="53"/>
      <c r="P73" s="53"/>
      <c r="Q73" s="53"/>
      <c r="R73" s="53"/>
      <c r="S73" s="186"/>
      <c r="T73" s="141"/>
      <c r="U73" s="53"/>
    </row>
    <row r="74" spans="4:21" x14ac:dyDescent="0.3">
      <c r="D74" s="69"/>
      <c r="E74" s="54"/>
      <c r="F74" s="54"/>
      <c r="G74" s="54"/>
      <c r="H74" s="119"/>
      <c r="I74" s="140"/>
      <c r="J74" s="54"/>
      <c r="K74" s="54"/>
      <c r="L74" s="140"/>
      <c r="M74" s="54"/>
      <c r="N74" s="54"/>
      <c r="O74" s="54"/>
      <c r="P74" s="54"/>
      <c r="Q74" s="54"/>
      <c r="R74" s="54"/>
      <c r="S74" s="188"/>
      <c r="T74" s="140"/>
      <c r="U74" s="54"/>
    </row>
    <row r="75" spans="4:21" x14ac:dyDescent="0.3">
      <c r="D75" s="62"/>
      <c r="E75" s="53"/>
      <c r="F75" s="53"/>
      <c r="G75" s="53"/>
      <c r="H75" s="118"/>
      <c r="I75" s="141"/>
      <c r="J75" s="53"/>
      <c r="K75" s="53"/>
      <c r="L75" s="141"/>
      <c r="M75" s="53"/>
      <c r="N75" s="53"/>
      <c r="O75" s="53"/>
      <c r="P75" s="53"/>
      <c r="Q75" s="53"/>
      <c r="R75" s="53"/>
      <c r="S75" s="186"/>
      <c r="T75" s="141"/>
      <c r="U75" s="53"/>
    </row>
    <row r="76" spans="4:21" x14ac:dyDescent="0.3">
      <c r="D76" s="69"/>
      <c r="E76" s="54"/>
      <c r="F76" s="54"/>
      <c r="G76" s="54"/>
      <c r="H76" s="119"/>
      <c r="I76" s="140"/>
      <c r="J76" s="54"/>
      <c r="K76" s="54"/>
      <c r="L76" s="140"/>
      <c r="M76" s="54"/>
      <c r="N76" s="54"/>
      <c r="O76" s="54"/>
      <c r="P76" s="54"/>
      <c r="Q76" s="54"/>
      <c r="R76" s="54"/>
      <c r="S76" s="188"/>
      <c r="T76" s="140"/>
      <c r="U76" s="54"/>
    </row>
    <row r="77" spans="4:21" x14ac:dyDescent="0.3">
      <c r="D77" s="62"/>
      <c r="E77" s="53"/>
      <c r="F77" s="53"/>
      <c r="G77" s="53"/>
      <c r="H77" s="118"/>
      <c r="I77" s="141"/>
      <c r="J77" s="53"/>
      <c r="K77" s="53"/>
      <c r="L77" s="141"/>
      <c r="M77" s="53"/>
      <c r="N77" s="53"/>
      <c r="O77" s="53"/>
      <c r="P77" s="53"/>
      <c r="Q77" s="53"/>
      <c r="R77" s="53"/>
      <c r="S77" s="186"/>
      <c r="T77" s="141"/>
      <c r="U77" s="53"/>
    </row>
    <row r="78" spans="4:21" x14ac:dyDescent="0.3">
      <c r="D78" s="69"/>
      <c r="E78" s="54"/>
      <c r="F78" s="54"/>
      <c r="G78" s="54"/>
      <c r="H78" s="119"/>
      <c r="I78" s="140"/>
      <c r="J78" s="54"/>
      <c r="K78" s="54"/>
      <c r="L78" s="140"/>
      <c r="M78" s="54"/>
      <c r="N78" s="54"/>
      <c r="O78" s="54"/>
      <c r="P78" s="54"/>
      <c r="Q78" s="54"/>
      <c r="R78" s="54"/>
      <c r="S78" s="188"/>
      <c r="T78" s="140"/>
      <c r="U78" s="54"/>
    </row>
    <row r="79" spans="4:21" x14ac:dyDescent="0.3">
      <c r="D79" s="62"/>
      <c r="E79" s="53"/>
      <c r="F79" s="53"/>
      <c r="G79" s="53"/>
      <c r="H79" s="118"/>
      <c r="I79" s="141"/>
      <c r="J79" s="53"/>
      <c r="K79" s="53"/>
      <c r="L79" s="141"/>
      <c r="M79" s="53"/>
      <c r="N79" s="53"/>
      <c r="O79" s="53"/>
      <c r="P79" s="53"/>
      <c r="Q79" s="53"/>
      <c r="R79" s="53"/>
      <c r="S79" s="186"/>
      <c r="T79" s="141"/>
      <c r="U79" s="53"/>
    </row>
    <row r="80" spans="4:21" x14ac:dyDescent="0.3">
      <c r="D80" s="69"/>
      <c r="E80" s="54"/>
      <c r="F80" s="54"/>
      <c r="G80" s="54"/>
      <c r="H80" s="119"/>
      <c r="I80" s="140"/>
      <c r="J80" s="54"/>
      <c r="K80" s="54"/>
      <c r="L80" s="140"/>
      <c r="M80" s="54"/>
      <c r="N80" s="54"/>
      <c r="O80" s="54"/>
      <c r="P80" s="54"/>
      <c r="Q80" s="54"/>
      <c r="R80" s="54"/>
      <c r="S80" s="188"/>
      <c r="T80" s="140"/>
      <c r="U80" s="54"/>
    </row>
    <row r="81" spans="4:21" x14ac:dyDescent="0.3">
      <c r="D81" s="62"/>
      <c r="E81" s="53"/>
      <c r="F81" s="53"/>
      <c r="G81" s="53"/>
      <c r="H81" s="118"/>
      <c r="I81" s="141"/>
      <c r="J81" s="53"/>
      <c r="K81" s="53"/>
      <c r="L81" s="141"/>
      <c r="M81" s="53"/>
      <c r="N81" s="53"/>
      <c r="O81" s="53"/>
      <c r="P81" s="53"/>
      <c r="Q81" s="53"/>
      <c r="R81" s="53"/>
      <c r="S81" s="186"/>
      <c r="T81" s="141"/>
      <c r="U81" s="53"/>
    </row>
    <row r="82" spans="4:21" x14ac:dyDescent="0.3">
      <c r="D82" s="69"/>
      <c r="E82" s="54"/>
      <c r="F82" s="54"/>
      <c r="G82" s="54"/>
      <c r="H82" s="119"/>
      <c r="I82" s="140"/>
      <c r="J82" s="54"/>
      <c r="K82" s="54"/>
      <c r="L82" s="140"/>
      <c r="M82" s="54"/>
      <c r="N82" s="54"/>
      <c r="O82" s="54"/>
      <c r="P82" s="54"/>
      <c r="Q82" s="54"/>
      <c r="R82" s="54"/>
      <c r="S82" s="188"/>
      <c r="T82" s="140"/>
      <c r="U82" s="54"/>
    </row>
    <row r="83" spans="4:21" x14ac:dyDescent="0.3">
      <c r="D83" s="62"/>
      <c r="E83" s="53"/>
      <c r="F83" s="53"/>
      <c r="G83" s="53"/>
      <c r="H83" s="118"/>
      <c r="I83" s="141"/>
      <c r="J83" s="53"/>
      <c r="K83" s="53"/>
      <c r="L83" s="141"/>
      <c r="M83" s="53"/>
      <c r="N83" s="53"/>
      <c r="O83" s="53"/>
      <c r="P83" s="53"/>
      <c r="Q83" s="53"/>
      <c r="R83" s="53"/>
      <c r="S83" s="186"/>
      <c r="T83" s="141"/>
      <c r="U83" s="53"/>
    </row>
    <row r="84" spans="4:21" x14ac:dyDescent="0.3">
      <c r="D84" s="69"/>
      <c r="E84" s="54"/>
      <c r="F84" s="54"/>
      <c r="G84" s="54"/>
      <c r="H84" s="119"/>
      <c r="I84" s="140"/>
      <c r="J84" s="54"/>
      <c r="K84" s="54"/>
      <c r="L84" s="140"/>
      <c r="M84" s="54"/>
      <c r="N84" s="54"/>
      <c r="O84" s="54"/>
      <c r="P84" s="54"/>
      <c r="Q84" s="54"/>
      <c r="R84" s="54"/>
      <c r="S84" s="188"/>
      <c r="T84" s="140"/>
      <c r="U84" s="54"/>
    </row>
    <row r="85" spans="4:21" x14ac:dyDescent="0.3">
      <c r="D85" s="62"/>
      <c r="E85" s="53"/>
      <c r="F85" s="53"/>
      <c r="G85" s="53"/>
      <c r="H85" s="118"/>
      <c r="I85" s="141"/>
      <c r="J85" s="53"/>
      <c r="K85" s="53"/>
      <c r="L85" s="141"/>
      <c r="M85" s="53"/>
      <c r="N85" s="53"/>
      <c r="O85" s="53"/>
      <c r="P85" s="53"/>
      <c r="Q85" s="53"/>
      <c r="R85" s="53"/>
      <c r="S85" s="186"/>
      <c r="T85" s="141"/>
      <c r="U85" s="53"/>
    </row>
    <row r="86" spans="4:21" x14ac:dyDescent="0.3">
      <c r="D86" s="69"/>
      <c r="E86" s="54"/>
      <c r="F86" s="54"/>
      <c r="G86" s="54"/>
      <c r="H86" s="119"/>
      <c r="I86" s="140"/>
      <c r="J86" s="54"/>
      <c r="K86" s="54"/>
      <c r="L86" s="140"/>
      <c r="M86" s="54"/>
      <c r="N86" s="54"/>
      <c r="O86" s="54"/>
      <c r="P86" s="54"/>
      <c r="Q86" s="54"/>
      <c r="R86" s="54"/>
      <c r="S86" s="188"/>
      <c r="T86" s="140"/>
      <c r="U86" s="54"/>
    </row>
    <row r="87" spans="4:21" x14ac:dyDescent="0.3">
      <c r="D87" s="62"/>
      <c r="E87" s="53"/>
      <c r="F87" s="53"/>
      <c r="G87" s="53"/>
      <c r="H87" s="118"/>
      <c r="I87" s="141"/>
      <c r="J87" s="53"/>
      <c r="K87" s="53"/>
      <c r="L87" s="141"/>
      <c r="M87" s="53"/>
      <c r="N87" s="53"/>
      <c r="O87" s="53"/>
      <c r="P87" s="53"/>
      <c r="Q87" s="53"/>
      <c r="R87" s="53"/>
      <c r="S87" s="186"/>
      <c r="T87" s="141"/>
      <c r="U87" s="53"/>
    </row>
    <row r="88" spans="4:21" x14ac:dyDescent="0.3">
      <c r="D88" s="69"/>
      <c r="E88" s="54"/>
      <c r="F88" s="54"/>
      <c r="G88" s="54"/>
      <c r="H88" s="119"/>
      <c r="I88" s="140"/>
      <c r="J88" s="54"/>
      <c r="K88" s="54"/>
      <c r="L88" s="140"/>
      <c r="M88" s="54"/>
      <c r="N88" s="54"/>
      <c r="O88" s="54"/>
      <c r="P88" s="54"/>
      <c r="Q88" s="54"/>
      <c r="R88" s="54"/>
      <c r="S88" s="188"/>
      <c r="T88" s="140"/>
      <c r="U88" s="54"/>
    </row>
    <row r="89" spans="4:21" x14ac:dyDescent="0.3">
      <c r="D89" s="62"/>
      <c r="E89" s="53"/>
      <c r="F89" s="53"/>
      <c r="G89" s="53"/>
      <c r="H89" s="118"/>
      <c r="I89" s="141"/>
      <c r="J89" s="53"/>
      <c r="K89" s="53"/>
      <c r="L89" s="141"/>
      <c r="M89" s="53"/>
      <c r="N89" s="53"/>
      <c r="O89" s="53"/>
      <c r="P89" s="53"/>
      <c r="Q89" s="53"/>
      <c r="R89" s="53"/>
      <c r="S89" s="186"/>
      <c r="T89" s="141"/>
      <c r="U89" s="53"/>
    </row>
    <row r="90" spans="4:21" x14ac:dyDescent="0.3">
      <c r="D90" s="69"/>
      <c r="E90" s="54"/>
      <c r="F90" s="54"/>
      <c r="G90" s="54"/>
      <c r="H90" s="119"/>
      <c r="I90" s="140"/>
      <c r="J90" s="54"/>
      <c r="K90" s="54"/>
      <c r="L90" s="140"/>
      <c r="M90" s="54"/>
      <c r="N90" s="54"/>
      <c r="O90" s="54"/>
      <c r="P90" s="54"/>
      <c r="Q90" s="54"/>
      <c r="R90" s="54"/>
      <c r="S90" s="188"/>
      <c r="T90" s="140"/>
      <c r="U90" s="54"/>
    </row>
    <row r="91" spans="4:21" x14ac:dyDescent="0.3">
      <c r="D91" s="62"/>
      <c r="E91" s="53"/>
      <c r="F91" s="53"/>
      <c r="G91" s="53"/>
      <c r="H91" s="118"/>
      <c r="I91" s="141"/>
      <c r="J91" s="53"/>
      <c r="K91" s="53"/>
      <c r="L91" s="141"/>
      <c r="M91" s="53"/>
      <c r="N91" s="53"/>
      <c r="O91" s="53"/>
      <c r="P91" s="53"/>
      <c r="Q91" s="53"/>
      <c r="R91" s="53"/>
      <c r="S91" s="186"/>
      <c r="T91" s="141"/>
      <c r="U91" s="53"/>
    </row>
    <row r="92" spans="4:21" x14ac:dyDescent="0.3">
      <c r="D92" s="69"/>
      <c r="E92" s="54"/>
      <c r="F92" s="54"/>
      <c r="G92" s="54"/>
      <c r="H92" s="119"/>
      <c r="I92" s="140"/>
      <c r="J92" s="54"/>
      <c r="K92" s="54"/>
      <c r="L92" s="140"/>
      <c r="M92" s="54"/>
      <c r="N92" s="54"/>
      <c r="O92" s="54"/>
      <c r="P92" s="54"/>
      <c r="Q92" s="54"/>
      <c r="R92" s="54"/>
      <c r="S92" s="188"/>
      <c r="T92" s="140"/>
      <c r="U92" s="54"/>
    </row>
    <row r="93" spans="4:21" x14ac:dyDescent="0.3">
      <c r="D93" s="62"/>
      <c r="E93" s="53"/>
      <c r="F93" s="53"/>
      <c r="G93" s="53"/>
      <c r="H93" s="118"/>
      <c r="I93" s="141"/>
      <c r="J93" s="53"/>
      <c r="K93" s="53"/>
      <c r="L93" s="141"/>
      <c r="M93" s="53"/>
      <c r="N93" s="53"/>
      <c r="O93" s="53"/>
      <c r="P93" s="53"/>
      <c r="Q93" s="53"/>
      <c r="R93" s="53"/>
      <c r="S93" s="186"/>
      <c r="T93" s="141"/>
      <c r="U93" s="53"/>
    </row>
    <row r="94" spans="4:21" x14ac:dyDescent="0.3">
      <c r="D94" s="69"/>
      <c r="E94" s="54"/>
      <c r="F94" s="54"/>
      <c r="G94" s="54"/>
      <c r="H94" s="119"/>
      <c r="I94" s="140"/>
      <c r="J94" s="54"/>
      <c r="K94" s="54"/>
      <c r="L94" s="140"/>
      <c r="M94" s="54"/>
      <c r="N94" s="54"/>
      <c r="O94" s="54"/>
      <c r="P94" s="54"/>
      <c r="Q94" s="54"/>
      <c r="R94" s="54"/>
      <c r="S94" s="188"/>
      <c r="T94" s="140"/>
      <c r="U94" s="54"/>
    </row>
    <row r="95" spans="4:21" x14ac:dyDescent="0.3">
      <c r="D95" s="62"/>
      <c r="E95" s="53"/>
      <c r="F95" s="53"/>
      <c r="G95" s="53"/>
      <c r="H95" s="118"/>
      <c r="I95" s="141"/>
      <c r="J95" s="53"/>
      <c r="K95" s="53"/>
      <c r="L95" s="141"/>
      <c r="M95" s="53"/>
      <c r="N95" s="53"/>
      <c r="O95" s="53"/>
      <c r="P95" s="53"/>
      <c r="Q95" s="53"/>
      <c r="R95" s="53"/>
      <c r="S95" s="186"/>
      <c r="T95" s="141"/>
      <c r="U95" s="53"/>
    </row>
    <row r="96" spans="4:21" x14ac:dyDescent="0.3">
      <c r="D96" s="69"/>
      <c r="E96" s="54"/>
      <c r="F96" s="54"/>
      <c r="G96" s="54"/>
      <c r="H96" s="119"/>
      <c r="I96" s="140"/>
      <c r="J96" s="54"/>
      <c r="K96" s="54"/>
      <c r="L96" s="140"/>
      <c r="M96" s="54"/>
      <c r="N96" s="54"/>
      <c r="O96" s="54"/>
      <c r="P96" s="54"/>
      <c r="Q96" s="54"/>
      <c r="R96" s="54"/>
      <c r="S96" s="188"/>
      <c r="T96" s="140"/>
      <c r="U96" s="54"/>
    </row>
    <row r="97" spans="4:21" x14ac:dyDescent="0.3">
      <c r="D97" s="62"/>
      <c r="E97" s="53"/>
      <c r="F97" s="53"/>
      <c r="G97" s="53"/>
      <c r="H97" s="118"/>
      <c r="I97" s="141"/>
      <c r="J97" s="53"/>
      <c r="K97" s="53"/>
      <c r="L97" s="141"/>
      <c r="M97" s="53"/>
      <c r="N97" s="53"/>
      <c r="O97" s="53"/>
      <c r="P97" s="53"/>
      <c r="Q97" s="53"/>
      <c r="R97" s="53"/>
      <c r="S97" s="186"/>
      <c r="T97" s="141"/>
      <c r="U97" s="53"/>
    </row>
    <row r="98" spans="4:21" x14ac:dyDescent="0.3">
      <c r="D98" s="69"/>
      <c r="E98" s="54"/>
      <c r="F98" s="54"/>
      <c r="G98" s="54"/>
      <c r="H98" s="119"/>
      <c r="I98" s="140"/>
      <c r="J98" s="54"/>
      <c r="K98" s="54"/>
      <c r="L98" s="140"/>
      <c r="M98" s="54"/>
      <c r="N98" s="54"/>
      <c r="O98" s="54"/>
      <c r="P98" s="54"/>
      <c r="Q98" s="54"/>
      <c r="R98" s="54"/>
      <c r="S98" s="188"/>
      <c r="T98" s="140"/>
      <c r="U98" s="54"/>
    </row>
    <row r="99" spans="4:21" x14ac:dyDescent="0.3">
      <c r="D99" s="62"/>
      <c r="E99" s="53"/>
      <c r="F99" s="53"/>
      <c r="G99" s="53"/>
      <c r="H99" s="118"/>
      <c r="I99" s="141"/>
      <c r="J99" s="53"/>
      <c r="K99" s="53"/>
      <c r="L99" s="141"/>
      <c r="M99" s="53"/>
      <c r="N99" s="53"/>
      <c r="O99" s="53"/>
      <c r="P99" s="53"/>
      <c r="Q99" s="53"/>
      <c r="R99" s="53"/>
      <c r="S99" s="186"/>
      <c r="T99" s="141"/>
      <c r="U99" s="53"/>
    </row>
    <row r="100" spans="4:21" x14ac:dyDescent="0.3">
      <c r="D100" s="69"/>
      <c r="E100" s="54"/>
      <c r="F100" s="54"/>
      <c r="G100" s="54"/>
      <c r="H100" s="119"/>
      <c r="I100" s="140"/>
      <c r="J100" s="54"/>
      <c r="K100" s="54"/>
      <c r="L100" s="140"/>
      <c r="M100" s="54"/>
      <c r="N100" s="54"/>
      <c r="O100" s="54"/>
      <c r="P100" s="54"/>
      <c r="Q100" s="54"/>
      <c r="R100" s="54"/>
      <c r="S100" s="188"/>
      <c r="T100" s="140"/>
      <c r="U100" s="54"/>
    </row>
    <row r="101" spans="4:21" x14ac:dyDescent="0.3">
      <c r="D101" s="62"/>
      <c r="E101" s="53"/>
      <c r="F101" s="53"/>
      <c r="G101" s="53"/>
      <c r="H101" s="118"/>
      <c r="I101" s="141"/>
      <c r="J101" s="53"/>
      <c r="K101" s="53"/>
      <c r="L101" s="141"/>
      <c r="M101" s="53"/>
      <c r="N101" s="53"/>
      <c r="O101" s="53"/>
      <c r="P101" s="53"/>
      <c r="Q101" s="53"/>
      <c r="R101" s="53"/>
      <c r="S101" s="186"/>
      <c r="T101" s="141"/>
      <c r="U101" s="53"/>
    </row>
    <row r="102" spans="4:21" x14ac:dyDescent="0.3">
      <c r="D102" s="69"/>
      <c r="E102" s="54"/>
      <c r="F102" s="54"/>
      <c r="G102" s="54"/>
      <c r="H102" s="119"/>
      <c r="I102" s="140"/>
      <c r="J102" s="54"/>
      <c r="K102" s="54"/>
      <c r="L102" s="140"/>
      <c r="M102" s="54"/>
      <c r="N102" s="54"/>
      <c r="O102" s="54"/>
      <c r="P102" s="54"/>
      <c r="Q102" s="54"/>
      <c r="R102" s="54"/>
      <c r="S102" s="188"/>
      <c r="T102" s="140"/>
      <c r="U102" s="54"/>
    </row>
    <row r="103" spans="4:21" x14ac:dyDescent="0.3">
      <c r="D103" s="62"/>
      <c r="E103" s="53"/>
      <c r="F103" s="53"/>
      <c r="G103" s="53"/>
      <c r="H103" s="118"/>
      <c r="I103" s="141"/>
      <c r="J103" s="53"/>
      <c r="K103" s="53"/>
      <c r="L103" s="141"/>
      <c r="M103" s="53"/>
      <c r="N103" s="53"/>
      <c r="O103" s="53"/>
      <c r="P103" s="53"/>
      <c r="Q103" s="53"/>
      <c r="R103" s="53"/>
      <c r="S103" s="186"/>
      <c r="T103" s="141"/>
      <c r="U103" s="53"/>
    </row>
    <row r="104" spans="4:21" x14ac:dyDescent="0.3">
      <c r="D104" s="69"/>
      <c r="E104" s="54"/>
      <c r="F104" s="54"/>
      <c r="G104" s="54"/>
      <c r="H104" s="119"/>
      <c r="I104" s="140"/>
      <c r="J104" s="54"/>
      <c r="K104" s="54"/>
      <c r="L104" s="140"/>
      <c r="M104" s="54"/>
      <c r="N104" s="54"/>
      <c r="O104" s="54"/>
      <c r="P104" s="54"/>
      <c r="Q104" s="54"/>
      <c r="R104" s="54"/>
      <c r="S104" s="188"/>
      <c r="T104" s="140"/>
      <c r="U104" s="54"/>
    </row>
    <row r="105" spans="4:21" x14ac:dyDescent="0.3">
      <c r="D105" s="62"/>
      <c r="E105" s="53"/>
      <c r="F105" s="53"/>
      <c r="G105" s="53"/>
      <c r="H105" s="118"/>
      <c r="I105" s="141"/>
      <c r="J105" s="53"/>
      <c r="K105" s="53"/>
      <c r="L105" s="141"/>
      <c r="M105" s="53"/>
      <c r="N105" s="53"/>
      <c r="O105" s="53"/>
      <c r="P105" s="53"/>
      <c r="Q105" s="53"/>
      <c r="R105" s="53"/>
      <c r="S105" s="186"/>
      <c r="T105" s="141"/>
      <c r="U105" s="53"/>
    </row>
    <row r="106" spans="4:21" x14ac:dyDescent="0.3">
      <c r="D106" s="69"/>
      <c r="E106" s="54"/>
      <c r="F106" s="54"/>
      <c r="G106" s="54"/>
      <c r="H106" s="119"/>
      <c r="I106" s="140"/>
      <c r="J106" s="54"/>
      <c r="K106" s="54"/>
      <c r="L106" s="140"/>
      <c r="M106" s="54"/>
      <c r="N106" s="54"/>
      <c r="O106" s="54"/>
      <c r="P106" s="54"/>
      <c r="Q106" s="54"/>
      <c r="R106" s="54"/>
      <c r="S106" s="188"/>
      <c r="T106" s="140"/>
      <c r="U106" s="54"/>
    </row>
    <row r="107" spans="4:21" x14ac:dyDescent="0.3">
      <c r="D107" s="62"/>
      <c r="E107" s="53"/>
      <c r="F107" s="53"/>
      <c r="G107" s="53"/>
      <c r="H107" s="118"/>
      <c r="I107" s="141"/>
      <c r="J107" s="53"/>
      <c r="K107" s="53"/>
      <c r="L107" s="141"/>
      <c r="M107" s="53"/>
      <c r="N107" s="53"/>
      <c r="O107" s="53"/>
      <c r="P107" s="53"/>
      <c r="Q107" s="53"/>
      <c r="R107" s="53"/>
      <c r="S107" s="186"/>
      <c r="T107" s="141"/>
      <c r="U107" s="53"/>
    </row>
    <row r="108" spans="4:21" x14ac:dyDescent="0.3">
      <c r="D108" s="69"/>
      <c r="E108" s="54"/>
      <c r="F108" s="54"/>
      <c r="G108" s="54"/>
      <c r="H108" s="119"/>
      <c r="I108" s="140"/>
      <c r="J108" s="54"/>
      <c r="K108" s="54"/>
      <c r="L108" s="140"/>
      <c r="M108" s="54"/>
      <c r="N108" s="54"/>
      <c r="O108" s="54"/>
      <c r="P108" s="54"/>
      <c r="Q108" s="54"/>
      <c r="R108" s="54"/>
      <c r="S108" s="188"/>
      <c r="T108" s="140"/>
      <c r="U108" s="54"/>
    </row>
    <row r="109" spans="4:21" x14ac:dyDescent="0.3">
      <c r="D109" s="62"/>
      <c r="E109" s="53"/>
      <c r="F109" s="53"/>
      <c r="G109" s="53"/>
      <c r="H109" s="118"/>
      <c r="I109" s="141"/>
      <c r="J109" s="53"/>
      <c r="K109" s="53"/>
      <c r="L109" s="141"/>
      <c r="M109" s="53"/>
      <c r="N109" s="53"/>
      <c r="O109" s="53"/>
      <c r="P109" s="53"/>
      <c r="Q109" s="53"/>
      <c r="R109" s="53"/>
      <c r="S109" s="186"/>
      <c r="T109" s="141"/>
      <c r="U109" s="53"/>
    </row>
    <row r="110" spans="4:21" x14ac:dyDescent="0.3">
      <c r="D110" s="69"/>
      <c r="E110" s="54"/>
      <c r="F110" s="54"/>
      <c r="G110" s="54"/>
      <c r="H110" s="119"/>
      <c r="I110" s="140"/>
      <c r="J110" s="54"/>
      <c r="K110" s="54"/>
      <c r="L110" s="140"/>
      <c r="M110" s="54"/>
      <c r="N110" s="54"/>
      <c r="O110" s="54"/>
      <c r="P110" s="54"/>
      <c r="Q110" s="54"/>
      <c r="R110" s="54"/>
      <c r="S110" s="188"/>
      <c r="T110" s="140"/>
      <c r="U110" s="54"/>
    </row>
    <row r="111" spans="4:21" x14ac:dyDescent="0.3">
      <c r="D111" s="62"/>
      <c r="E111" s="53"/>
      <c r="F111" s="53"/>
      <c r="G111" s="53"/>
      <c r="H111" s="118"/>
      <c r="I111" s="141"/>
      <c r="J111" s="53"/>
      <c r="K111" s="53"/>
      <c r="L111" s="141"/>
      <c r="M111" s="53"/>
      <c r="N111" s="53"/>
      <c r="O111" s="53"/>
      <c r="P111" s="53"/>
      <c r="Q111" s="53"/>
      <c r="R111" s="53"/>
      <c r="S111" s="186"/>
      <c r="T111" s="141"/>
      <c r="U111" s="53"/>
    </row>
    <row r="112" spans="4:21" x14ac:dyDescent="0.3">
      <c r="D112" s="69"/>
      <c r="E112" s="54"/>
      <c r="F112" s="54"/>
      <c r="G112" s="54"/>
      <c r="H112" s="119"/>
      <c r="I112" s="140"/>
      <c r="J112" s="54"/>
      <c r="K112" s="54"/>
      <c r="L112" s="140"/>
      <c r="M112" s="54"/>
      <c r="N112" s="54"/>
      <c r="O112" s="54"/>
      <c r="P112" s="54"/>
      <c r="Q112" s="54"/>
      <c r="R112" s="54"/>
      <c r="S112" s="188"/>
      <c r="T112" s="140"/>
      <c r="U112" s="54"/>
    </row>
    <row r="113" spans="4:21" x14ac:dyDescent="0.3">
      <c r="D113" s="62"/>
      <c r="E113" s="53"/>
      <c r="F113" s="53"/>
      <c r="G113" s="53"/>
      <c r="H113" s="118"/>
      <c r="I113" s="141"/>
      <c r="J113" s="53"/>
      <c r="K113" s="53"/>
      <c r="L113" s="141"/>
      <c r="M113" s="53"/>
      <c r="N113" s="53"/>
      <c r="O113" s="53"/>
      <c r="P113" s="53"/>
      <c r="Q113" s="53"/>
      <c r="R113" s="53"/>
      <c r="S113" s="186"/>
      <c r="T113" s="141"/>
      <c r="U113" s="53"/>
    </row>
    <row r="114" spans="4:21" x14ac:dyDescent="0.3">
      <c r="D114" s="69"/>
      <c r="E114" s="54"/>
      <c r="F114" s="54"/>
      <c r="G114" s="54"/>
      <c r="H114" s="119"/>
      <c r="I114" s="140"/>
      <c r="J114" s="54"/>
      <c r="K114" s="54"/>
      <c r="L114" s="140"/>
      <c r="M114" s="54"/>
      <c r="N114" s="54"/>
      <c r="O114" s="54"/>
      <c r="P114" s="54"/>
      <c r="Q114" s="54"/>
      <c r="R114" s="54"/>
      <c r="S114" s="188"/>
      <c r="T114" s="140"/>
      <c r="U114" s="54"/>
    </row>
    <row r="115" spans="4:21" x14ac:dyDescent="0.3">
      <c r="D115" s="62"/>
      <c r="E115" s="53"/>
      <c r="F115" s="53"/>
      <c r="G115" s="53"/>
      <c r="H115" s="118"/>
      <c r="I115" s="141"/>
      <c r="J115" s="53"/>
      <c r="K115" s="53"/>
      <c r="L115" s="141"/>
      <c r="M115" s="53"/>
      <c r="N115" s="53"/>
      <c r="O115" s="53"/>
      <c r="P115" s="53"/>
      <c r="Q115" s="53"/>
      <c r="R115" s="53"/>
      <c r="S115" s="186"/>
      <c r="T115" s="141"/>
      <c r="U115" s="53"/>
    </row>
    <row r="116" spans="4:21" x14ac:dyDescent="0.3">
      <c r="D116" s="69"/>
      <c r="E116" s="54"/>
      <c r="F116" s="54"/>
      <c r="G116" s="54"/>
      <c r="H116" s="119"/>
      <c r="I116" s="140"/>
      <c r="J116" s="54"/>
      <c r="K116" s="54"/>
      <c r="L116" s="140"/>
      <c r="M116" s="54"/>
      <c r="N116" s="54"/>
      <c r="O116" s="54"/>
      <c r="P116" s="54"/>
      <c r="Q116" s="54"/>
      <c r="R116" s="54"/>
      <c r="S116" s="188"/>
      <c r="T116" s="140"/>
      <c r="U116" s="54"/>
    </row>
    <row r="117" spans="4:21" x14ac:dyDescent="0.3">
      <c r="D117" s="62"/>
      <c r="E117" s="53"/>
      <c r="F117" s="53"/>
      <c r="G117" s="53"/>
      <c r="H117" s="118"/>
      <c r="I117" s="141"/>
      <c r="J117" s="53"/>
      <c r="K117" s="53"/>
      <c r="L117" s="141"/>
      <c r="M117" s="53"/>
      <c r="N117" s="53"/>
      <c r="O117" s="53"/>
      <c r="P117" s="53"/>
      <c r="Q117" s="53"/>
      <c r="R117" s="53"/>
      <c r="S117" s="186"/>
      <c r="T117" s="141"/>
      <c r="U117" s="53"/>
    </row>
    <row r="118" spans="4:21" x14ac:dyDescent="0.3">
      <c r="D118" s="69"/>
      <c r="E118" s="54"/>
      <c r="F118" s="54"/>
      <c r="G118" s="54"/>
      <c r="H118" s="119"/>
      <c r="I118" s="140"/>
      <c r="J118" s="54"/>
      <c r="K118" s="54"/>
      <c r="L118" s="140"/>
      <c r="M118" s="54"/>
      <c r="N118" s="54"/>
      <c r="O118" s="54"/>
      <c r="P118" s="54"/>
      <c r="Q118" s="54"/>
      <c r="R118" s="54"/>
      <c r="S118" s="188"/>
      <c r="T118" s="140"/>
      <c r="U118" s="54"/>
    </row>
    <row r="119" spans="4:21" x14ac:dyDescent="0.3">
      <c r="D119" s="62"/>
      <c r="E119" s="53"/>
      <c r="F119" s="53"/>
      <c r="G119" s="53"/>
      <c r="H119" s="118"/>
      <c r="I119" s="141"/>
      <c r="J119" s="53"/>
      <c r="K119" s="53"/>
      <c r="L119" s="141"/>
      <c r="M119" s="53"/>
      <c r="N119" s="53"/>
      <c r="O119" s="53"/>
      <c r="P119" s="53"/>
      <c r="Q119" s="53"/>
      <c r="R119" s="53"/>
      <c r="S119" s="186"/>
      <c r="T119" s="141"/>
      <c r="U119" s="53"/>
    </row>
    <row r="120" spans="4:21" x14ac:dyDescent="0.3">
      <c r="D120" s="69"/>
      <c r="E120" s="54"/>
      <c r="F120" s="54"/>
      <c r="G120" s="54"/>
      <c r="H120" s="119"/>
      <c r="I120" s="140"/>
      <c r="J120" s="54"/>
      <c r="K120" s="54"/>
      <c r="L120" s="140"/>
      <c r="M120" s="54"/>
      <c r="N120" s="54"/>
      <c r="O120" s="54"/>
      <c r="P120" s="54"/>
      <c r="Q120" s="54"/>
      <c r="R120" s="54"/>
      <c r="S120" s="188"/>
      <c r="T120" s="140"/>
      <c r="U120" s="54"/>
    </row>
    <row r="121" spans="4:21" x14ac:dyDescent="0.3">
      <c r="D121" s="62"/>
      <c r="E121" s="53"/>
      <c r="F121" s="53"/>
      <c r="G121" s="53"/>
      <c r="H121" s="118"/>
      <c r="I121" s="141"/>
      <c r="J121" s="53"/>
      <c r="K121" s="53"/>
      <c r="L121" s="141"/>
      <c r="M121" s="53"/>
      <c r="N121" s="53"/>
      <c r="O121" s="53"/>
      <c r="P121" s="53"/>
      <c r="Q121" s="53"/>
      <c r="R121" s="53"/>
      <c r="S121" s="186"/>
      <c r="T121" s="141"/>
      <c r="U121" s="53"/>
    </row>
    <row r="122" spans="4:21" x14ac:dyDescent="0.3">
      <c r="D122" s="69"/>
      <c r="E122" s="54"/>
      <c r="F122" s="54"/>
      <c r="G122" s="54"/>
      <c r="H122" s="119"/>
      <c r="I122" s="140"/>
      <c r="J122" s="54"/>
      <c r="K122" s="54"/>
      <c r="L122" s="140"/>
      <c r="M122" s="54"/>
      <c r="N122" s="54"/>
      <c r="O122" s="54"/>
      <c r="P122" s="54"/>
      <c r="Q122" s="54"/>
      <c r="R122" s="54"/>
      <c r="S122" s="188"/>
      <c r="T122" s="140"/>
      <c r="U122" s="54"/>
    </row>
    <row r="123" spans="4:21" x14ac:dyDescent="0.3">
      <c r="D123" s="62"/>
      <c r="E123" s="53"/>
      <c r="F123" s="53"/>
      <c r="G123" s="53"/>
      <c r="H123" s="118"/>
      <c r="I123" s="141"/>
      <c r="J123" s="53"/>
      <c r="K123" s="53"/>
      <c r="L123" s="141"/>
      <c r="M123" s="53"/>
      <c r="N123" s="53"/>
      <c r="O123" s="53"/>
      <c r="P123" s="53"/>
      <c r="Q123" s="53"/>
      <c r="R123" s="53"/>
      <c r="S123" s="186"/>
      <c r="T123" s="141"/>
      <c r="U123" s="53"/>
    </row>
    <row r="124" spans="4:21" x14ac:dyDescent="0.3">
      <c r="D124" s="69"/>
      <c r="E124" s="54"/>
      <c r="F124" s="54"/>
      <c r="G124" s="54"/>
      <c r="H124" s="119"/>
      <c r="I124" s="140"/>
      <c r="J124" s="54"/>
      <c r="K124" s="54"/>
      <c r="L124" s="140"/>
      <c r="M124" s="54"/>
      <c r="N124" s="54"/>
      <c r="O124" s="54"/>
      <c r="P124" s="54"/>
      <c r="Q124" s="54"/>
      <c r="R124" s="54"/>
      <c r="S124" s="188"/>
      <c r="T124" s="140"/>
      <c r="U124" s="54"/>
    </row>
    <row r="125" spans="4:21" x14ac:dyDescent="0.3">
      <c r="D125" s="62"/>
      <c r="E125" s="53"/>
      <c r="F125" s="53"/>
      <c r="G125" s="53"/>
      <c r="H125" s="118"/>
      <c r="I125" s="141"/>
      <c r="J125" s="53"/>
      <c r="K125" s="53"/>
      <c r="L125" s="141"/>
      <c r="M125" s="53"/>
      <c r="N125" s="53"/>
      <c r="O125" s="53"/>
      <c r="P125" s="53"/>
      <c r="Q125" s="53"/>
      <c r="R125" s="53"/>
      <c r="S125" s="186"/>
      <c r="T125" s="141"/>
      <c r="U125" s="53"/>
    </row>
    <row r="126" spans="4:21" x14ac:dyDescent="0.3">
      <c r="D126" s="69"/>
      <c r="E126" s="54"/>
      <c r="F126" s="54"/>
      <c r="G126" s="54"/>
      <c r="H126" s="119"/>
      <c r="I126" s="140"/>
      <c r="J126" s="54"/>
      <c r="K126" s="54"/>
      <c r="L126" s="140"/>
      <c r="M126" s="54"/>
      <c r="N126" s="54"/>
      <c r="O126" s="54"/>
      <c r="P126" s="54"/>
      <c r="Q126" s="54"/>
      <c r="R126" s="54"/>
      <c r="S126" s="188"/>
      <c r="T126" s="140"/>
      <c r="U126" s="54"/>
    </row>
    <row r="127" spans="4:21" x14ac:dyDescent="0.3">
      <c r="D127" s="62"/>
      <c r="E127" s="53"/>
      <c r="F127" s="53"/>
      <c r="G127" s="53"/>
      <c r="H127" s="118"/>
      <c r="I127" s="141"/>
      <c r="J127" s="53"/>
      <c r="K127" s="53"/>
      <c r="L127" s="141"/>
      <c r="M127" s="53"/>
      <c r="N127" s="53"/>
      <c r="O127" s="53"/>
      <c r="P127" s="53"/>
      <c r="Q127" s="53"/>
      <c r="R127" s="53"/>
      <c r="S127" s="186"/>
      <c r="T127" s="141"/>
      <c r="U127" s="53"/>
    </row>
    <row r="128" spans="4:21" x14ac:dyDescent="0.3">
      <c r="D128" s="69"/>
      <c r="E128" s="54"/>
      <c r="F128" s="54"/>
      <c r="G128" s="54"/>
      <c r="H128" s="119"/>
      <c r="I128" s="140"/>
      <c r="J128" s="54"/>
      <c r="K128" s="54"/>
      <c r="L128" s="140"/>
      <c r="M128" s="54"/>
      <c r="N128" s="54"/>
      <c r="O128" s="54"/>
      <c r="P128" s="54"/>
      <c r="Q128" s="54"/>
      <c r="R128" s="54"/>
      <c r="S128" s="188"/>
      <c r="T128" s="140"/>
      <c r="U128" s="54"/>
    </row>
    <row r="129" spans="4:21" x14ac:dyDescent="0.3">
      <c r="D129" s="62"/>
      <c r="E129" s="53"/>
      <c r="F129" s="53"/>
      <c r="G129" s="53"/>
      <c r="H129" s="118"/>
      <c r="I129" s="141"/>
      <c r="J129" s="53"/>
      <c r="K129" s="53"/>
      <c r="L129" s="141"/>
      <c r="M129" s="53"/>
      <c r="N129" s="53"/>
      <c r="O129" s="53"/>
      <c r="P129" s="53"/>
      <c r="Q129" s="53"/>
      <c r="R129" s="53"/>
      <c r="S129" s="186"/>
      <c r="T129" s="141"/>
      <c r="U129" s="53"/>
    </row>
    <row r="130" spans="4:21" x14ac:dyDescent="0.3">
      <c r="D130" s="69"/>
      <c r="E130" s="54"/>
      <c r="F130" s="54"/>
      <c r="G130" s="54"/>
      <c r="H130" s="119"/>
      <c r="I130" s="140"/>
      <c r="J130" s="54"/>
      <c r="K130" s="54"/>
      <c r="L130" s="140"/>
      <c r="M130" s="54"/>
      <c r="N130" s="54"/>
      <c r="O130" s="54"/>
      <c r="P130" s="54"/>
      <c r="Q130" s="54"/>
      <c r="R130" s="54"/>
      <c r="S130" s="188"/>
      <c r="T130" s="140"/>
      <c r="U130" s="54"/>
    </row>
    <row r="131" spans="4:21" x14ac:dyDescent="0.3">
      <c r="D131" s="62"/>
      <c r="E131" s="53"/>
      <c r="F131" s="53"/>
      <c r="G131" s="53"/>
      <c r="H131" s="118"/>
      <c r="I131" s="141"/>
      <c r="J131" s="53"/>
      <c r="K131" s="53"/>
      <c r="L131" s="141"/>
      <c r="M131" s="53"/>
      <c r="N131" s="53"/>
      <c r="O131" s="53"/>
      <c r="P131" s="53"/>
      <c r="Q131" s="53"/>
      <c r="R131" s="53"/>
      <c r="S131" s="186"/>
      <c r="T131" s="141"/>
      <c r="U131" s="53"/>
    </row>
    <row r="132" spans="4:21" x14ac:dyDescent="0.3">
      <c r="D132" s="69"/>
      <c r="E132" s="54"/>
      <c r="F132" s="54"/>
      <c r="G132" s="54"/>
      <c r="H132" s="119"/>
      <c r="I132" s="140"/>
      <c r="J132" s="54"/>
      <c r="K132" s="54"/>
      <c r="L132" s="140"/>
      <c r="M132" s="54"/>
      <c r="N132" s="54"/>
      <c r="O132" s="54"/>
      <c r="P132" s="54"/>
      <c r="Q132" s="54"/>
      <c r="R132" s="54"/>
      <c r="S132" s="188"/>
      <c r="T132" s="140"/>
      <c r="U132" s="54"/>
    </row>
    <row r="133" spans="4:21" x14ac:dyDescent="0.3">
      <c r="D133" s="62"/>
      <c r="E133" s="53"/>
      <c r="F133" s="53"/>
      <c r="G133" s="53"/>
      <c r="H133" s="118"/>
      <c r="I133" s="141"/>
      <c r="J133" s="53"/>
      <c r="K133" s="53"/>
      <c r="L133" s="141"/>
      <c r="M133" s="53"/>
      <c r="N133" s="53"/>
      <c r="O133" s="53"/>
      <c r="P133" s="53"/>
      <c r="Q133" s="53"/>
      <c r="R133" s="53"/>
      <c r="S133" s="186"/>
      <c r="T133" s="141"/>
      <c r="U133" s="53"/>
    </row>
    <row r="134" spans="4:21" x14ac:dyDescent="0.3">
      <c r="D134" s="69"/>
      <c r="E134" s="54"/>
      <c r="F134" s="54"/>
      <c r="G134" s="54"/>
      <c r="H134" s="119"/>
      <c r="I134" s="140"/>
      <c r="J134" s="54"/>
      <c r="K134" s="54"/>
      <c r="L134" s="140"/>
      <c r="M134" s="54"/>
      <c r="N134" s="54"/>
      <c r="O134" s="54"/>
      <c r="P134" s="54"/>
      <c r="Q134" s="54"/>
      <c r="R134" s="54"/>
      <c r="S134" s="188"/>
      <c r="T134" s="140"/>
      <c r="U134" s="54"/>
    </row>
    <row r="135" spans="4:21" x14ac:dyDescent="0.3">
      <c r="D135" s="62"/>
      <c r="E135" s="53"/>
      <c r="F135" s="53"/>
      <c r="G135" s="53"/>
      <c r="H135" s="118"/>
      <c r="I135" s="141"/>
      <c r="J135" s="53"/>
      <c r="K135" s="53"/>
      <c r="L135" s="141"/>
      <c r="M135" s="53"/>
      <c r="N135" s="53"/>
      <c r="O135" s="53"/>
      <c r="P135" s="53"/>
      <c r="Q135" s="53"/>
      <c r="R135" s="53"/>
      <c r="S135" s="186"/>
      <c r="T135" s="141"/>
      <c r="U135" s="53"/>
    </row>
    <row r="136" spans="4:21" x14ac:dyDescent="0.3">
      <c r="D136" s="69"/>
      <c r="E136" s="54"/>
      <c r="F136" s="54"/>
      <c r="G136" s="54"/>
      <c r="H136" s="119"/>
      <c r="I136" s="140"/>
      <c r="J136" s="54"/>
      <c r="K136" s="54"/>
      <c r="L136" s="140"/>
      <c r="M136" s="54"/>
      <c r="N136" s="54"/>
      <c r="O136" s="54"/>
      <c r="P136" s="54"/>
      <c r="Q136" s="54"/>
      <c r="R136" s="54"/>
      <c r="S136" s="188"/>
      <c r="T136" s="140"/>
      <c r="U136" s="54"/>
    </row>
    <row r="137" spans="4:21" x14ac:dyDescent="0.3">
      <c r="D137" s="62"/>
      <c r="E137" s="53"/>
      <c r="F137" s="53"/>
      <c r="G137" s="53"/>
      <c r="H137" s="118"/>
      <c r="I137" s="141"/>
      <c r="J137" s="53"/>
      <c r="K137" s="53"/>
      <c r="L137" s="141"/>
      <c r="M137" s="53"/>
      <c r="N137" s="53"/>
      <c r="O137" s="53"/>
      <c r="P137" s="53"/>
      <c r="Q137" s="53"/>
      <c r="R137" s="53"/>
      <c r="S137" s="186"/>
      <c r="T137" s="141"/>
      <c r="U137" s="53"/>
    </row>
    <row r="138" spans="4:21" x14ac:dyDescent="0.3">
      <c r="D138" s="69"/>
      <c r="E138" s="54"/>
      <c r="F138" s="54"/>
      <c r="G138" s="54"/>
      <c r="H138" s="119"/>
      <c r="I138" s="140"/>
      <c r="J138" s="54"/>
      <c r="K138" s="54"/>
      <c r="L138" s="140"/>
      <c r="M138" s="54"/>
      <c r="N138" s="54"/>
      <c r="O138" s="54"/>
      <c r="P138" s="54"/>
      <c r="Q138" s="54"/>
      <c r="R138" s="54"/>
      <c r="S138" s="188"/>
      <c r="T138" s="140"/>
      <c r="U138" s="54"/>
    </row>
    <row r="139" spans="4:21" x14ac:dyDescent="0.3">
      <c r="D139" s="62"/>
      <c r="E139" s="53"/>
      <c r="F139" s="53"/>
      <c r="G139" s="53"/>
      <c r="H139" s="118"/>
      <c r="I139" s="141"/>
      <c r="J139" s="53"/>
      <c r="K139" s="53"/>
      <c r="L139" s="141"/>
      <c r="M139" s="53"/>
      <c r="N139" s="53"/>
      <c r="O139" s="53"/>
      <c r="P139" s="53"/>
      <c r="Q139" s="53"/>
      <c r="R139" s="53"/>
      <c r="S139" s="186"/>
      <c r="T139" s="141"/>
      <c r="U139" s="53"/>
    </row>
    <row r="140" spans="4:21" x14ac:dyDescent="0.3">
      <c r="D140" s="69"/>
      <c r="E140" s="54"/>
      <c r="F140" s="54"/>
      <c r="G140" s="54"/>
      <c r="H140" s="119"/>
      <c r="I140" s="140"/>
      <c r="J140" s="54"/>
      <c r="K140" s="54"/>
      <c r="L140" s="140"/>
      <c r="M140" s="54"/>
      <c r="N140" s="54"/>
      <c r="O140" s="54"/>
      <c r="P140" s="54"/>
      <c r="Q140" s="54"/>
      <c r="R140" s="54"/>
      <c r="S140" s="188"/>
      <c r="T140" s="140"/>
      <c r="U140" s="54"/>
    </row>
    <row r="141" spans="4:21" x14ac:dyDescent="0.3">
      <c r="D141" s="62"/>
      <c r="E141" s="53"/>
      <c r="F141" s="53"/>
      <c r="G141" s="53"/>
      <c r="H141" s="118"/>
      <c r="I141" s="141"/>
      <c r="J141" s="53"/>
      <c r="K141" s="53"/>
      <c r="L141" s="141"/>
      <c r="M141" s="53"/>
      <c r="N141" s="53"/>
      <c r="O141" s="53"/>
      <c r="P141" s="53"/>
      <c r="Q141" s="53"/>
      <c r="R141" s="53"/>
      <c r="S141" s="186"/>
      <c r="T141" s="141"/>
      <c r="U141" s="53"/>
    </row>
    <row r="142" spans="4:21" x14ac:dyDescent="0.3">
      <c r="D142" s="69"/>
      <c r="E142" s="54"/>
      <c r="F142" s="54"/>
      <c r="G142" s="54"/>
      <c r="H142" s="119"/>
      <c r="I142" s="140"/>
      <c r="J142" s="54"/>
      <c r="K142" s="54"/>
      <c r="L142" s="140"/>
      <c r="M142" s="54"/>
      <c r="N142" s="54"/>
      <c r="O142" s="54"/>
      <c r="P142" s="54"/>
      <c r="Q142" s="54"/>
      <c r="R142" s="54"/>
      <c r="S142" s="188"/>
      <c r="T142" s="140"/>
      <c r="U142" s="54"/>
    </row>
    <row r="143" spans="4:21" x14ac:dyDescent="0.3">
      <c r="D143" s="62"/>
      <c r="E143" s="53"/>
      <c r="F143" s="53"/>
      <c r="G143" s="53"/>
      <c r="H143" s="118"/>
      <c r="I143" s="141"/>
      <c r="J143" s="53"/>
      <c r="K143" s="53"/>
      <c r="L143" s="141"/>
      <c r="M143" s="53"/>
      <c r="N143" s="53"/>
      <c r="O143" s="53"/>
      <c r="P143" s="53"/>
      <c r="Q143" s="53"/>
      <c r="R143" s="53"/>
      <c r="S143" s="186"/>
      <c r="T143" s="141"/>
      <c r="U143" s="53"/>
    </row>
    <row r="144" spans="4:21" x14ac:dyDescent="0.3">
      <c r="D144" s="69"/>
      <c r="E144" s="54"/>
      <c r="F144" s="54"/>
      <c r="G144" s="54"/>
      <c r="H144" s="119"/>
      <c r="I144" s="140"/>
      <c r="J144" s="54"/>
      <c r="K144" s="54"/>
      <c r="L144" s="140"/>
      <c r="M144" s="54"/>
      <c r="N144" s="54"/>
      <c r="O144" s="54"/>
      <c r="P144" s="54"/>
      <c r="Q144" s="54"/>
      <c r="R144" s="54"/>
      <c r="S144" s="188"/>
      <c r="T144" s="140"/>
      <c r="U144" s="54"/>
    </row>
    <row r="145" spans="4:21" x14ac:dyDescent="0.3">
      <c r="D145" s="62"/>
      <c r="E145" s="53"/>
      <c r="F145" s="53"/>
      <c r="G145" s="53"/>
      <c r="H145" s="118"/>
      <c r="I145" s="141"/>
      <c r="J145" s="53"/>
      <c r="K145" s="53"/>
      <c r="L145" s="141"/>
      <c r="M145" s="53"/>
      <c r="N145" s="53"/>
      <c r="O145" s="53"/>
      <c r="P145" s="53"/>
      <c r="Q145" s="53"/>
      <c r="R145" s="53"/>
      <c r="S145" s="186"/>
      <c r="T145" s="141"/>
      <c r="U145" s="53"/>
    </row>
    <row r="146" spans="4:21" x14ac:dyDescent="0.3">
      <c r="D146" s="69"/>
      <c r="E146" s="54"/>
      <c r="F146" s="54"/>
      <c r="G146" s="54"/>
      <c r="H146" s="119"/>
      <c r="I146" s="140"/>
      <c r="J146" s="54"/>
      <c r="K146" s="54"/>
      <c r="L146" s="140"/>
      <c r="M146" s="54"/>
      <c r="N146" s="54"/>
      <c r="O146" s="54"/>
      <c r="P146" s="54"/>
      <c r="Q146" s="54"/>
      <c r="R146" s="54"/>
      <c r="S146" s="188"/>
      <c r="T146" s="140"/>
      <c r="U146" s="54"/>
    </row>
    <row r="147" spans="4:21" x14ac:dyDescent="0.3">
      <c r="D147" s="62"/>
      <c r="E147" s="53"/>
      <c r="F147" s="53"/>
      <c r="G147" s="53"/>
      <c r="H147" s="118"/>
      <c r="I147" s="141"/>
      <c r="J147" s="53"/>
      <c r="K147" s="53"/>
      <c r="L147" s="141"/>
      <c r="M147" s="53"/>
      <c r="N147" s="53"/>
      <c r="O147" s="53"/>
      <c r="P147" s="53"/>
      <c r="Q147" s="53"/>
      <c r="R147" s="53"/>
      <c r="S147" s="186"/>
      <c r="T147" s="141"/>
      <c r="U147" s="53"/>
    </row>
    <row r="148" spans="4:21" x14ac:dyDescent="0.3">
      <c r="D148" s="69"/>
      <c r="E148" s="54"/>
      <c r="F148" s="54"/>
      <c r="G148" s="54"/>
      <c r="H148" s="119"/>
      <c r="I148" s="140"/>
      <c r="J148" s="54"/>
      <c r="K148" s="54"/>
      <c r="L148" s="140"/>
      <c r="M148" s="54"/>
      <c r="N148" s="54"/>
      <c r="O148" s="54"/>
      <c r="P148" s="54"/>
      <c r="Q148" s="54"/>
      <c r="R148" s="54"/>
      <c r="S148" s="188"/>
      <c r="T148" s="140"/>
      <c r="U148" s="54"/>
    </row>
    <row r="149" spans="4:21" x14ac:dyDescent="0.3">
      <c r="D149" s="62"/>
      <c r="E149" s="53"/>
      <c r="F149" s="53"/>
      <c r="G149" s="53"/>
      <c r="H149" s="118"/>
      <c r="I149" s="141"/>
      <c r="J149" s="53"/>
      <c r="K149" s="53"/>
      <c r="L149" s="141"/>
      <c r="M149" s="53"/>
      <c r="N149" s="53"/>
      <c r="O149" s="53"/>
      <c r="P149" s="53"/>
      <c r="Q149" s="53"/>
      <c r="R149" s="53"/>
      <c r="S149" s="186"/>
      <c r="T149" s="141"/>
      <c r="U149" s="53"/>
    </row>
    <row r="150" spans="4:21" x14ac:dyDescent="0.3">
      <c r="D150" s="69"/>
      <c r="E150" s="54"/>
      <c r="F150" s="54"/>
      <c r="G150" s="54"/>
      <c r="H150" s="119"/>
      <c r="I150" s="140"/>
      <c r="J150" s="54"/>
      <c r="K150" s="54"/>
      <c r="L150" s="140"/>
      <c r="M150" s="54"/>
      <c r="N150" s="54"/>
      <c r="O150" s="54"/>
      <c r="P150" s="54"/>
      <c r="Q150" s="54"/>
      <c r="R150" s="54"/>
      <c r="S150" s="188"/>
      <c r="T150" s="140"/>
      <c r="U150" s="54"/>
    </row>
    <row r="151" spans="4:21" x14ac:dyDescent="0.3">
      <c r="D151" s="62"/>
      <c r="E151" s="53"/>
      <c r="F151" s="53"/>
      <c r="G151" s="53"/>
      <c r="H151" s="118"/>
      <c r="I151" s="141"/>
      <c r="J151" s="53"/>
      <c r="K151" s="53"/>
      <c r="L151" s="141"/>
      <c r="M151" s="53"/>
      <c r="N151" s="53"/>
      <c r="O151" s="53"/>
      <c r="P151" s="53"/>
      <c r="Q151" s="53"/>
      <c r="R151" s="53"/>
      <c r="S151" s="186"/>
      <c r="T151" s="141"/>
      <c r="U151" s="53"/>
    </row>
    <row r="152" spans="4:21" x14ac:dyDescent="0.3">
      <c r="D152" s="69"/>
      <c r="E152" s="54"/>
      <c r="F152" s="54"/>
      <c r="G152" s="54"/>
      <c r="H152" s="119"/>
      <c r="I152" s="140"/>
      <c r="J152" s="54"/>
      <c r="K152" s="54"/>
      <c r="L152" s="140"/>
      <c r="M152" s="54"/>
      <c r="N152" s="54"/>
      <c r="O152" s="54"/>
      <c r="P152" s="54"/>
      <c r="Q152" s="54"/>
      <c r="R152" s="54"/>
      <c r="S152" s="188"/>
      <c r="T152" s="140"/>
      <c r="U152" s="54"/>
    </row>
    <row r="153" spans="4:21" x14ac:dyDescent="0.3">
      <c r="D153" s="62"/>
      <c r="E153" s="53"/>
      <c r="F153" s="53"/>
      <c r="G153" s="53"/>
      <c r="H153" s="118"/>
      <c r="I153" s="141"/>
      <c r="J153" s="53"/>
      <c r="K153" s="53"/>
      <c r="L153" s="141"/>
      <c r="M153" s="53"/>
      <c r="N153" s="53"/>
      <c r="O153" s="53"/>
      <c r="P153" s="53"/>
      <c r="Q153" s="53"/>
      <c r="R153" s="53"/>
      <c r="S153" s="186"/>
      <c r="T153" s="141"/>
      <c r="U153" s="53"/>
    </row>
    <row r="154" spans="4:21" x14ac:dyDescent="0.3">
      <c r="D154" s="69"/>
      <c r="E154" s="54"/>
      <c r="F154" s="54"/>
      <c r="G154" s="54"/>
      <c r="H154" s="119"/>
      <c r="I154" s="140"/>
      <c r="J154" s="54"/>
      <c r="K154" s="54"/>
      <c r="L154" s="140"/>
      <c r="M154" s="54"/>
      <c r="N154" s="54"/>
      <c r="O154" s="54"/>
      <c r="P154" s="54"/>
      <c r="Q154" s="54"/>
      <c r="R154" s="54"/>
      <c r="S154" s="188"/>
      <c r="T154" s="140"/>
      <c r="U154" s="54"/>
    </row>
    <row r="155" spans="4:21" x14ac:dyDescent="0.3">
      <c r="D155" s="62"/>
      <c r="E155" s="53"/>
      <c r="F155" s="53"/>
      <c r="G155" s="53"/>
      <c r="H155" s="118"/>
      <c r="I155" s="141"/>
      <c r="J155" s="53"/>
      <c r="K155" s="53"/>
      <c r="L155" s="141"/>
      <c r="M155" s="53"/>
      <c r="N155" s="53"/>
      <c r="O155" s="53"/>
      <c r="P155" s="53"/>
      <c r="Q155" s="53"/>
      <c r="R155" s="53"/>
      <c r="S155" s="186"/>
      <c r="T155" s="141"/>
      <c r="U155" s="53"/>
    </row>
    <row r="156" spans="4:21" x14ac:dyDescent="0.3">
      <c r="D156" s="69"/>
      <c r="E156" s="54"/>
      <c r="F156" s="54"/>
      <c r="G156" s="54"/>
      <c r="H156" s="119"/>
      <c r="I156" s="140"/>
      <c r="J156" s="54"/>
      <c r="K156" s="54"/>
      <c r="L156" s="140"/>
      <c r="M156" s="54"/>
      <c r="N156" s="54"/>
      <c r="O156" s="54"/>
      <c r="P156" s="54"/>
      <c r="Q156" s="54"/>
      <c r="R156" s="54"/>
      <c r="S156" s="188"/>
      <c r="T156" s="140"/>
      <c r="U156" s="54"/>
    </row>
    <row r="157" spans="4:21" x14ac:dyDescent="0.3">
      <c r="D157" s="62"/>
      <c r="E157" s="53"/>
      <c r="F157" s="53"/>
      <c r="G157" s="53"/>
      <c r="H157" s="118"/>
      <c r="I157" s="141"/>
      <c r="J157" s="53"/>
      <c r="K157" s="53"/>
      <c r="L157" s="141"/>
      <c r="M157" s="53"/>
      <c r="N157" s="53"/>
      <c r="O157" s="53"/>
      <c r="P157" s="53"/>
      <c r="Q157" s="53"/>
      <c r="R157" s="53"/>
      <c r="S157" s="186"/>
      <c r="T157" s="141"/>
      <c r="U157" s="53"/>
    </row>
    <row r="158" spans="4:21" x14ac:dyDescent="0.3">
      <c r="D158" s="69"/>
      <c r="E158" s="54"/>
      <c r="F158" s="54"/>
      <c r="G158" s="54"/>
      <c r="H158" s="119"/>
      <c r="I158" s="140"/>
      <c r="J158" s="54"/>
      <c r="K158" s="54"/>
      <c r="L158" s="140"/>
      <c r="M158" s="54"/>
      <c r="N158" s="54"/>
      <c r="O158" s="54"/>
      <c r="P158" s="54"/>
      <c r="Q158" s="54"/>
      <c r="R158" s="54"/>
      <c r="S158" s="188"/>
      <c r="T158" s="140"/>
      <c r="U158" s="54"/>
    </row>
    <row r="159" spans="4:21" x14ac:dyDescent="0.3">
      <c r="D159" s="62"/>
      <c r="E159" s="53"/>
      <c r="F159" s="53"/>
      <c r="G159" s="53"/>
      <c r="H159" s="118"/>
      <c r="I159" s="141"/>
      <c r="J159" s="53"/>
      <c r="K159" s="53"/>
      <c r="L159" s="141"/>
      <c r="M159" s="53"/>
      <c r="N159" s="53"/>
      <c r="O159" s="53"/>
      <c r="P159" s="53"/>
      <c r="Q159" s="53"/>
      <c r="R159" s="53"/>
      <c r="S159" s="186"/>
      <c r="T159" s="141"/>
      <c r="U159" s="53"/>
    </row>
    <row r="160" spans="4:21" x14ac:dyDescent="0.3">
      <c r="D160" s="69"/>
      <c r="E160" s="54"/>
      <c r="F160" s="54"/>
      <c r="G160" s="54"/>
      <c r="H160" s="119"/>
      <c r="I160" s="140"/>
      <c r="J160" s="54"/>
      <c r="K160" s="54"/>
      <c r="L160" s="140"/>
      <c r="M160" s="54"/>
      <c r="N160" s="54"/>
      <c r="O160" s="54"/>
      <c r="P160" s="54"/>
      <c r="Q160" s="54"/>
      <c r="R160" s="54"/>
      <c r="S160" s="188"/>
      <c r="T160" s="140"/>
      <c r="U160" s="54"/>
    </row>
    <row r="161" spans="4:21" x14ac:dyDescent="0.3">
      <c r="D161" s="62"/>
      <c r="E161" s="53"/>
      <c r="F161" s="53"/>
      <c r="G161" s="53"/>
      <c r="H161" s="118"/>
      <c r="I161" s="141"/>
      <c r="J161" s="53"/>
      <c r="K161" s="53"/>
      <c r="L161" s="141"/>
      <c r="M161" s="53"/>
      <c r="N161" s="53"/>
      <c r="O161" s="53"/>
      <c r="P161" s="53"/>
      <c r="Q161" s="53"/>
      <c r="R161" s="53"/>
      <c r="S161" s="186"/>
      <c r="T161" s="141"/>
      <c r="U161" s="53"/>
    </row>
    <row r="162" spans="4:21" x14ac:dyDescent="0.3">
      <c r="D162" s="69"/>
      <c r="E162" s="54"/>
      <c r="F162" s="54"/>
      <c r="G162" s="54"/>
      <c r="H162" s="119"/>
      <c r="I162" s="140"/>
      <c r="J162" s="54"/>
      <c r="K162" s="54"/>
      <c r="L162" s="140"/>
      <c r="M162" s="54"/>
      <c r="N162" s="54"/>
      <c r="O162" s="54"/>
      <c r="P162" s="54"/>
      <c r="Q162" s="54"/>
      <c r="R162" s="54"/>
      <c r="S162" s="188"/>
      <c r="T162" s="140"/>
      <c r="U162" s="54"/>
    </row>
    <row r="163" spans="4:21" x14ac:dyDescent="0.3">
      <c r="D163" s="62"/>
      <c r="E163" s="53"/>
      <c r="F163" s="53"/>
      <c r="G163" s="53"/>
      <c r="H163" s="118"/>
      <c r="I163" s="141"/>
      <c r="J163" s="53"/>
      <c r="K163" s="53"/>
      <c r="L163" s="141"/>
      <c r="M163" s="53"/>
      <c r="N163" s="53"/>
      <c r="O163" s="53"/>
      <c r="P163" s="53"/>
      <c r="Q163" s="53"/>
      <c r="R163" s="53"/>
      <c r="S163" s="186"/>
      <c r="T163" s="141"/>
      <c r="U163" s="53"/>
    </row>
    <row r="164" spans="4:21" x14ac:dyDescent="0.3">
      <c r="D164" s="69"/>
      <c r="E164" s="54"/>
      <c r="F164" s="54"/>
      <c r="G164" s="54"/>
      <c r="H164" s="119"/>
      <c r="I164" s="140"/>
      <c r="J164" s="54"/>
      <c r="K164" s="54"/>
      <c r="L164" s="140"/>
      <c r="M164" s="54"/>
      <c r="N164" s="54"/>
      <c r="O164" s="54"/>
      <c r="P164" s="54"/>
      <c r="Q164" s="54"/>
      <c r="R164" s="54"/>
      <c r="S164" s="188"/>
      <c r="T164" s="140"/>
      <c r="U164" s="54"/>
    </row>
    <row r="165" spans="4:21" x14ac:dyDescent="0.3">
      <c r="D165" s="62"/>
      <c r="E165" s="53"/>
      <c r="F165" s="53"/>
      <c r="G165" s="53"/>
      <c r="H165" s="118"/>
      <c r="I165" s="141"/>
      <c r="J165" s="53"/>
      <c r="K165" s="53"/>
      <c r="L165" s="141"/>
      <c r="M165" s="53"/>
      <c r="N165" s="53"/>
      <c r="O165" s="53"/>
      <c r="P165" s="53"/>
      <c r="Q165" s="53"/>
      <c r="R165" s="53"/>
      <c r="S165" s="186"/>
      <c r="T165" s="141"/>
      <c r="U165" s="53"/>
    </row>
    <row r="166" spans="4:21" x14ac:dyDescent="0.3">
      <c r="D166" s="69"/>
      <c r="E166" s="54"/>
      <c r="F166" s="54"/>
      <c r="G166" s="54"/>
      <c r="H166" s="119"/>
      <c r="I166" s="140"/>
      <c r="J166" s="54"/>
      <c r="K166" s="54"/>
      <c r="L166" s="140"/>
      <c r="M166" s="54"/>
      <c r="N166" s="54"/>
      <c r="O166" s="54"/>
      <c r="P166" s="54"/>
      <c r="Q166" s="54"/>
      <c r="R166" s="54"/>
      <c r="S166" s="188"/>
      <c r="T166" s="140"/>
      <c r="U166" s="54"/>
    </row>
    <row r="167" spans="4:21" x14ac:dyDescent="0.3">
      <c r="D167" s="62"/>
      <c r="E167" s="53"/>
      <c r="F167" s="53"/>
      <c r="G167" s="53"/>
      <c r="H167" s="118"/>
      <c r="I167" s="141"/>
      <c r="J167" s="53"/>
      <c r="K167" s="53"/>
      <c r="L167" s="141"/>
      <c r="M167" s="53"/>
      <c r="N167" s="53"/>
      <c r="O167" s="53"/>
      <c r="P167" s="53"/>
      <c r="Q167" s="53"/>
      <c r="R167" s="53"/>
      <c r="S167" s="186"/>
      <c r="T167" s="141"/>
      <c r="U167" s="53"/>
    </row>
    <row r="168" spans="4:21" x14ac:dyDescent="0.3">
      <c r="D168" s="69"/>
      <c r="E168" s="54"/>
      <c r="F168" s="54"/>
      <c r="G168" s="54"/>
      <c r="H168" s="119"/>
      <c r="I168" s="140"/>
      <c r="J168" s="54"/>
      <c r="K168" s="54"/>
      <c r="L168" s="140"/>
      <c r="M168" s="54"/>
      <c r="N168" s="54"/>
      <c r="O168" s="54"/>
      <c r="P168" s="54"/>
      <c r="Q168" s="54"/>
      <c r="R168" s="54"/>
      <c r="S168" s="188"/>
      <c r="T168" s="140"/>
      <c r="U168" s="54"/>
    </row>
    <row r="169" spans="4:21" x14ac:dyDescent="0.3">
      <c r="D169" s="62"/>
      <c r="E169" s="53"/>
      <c r="F169" s="53"/>
      <c r="G169" s="53"/>
      <c r="H169" s="118"/>
      <c r="I169" s="141"/>
      <c r="J169" s="53"/>
      <c r="K169" s="53"/>
      <c r="L169" s="141"/>
      <c r="M169" s="53"/>
      <c r="N169" s="53"/>
      <c r="O169" s="53"/>
      <c r="P169" s="53"/>
      <c r="Q169" s="53"/>
      <c r="R169" s="53"/>
      <c r="S169" s="186"/>
      <c r="T169" s="141"/>
      <c r="U169" s="53"/>
    </row>
    <row r="170" spans="4:21" x14ac:dyDescent="0.3">
      <c r="D170" s="69"/>
      <c r="E170" s="54"/>
      <c r="F170" s="54"/>
      <c r="G170" s="54"/>
      <c r="H170" s="119"/>
      <c r="I170" s="140"/>
      <c r="J170" s="54"/>
      <c r="K170" s="54"/>
      <c r="L170" s="140"/>
      <c r="M170" s="54"/>
      <c r="N170" s="54"/>
      <c r="O170" s="54"/>
      <c r="P170" s="54"/>
      <c r="Q170" s="54"/>
      <c r="R170" s="54"/>
      <c r="S170" s="188"/>
      <c r="T170" s="140"/>
      <c r="U170" s="54"/>
    </row>
    <row r="171" spans="4:21" x14ac:dyDescent="0.3">
      <c r="D171" s="62"/>
      <c r="E171" s="53"/>
      <c r="F171" s="53"/>
      <c r="G171" s="53"/>
      <c r="H171" s="118"/>
      <c r="I171" s="141"/>
      <c r="J171" s="53"/>
      <c r="K171" s="53"/>
      <c r="L171" s="141"/>
      <c r="M171" s="53"/>
      <c r="N171" s="53"/>
      <c r="O171" s="53"/>
      <c r="P171" s="53"/>
      <c r="Q171" s="53"/>
      <c r="R171" s="53"/>
      <c r="S171" s="186"/>
      <c r="T171" s="141"/>
      <c r="U171" s="53"/>
    </row>
    <row r="172" spans="4:21" x14ac:dyDescent="0.3">
      <c r="D172" s="69"/>
      <c r="E172" s="54"/>
      <c r="F172" s="54"/>
      <c r="G172" s="54"/>
      <c r="H172" s="119"/>
      <c r="I172" s="140"/>
      <c r="J172" s="54"/>
      <c r="K172" s="54"/>
      <c r="L172" s="140"/>
      <c r="M172" s="54"/>
      <c r="N172" s="54"/>
      <c r="O172" s="54"/>
      <c r="P172" s="54"/>
      <c r="Q172" s="54"/>
      <c r="R172" s="54"/>
      <c r="S172" s="188"/>
      <c r="T172" s="140"/>
      <c r="U172" s="54"/>
    </row>
    <row r="173" spans="4:21" x14ac:dyDescent="0.3">
      <c r="D173" s="62"/>
      <c r="E173" s="53"/>
      <c r="F173" s="53"/>
      <c r="G173" s="53"/>
      <c r="H173" s="118"/>
      <c r="I173" s="141"/>
      <c r="J173" s="53"/>
      <c r="K173" s="53"/>
      <c r="L173" s="141"/>
      <c r="M173" s="53"/>
      <c r="N173" s="53"/>
      <c r="O173" s="53"/>
      <c r="P173" s="53"/>
      <c r="Q173" s="53"/>
      <c r="R173" s="53"/>
      <c r="S173" s="186"/>
      <c r="T173" s="141"/>
      <c r="U173" s="53"/>
    </row>
    <row r="174" spans="4:21" x14ac:dyDescent="0.3">
      <c r="D174" s="69"/>
      <c r="E174" s="54"/>
      <c r="F174" s="54"/>
      <c r="G174" s="54"/>
      <c r="H174" s="119"/>
      <c r="I174" s="140"/>
      <c r="J174" s="54"/>
      <c r="K174" s="54"/>
      <c r="L174" s="140"/>
      <c r="M174" s="54"/>
      <c r="N174" s="54"/>
      <c r="O174" s="54"/>
      <c r="P174" s="54"/>
      <c r="Q174" s="54"/>
      <c r="R174" s="54"/>
      <c r="S174" s="188"/>
      <c r="T174" s="140"/>
      <c r="U174" s="54"/>
    </row>
    <row r="175" spans="4:21" x14ac:dyDescent="0.3">
      <c r="D175" s="62"/>
      <c r="E175" s="53"/>
      <c r="F175" s="53"/>
      <c r="G175" s="53"/>
      <c r="H175" s="118"/>
      <c r="I175" s="141"/>
      <c r="J175" s="53"/>
      <c r="K175" s="53"/>
      <c r="L175" s="141"/>
      <c r="M175" s="53"/>
      <c r="N175" s="53"/>
      <c r="O175" s="53"/>
      <c r="P175" s="53"/>
      <c r="Q175" s="53"/>
      <c r="R175" s="53"/>
      <c r="S175" s="186"/>
      <c r="T175" s="141"/>
      <c r="U175" s="53"/>
    </row>
    <row r="176" spans="4:21" x14ac:dyDescent="0.3">
      <c r="D176" s="69"/>
      <c r="E176" s="54"/>
      <c r="F176" s="54"/>
      <c r="G176" s="54"/>
      <c r="H176" s="119"/>
      <c r="I176" s="140"/>
      <c r="J176" s="54"/>
      <c r="K176" s="54"/>
      <c r="L176" s="140"/>
      <c r="M176" s="54"/>
      <c r="N176" s="54"/>
      <c r="O176" s="54"/>
      <c r="P176" s="54"/>
      <c r="Q176" s="54"/>
      <c r="R176" s="54"/>
      <c r="S176" s="188"/>
      <c r="T176" s="140"/>
      <c r="U176" s="54"/>
    </row>
    <row r="177" spans="4:21" x14ac:dyDescent="0.3">
      <c r="D177" s="62"/>
      <c r="E177" s="53"/>
      <c r="F177" s="53"/>
      <c r="G177" s="53"/>
      <c r="H177" s="118"/>
      <c r="I177" s="141"/>
      <c r="J177" s="53"/>
      <c r="K177" s="53"/>
      <c r="L177" s="141"/>
      <c r="M177" s="53"/>
      <c r="N177" s="53"/>
      <c r="O177" s="53"/>
      <c r="P177" s="53"/>
      <c r="Q177" s="53"/>
      <c r="R177" s="53"/>
      <c r="S177" s="186"/>
      <c r="T177" s="141"/>
      <c r="U177" s="53"/>
    </row>
    <row r="178" spans="4:21" x14ac:dyDescent="0.3">
      <c r="D178" s="69"/>
      <c r="E178" s="54"/>
      <c r="F178" s="54"/>
      <c r="G178" s="54"/>
      <c r="H178" s="119"/>
      <c r="I178" s="140"/>
      <c r="J178" s="54"/>
      <c r="K178" s="54"/>
      <c r="L178" s="140"/>
      <c r="M178" s="54"/>
      <c r="N178" s="54"/>
      <c r="O178" s="54"/>
      <c r="P178" s="54"/>
      <c r="Q178" s="54"/>
      <c r="R178" s="54"/>
      <c r="S178" s="188"/>
      <c r="T178" s="140"/>
      <c r="U178" s="54"/>
    </row>
    <row r="179" spans="4:21" x14ac:dyDescent="0.3">
      <c r="D179" s="62"/>
      <c r="E179" s="53"/>
      <c r="F179" s="53"/>
      <c r="G179" s="53"/>
      <c r="H179" s="118"/>
      <c r="I179" s="141"/>
      <c r="J179" s="53"/>
      <c r="K179" s="53"/>
      <c r="L179" s="141"/>
      <c r="M179" s="53"/>
      <c r="N179" s="53"/>
      <c r="O179" s="53"/>
      <c r="P179" s="53"/>
      <c r="Q179" s="53"/>
      <c r="R179" s="53"/>
      <c r="S179" s="186"/>
      <c r="T179" s="141"/>
      <c r="U179" s="53"/>
    </row>
    <row r="180" spans="4:21" x14ac:dyDescent="0.3">
      <c r="D180" s="69"/>
      <c r="E180" s="54"/>
      <c r="F180" s="54"/>
      <c r="G180" s="54"/>
      <c r="H180" s="119"/>
      <c r="I180" s="140"/>
      <c r="J180" s="54"/>
      <c r="K180" s="54"/>
      <c r="L180" s="140"/>
      <c r="M180" s="54"/>
      <c r="N180" s="54"/>
      <c r="O180" s="54"/>
      <c r="P180" s="54"/>
      <c r="Q180" s="54"/>
      <c r="R180" s="54"/>
      <c r="S180" s="188"/>
      <c r="T180" s="140"/>
      <c r="U180" s="54"/>
    </row>
    <row r="181" spans="4:21" x14ac:dyDescent="0.3">
      <c r="D181" s="62"/>
      <c r="E181" s="53"/>
      <c r="F181" s="53"/>
      <c r="G181" s="53"/>
      <c r="H181" s="118"/>
      <c r="I181" s="141"/>
      <c r="J181" s="53"/>
      <c r="K181" s="53"/>
      <c r="L181" s="141"/>
      <c r="M181" s="53"/>
      <c r="N181" s="53"/>
      <c r="O181" s="53"/>
      <c r="P181" s="53"/>
      <c r="Q181" s="53"/>
      <c r="R181" s="53"/>
      <c r="S181" s="186"/>
      <c r="T181" s="141"/>
      <c r="U181" s="53"/>
    </row>
    <row r="182" spans="4:21" x14ac:dyDescent="0.3">
      <c r="D182" s="69"/>
      <c r="E182" s="54"/>
      <c r="F182" s="54"/>
      <c r="G182" s="54"/>
      <c r="H182" s="119"/>
      <c r="I182" s="140"/>
      <c r="J182" s="54"/>
      <c r="K182" s="54"/>
      <c r="L182" s="140"/>
      <c r="M182" s="54"/>
      <c r="N182" s="54"/>
      <c r="O182" s="54"/>
      <c r="P182" s="54"/>
      <c r="Q182" s="54"/>
      <c r="R182" s="54"/>
      <c r="S182" s="188"/>
      <c r="T182" s="140"/>
      <c r="U182" s="54"/>
    </row>
    <row r="183" spans="4:21" x14ac:dyDescent="0.3">
      <c r="D183" s="62"/>
      <c r="E183" s="53"/>
      <c r="F183" s="53"/>
      <c r="G183" s="53"/>
      <c r="H183" s="118"/>
      <c r="I183" s="141"/>
      <c r="J183" s="53"/>
      <c r="K183" s="53"/>
      <c r="L183" s="141"/>
      <c r="M183" s="53"/>
      <c r="N183" s="53"/>
      <c r="O183" s="53"/>
      <c r="P183" s="53"/>
      <c r="Q183" s="53"/>
      <c r="R183" s="53"/>
      <c r="S183" s="186"/>
      <c r="T183" s="141"/>
      <c r="U183" s="53"/>
    </row>
    <row r="184" spans="4:21" x14ac:dyDescent="0.3">
      <c r="D184" s="69"/>
      <c r="E184" s="54"/>
      <c r="F184" s="54"/>
      <c r="G184" s="54"/>
      <c r="H184" s="119"/>
      <c r="I184" s="140"/>
      <c r="J184" s="54"/>
      <c r="K184" s="54"/>
      <c r="L184" s="140"/>
      <c r="M184" s="54"/>
      <c r="N184" s="54"/>
      <c r="O184" s="54"/>
      <c r="P184" s="54"/>
      <c r="Q184" s="54"/>
      <c r="R184" s="54"/>
      <c r="S184" s="188"/>
      <c r="T184" s="140"/>
      <c r="U184" s="54"/>
    </row>
    <row r="185" spans="4:21" x14ac:dyDescent="0.3">
      <c r="D185" s="62"/>
      <c r="E185" s="53"/>
      <c r="F185" s="53"/>
      <c r="G185" s="53"/>
      <c r="H185" s="118"/>
      <c r="I185" s="141"/>
      <c r="J185" s="53"/>
      <c r="K185" s="53"/>
      <c r="L185" s="141"/>
      <c r="M185" s="53"/>
      <c r="N185" s="53"/>
      <c r="O185" s="53"/>
      <c r="P185" s="53"/>
      <c r="Q185" s="53"/>
      <c r="R185" s="53"/>
      <c r="S185" s="186"/>
      <c r="T185" s="141"/>
      <c r="U185" s="53"/>
    </row>
    <row r="186" spans="4:21" x14ac:dyDescent="0.3">
      <c r="D186" s="69"/>
      <c r="E186" s="54"/>
      <c r="F186" s="54"/>
      <c r="G186" s="54"/>
      <c r="H186" s="119"/>
      <c r="I186" s="140"/>
      <c r="J186" s="54"/>
      <c r="K186" s="54"/>
      <c r="L186" s="140"/>
      <c r="M186" s="54"/>
      <c r="N186" s="54"/>
      <c r="O186" s="54"/>
      <c r="P186" s="54"/>
      <c r="Q186" s="54"/>
      <c r="R186" s="54"/>
      <c r="S186" s="188"/>
      <c r="T186" s="140"/>
      <c r="U186" s="54"/>
    </row>
    <row r="187" spans="4:21" x14ac:dyDescent="0.3">
      <c r="D187" s="62"/>
      <c r="E187" s="53"/>
      <c r="F187" s="53"/>
      <c r="G187" s="53"/>
      <c r="H187" s="118"/>
      <c r="I187" s="141"/>
      <c r="J187" s="53"/>
      <c r="K187" s="53"/>
      <c r="L187" s="141"/>
      <c r="M187" s="53"/>
      <c r="N187" s="53"/>
      <c r="O187" s="53"/>
      <c r="P187" s="53"/>
      <c r="Q187" s="53"/>
      <c r="R187" s="53"/>
      <c r="S187" s="186"/>
      <c r="T187" s="141"/>
      <c r="U187" s="53"/>
    </row>
    <row r="188" spans="4:21" x14ac:dyDescent="0.3">
      <c r="D188" s="69"/>
      <c r="E188" s="54"/>
      <c r="F188" s="54"/>
      <c r="G188" s="54"/>
      <c r="H188" s="119"/>
      <c r="I188" s="140"/>
      <c r="J188" s="54"/>
      <c r="K188" s="54"/>
      <c r="L188" s="140"/>
      <c r="M188" s="54"/>
      <c r="N188" s="54"/>
      <c r="O188" s="54"/>
      <c r="P188" s="54"/>
      <c r="Q188" s="54"/>
      <c r="R188" s="54"/>
      <c r="S188" s="188"/>
      <c r="T188" s="140"/>
      <c r="U188" s="54"/>
    </row>
    <row r="189" spans="4:21" x14ac:dyDescent="0.3">
      <c r="D189" s="62"/>
      <c r="E189" s="53"/>
      <c r="F189" s="53"/>
      <c r="G189" s="53"/>
      <c r="H189" s="118"/>
      <c r="I189" s="141"/>
      <c r="J189" s="53"/>
      <c r="K189" s="53"/>
      <c r="L189" s="141"/>
      <c r="M189" s="53"/>
      <c r="N189" s="53"/>
      <c r="O189" s="53"/>
      <c r="P189" s="53"/>
      <c r="Q189" s="53"/>
      <c r="R189" s="53"/>
      <c r="S189" s="186"/>
      <c r="T189" s="141"/>
      <c r="U189" s="53"/>
    </row>
    <row r="190" spans="4:21" x14ac:dyDescent="0.3">
      <c r="D190" s="69"/>
      <c r="E190" s="54"/>
      <c r="F190" s="54"/>
      <c r="G190" s="54"/>
      <c r="H190" s="119"/>
      <c r="I190" s="140"/>
      <c r="J190" s="54"/>
      <c r="K190" s="54"/>
      <c r="L190" s="140"/>
      <c r="M190" s="54"/>
      <c r="N190" s="54"/>
      <c r="O190" s="54"/>
      <c r="P190" s="54"/>
      <c r="Q190" s="54"/>
      <c r="R190" s="54"/>
      <c r="S190" s="188"/>
      <c r="T190" s="140"/>
      <c r="U190" s="54"/>
    </row>
    <row r="191" spans="4:21" x14ac:dyDescent="0.3">
      <c r="D191" s="62"/>
      <c r="E191" s="53"/>
      <c r="F191" s="53"/>
      <c r="G191" s="53"/>
      <c r="H191" s="118"/>
      <c r="I191" s="141"/>
      <c r="J191" s="53"/>
      <c r="K191" s="53"/>
      <c r="L191" s="141"/>
      <c r="M191" s="53"/>
      <c r="N191" s="53"/>
      <c r="O191" s="53"/>
      <c r="P191" s="53"/>
      <c r="Q191" s="53"/>
      <c r="R191" s="53"/>
      <c r="S191" s="186"/>
      <c r="T191" s="141"/>
      <c r="U191" s="53"/>
    </row>
    <row r="192" spans="4:21" x14ac:dyDescent="0.3">
      <c r="D192" s="69"/>
      <c r="E192" s="54"/>
      <c r="F192" s="54"/>
      <c r="G192" s="54"/>
      <c r="H192" s="119"/>
      <c r="I192" s="140"/>
      <c r="J192" s="54"/>
      <c r="K192" s="54"/>
      <c r="L192" s="140"/>
      <c r="M192" s="54"/>
      <c r="N192" s="54"/>
      <c r="O192" s="54"/>
      <c r="P192" s="54"/>
      <c r="Q192" s="54"/>
      <c r="R192" s="54"/>
      <c r="S192" s="188"/>
      <c r="T192" s="140"/>
      <c r="U192" s="54"/>
    </row>
    <row r="193" spans="4:21" x14ac:dyDescent="0.3">
      <c r="D193" s="62"/>
      <c r="E193" s="53"/>
      <c r="F193" s="53"/>
      <c r="G193" s="53"/>
      <c r="H193" s="118"/>
      <c r="I193" s="141"/>
      <c r="J193" s="53"/>
      <c r="K193" s="53"/>
      <c r="L193" s="141"/>
      <c r="M193" s="53"/>
      <c r="N193" s="53"/>
      <c r="O193" s="53"/>
      <c r="P193" s="53"/>
      <c r="Q193" s="53"/>
      <c r="R193" s="53"/>
      <c r="S193" s="186"/>
      <c r="T193" s="141"/>
      <c r="U193" s="53"/>
    </row>
    <row r="194" spans="4:21" x14ac:dyDescent="0.3">
      <c r="D194" s="69"/>
      <c r="E194" s="54"/>
      <c r="F194" s="54"/>
      <c r="G194" s="54"/>
      <c r="H194" s="119"/>
      <c r="I194" s="140"/>
      <c r="J194" s="54"/>
      <c r="K194" s="54"/>
      <c r="L194" s="140"/>
      <c r="M194" s="54"/>
      <c r="N194" s="54"/>
      <c r="O194" s="54"/>
      <c r="P194" s="54"/>
      <c r="Q194" s="54"/>
      <c r="R194" s="54"/>
      <c r="S194" s="188"/>
      <c r="T194" s="140"/>
      <c r="U194" s="54"/>
    </row>
    <row r="195" spans="4:21" x14ac:dyDescent="0.3">
      <c r="D195" s="62"/>
      <c r="E195" s="53"/>
      <c r="F195" s="53"/>
      <c r="G195" s="53"/>
      <c r="H195" s="118"/>
      <c r="I195" s="141"/>
      <c r="J195" s="53"/>
      <c r="K195" s="53"/>
      <c r="L195" s="141"/>
      <c r="M195" s="53"/>
      <c r="N195" s="53"/>
      <c r="O195" s="53"/>
      <c r="P195" s="53"/>
      <c r="Q195" s="53"/>
      <c r="R195" s="53"/>
      <c r="S195" s="186"/>
      <c r="T195" s="141"/>
      <c r="U195" s="53"/>
    </row>
    <row r="196" spans="4:21" x14ac:dyDescent="0.3">
      <c r="D196" s="69"/>
      <c r="E196" s="54"/>
      <c r="F196" s="54"/>
      <c r="G196" s="54"/>
      <c r="H196" s="119"/>
      <c r="I196" s="140"/>
      <c r="J196" s="54"/>
      <c r="K196" s="54"/>
      <c r="L196" s="140"/>
      <c r="M196" s="54"/>
      <c r="N196" s="54"/>
      <c r="O196" s="54"/>
      <c r="P196" s="54"/>
      <c r="Q196" s="54"/>
      <c r="R196" s="54"/>
      <c r="S196" s="188"/>
      <c r="T196" s="140"/>
      <c r="U196" s="54"/>
    </row>
    <row r="197" spans="4:21" x14ac:dyDescent="0.3">
      <c r="D197" s="62"/>
      <c r="E197" s="53"/>
      <c r="F197" s="53"/>
      <c r="G197" s="53"/>
      <c r="H197" s="118"/>
      <c r="I197" s="141"/>
      <c r="J197" s="53"/>
      <c r="K197" s="53"/>
      <c r="L197" s="141"/>
      <c r="M197" s="53"/>
      <c r="N197" s="53"/>
      <c r="O197" s="53"/>
      <c r="P197" s="53"/>
      <c r="Q197" s="53"/>
      <c r="R197" s="53"/>
      <c r="S197" s="186"/>
      <c r="T197" s="141"/>
      <c r="U197" s="53"/>
    </row>
    <row r="198" spans="4:21" x14ac:dyDescent="0.3">
      <c r="D198" s="69"/>
      <c r="E198" s="54"/>
      <c r="F198" s="54"/>
      <c r="G198" s="54"/>
      <c r="H198" s="119"/>
      <c r="I198" s="140"/>
      <c r="J198" s="54"/>
      <c r="K198" s="54"/>
      <c r="L198" s="140"/>
      <c r="M198" s="54"/>
      <c r="N198" s="54"/>
      <c r="O198" s="54"/>
      <c r="P198" s="54"/>
      <c r="Q198" s="54"/>
      <c r="R198" s="54"/>
      <c r="S198" s="188"/>
      <c r="T198" s="140"/>
      <c r="U198" s="54"/>
    </row>
    <row r="199" spans="4:21" x14ac:dyDescent="0.3">
      <c r="D199" s="62"/>
      <c r="E199" s="53"/>
      <c r="F199" s="53"/>
      <c r="G199" s="53"/>
      <c r="H199" s="118"/>
      <c r="I199" s="141"/>
      <c r="J199" s="53"/>
      <c r="K199" s="53"/>
      <c r="L199" s="141"/>
      <c r="M199" s="53"/>
      <c r="N199" s="53"/>
      <c r="O199" s="53"/>
      <c r="P199" s="53"/>
      <c r="Q199" s="53"/>
      <c r="R199" s="53"/>
      <c r="S199" s="186"/>
      <c r="T199" s="141"/>
      <c r="U199" s="53"/>
    </row>
    <row r="200" spans="4:21" x14ac:dyDescent="0.3">
      <c r="D200" s="83"/>
      <c r="E200" s="52"/>
      <c r="F200" s="52"/>
      <c r="G200" s="52"/>
      <c r="H200" s="120"/>
      <c r="I200" s="142"/>
      <c r="J200" s="52"/>
      <c r="K200" s="52"/>
      <c r="L200" s="142"/>
      <c r="M200" s="52"/>
      <c r="N200" s="52"/>
      <c r="O200" s="52"/>
      <c r="P200" s="52"/>
      <c r="Q200" s="52"/>
      <c r="R200" s="52"/>
      <c r="S200" s="189"/>
      <c r="T200" s="142"/>
      <c r="U200" s="52"/>
    </row>
    <row r="201" spans="4:21" x14ac:dyDescent="0.3"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</row>
    <row r="202" spans="4:21" x14ac:dyDescent="0.3">
      <c r="D202" s="79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</row>
  </sheetData>
  <mergeCells count="13">
    <mergeCell ref="P1:R1"/>
    <mergeCell ref="A18:B18"/>
    <mergeCell ref="A12:B12"/>
    <mergeCell ref="A13:B13"/>
    <mergeCell ref="A14:B14"/>
    <mergeCell ref="A15:B15"/>
    <mergeCell ref="A16:B16"/>
    <mergeCell ref="A17:B17"/>
    <mergeCell ref="A6:B6"/>
    <mergeCell ref="A1:B1"/>
    <mergeCell ref="D1:F1"/>
    <mergeCell ref="H1:J1"/>
    <mergeCell ref="M1:O1"/>
  </mergeCells>
  <dataValidations count="2">
    <dataValidation type="list" allowBlank="1" showInputMessage="1" showErrorMessage="1" sqref="B7" xr:uid="{A69DC6FC-6DE5-4C65-9692-BDF72126B53D}">
      <formula1>"All,January,February,March,April,May,June,July,August,September,October,November,December"</formula1>
    </dataValidation>
    <dataValidation type="custom" allowBlank="1" showInputMessage="1" showErrorMessage="1" errorTitle="invalid number entered" error="Please enter a number with 10 digits" sqref="I3:I14" xr:uid="{2EAC4A74-ED38-4BFA-8790-3FCE64471E47}">
      <formula1>AND(LEN(I3)=10,ISNUMBER(--I3))</formula1>
    </dataValidation>
  </dataValidations>
  <hyperlinks>
    <hyperlink ref="A13" location="Home!A1" display="Home" xr:uid="{04131036-06B9-4E1A-AE82-81FD11196413}"/>
    <hyperlink ref="A14:B14" location="Enrollment!A1" display="Enrollment" xr:uid="{1197EFD7-1FC1-4493-BFAA-F305C06BBC34}"/>
    <hyperlink ref="A15:B15" location="Attendance!A1" display="Attendance" xr:uid="{1297EBB2-1D5D-4128-8F33-7B44B1D40DE1}"/>
    <hyperlink ref="A16:B16" location="Teachers!A1" display="Teachers" xr:uid="{CDDE2B28-FCF3-416D-9F93-FB3D10300AB3}"/>
    <hyperlink ref="A17:B17" location="Classes!A1" display="Classes" xr:uid="{0596BC1A-FC6F-4EB6-A647-C900537747DA}"/>
    <hyperlink ref="A18:B18" location="Monthly_Report!A1" display="Monthly report" xr:uid="{1ADFF9FF-01A6-4F0B-899A-89867DC8840E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716221-2B4A-42B7-89BD-0E0F7BF553B3}">
          <x14:formula1>
            <xm:f>Classes!$A$3:$A$23</xm:f>
          </x14:formula1>
          <xm:sqref>F3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39200-2868-4F5B-8573-6BF6EFAF11DC}">
  <sheetPr codeName="Sheet19"/>
  <dimension ref="A1:BK2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B18"/>
    </sheetView>
  </sheetViews>
  <sheetFormatPr defaultRowHeight="14.4" x14ac:dyDescent="0.3"/>
  <cols>
    <col min="1" max="1" width="22.44140625" customWidth="1"/>
    <col min="2" max="2" width="17.44140625" bestFit="1" customWidth="1"/>
    <col min="4" max="4" width="17.77734375" customWidth="1"/>
    <col min="5" max="5" width="16.21875" customWidth="1"/>
    <col min="6" max="7" width="14.5546875" customWidth="1"/>
    <col min="8" max="8" width="12.88671875" customWidth="1"/>
    <col min="9" max="9" width="16.6640625" customWidth="1"/>
    <col min="10" max="10" width="10.77734375" customWidth="1"/>
    <col min="11" max="11" width="18.109375" customWidth="1"/>
    <col min="12" max="12" width="13.77734375" customWidth="1"/>
    <col min="13" max="18" width="12.33203125" customWidth="1"/>
    <col min="19" max="19" width="18.88671875" customWidth="1"/>
    <col min="20" max="20" width="20.21875" customWidth="1"/>
    <col min="21" max="21" width="23.33203125" customWidth="1"/>
    <col min="22" max="60" width="12.33203125" customWidth="1"/>
  </cols>
  <sheetData>
    <row r="1" spans="1:63" ht="15.6" customHeight="1" x14ac:dyDescent="0.3">
      <c r="A1" s="310" t="s">
        <v>105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 t="str">
        <f>Teachers!A9</f>
        <v>T-008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str">
        <f>_xlfn.XLOOKUP(B2, teachers_table[*Teacher ID], teachers_table[*Teacher Name])</f>
        <v>Sayed Reza Mobarez</v>
      </c>
      <c r="C3" s="26"/>
      <c r="D3" s="62" t="str" cm="1">
        <f t="array" ref="D3:U3">IF(B7 = "All", _xlfn._xlws.FILTER(enrollment_table[], enrollment_table[*Teacher Name] = T_Mobarez!B3, "No Students Found"), _xlfn._xlws.FILTER(enrollment_table[], (enrollment_table[*Teacher Name] = T_Mobarez!B3 ) * (enrollment_table[Enrollment Month] = B7), "No Students Found"))</f>
        <v>i</v>
      </c>
      <c r="E3" s="53" t="str">
        <v>i</v>
      </c>
      <c r="F3" s="53" t="str">
        <v>java</v>
      </c>
      <c r="G3" s="131" t="str">
        <v>8 - 4 PM</v>
      </c>
      <c r="H3" s="115">
        <v>1000</v>
      </c>
      <c r="I3" s="64" t="str">
        <v>0378899995</v>
      </c>
      <c r="J3" s="183" t="str">
        <v>female</v>
      </c>
      <c r="K3" s="64" t="str">
        <v>Sayed Reza Mobarez</v>
      </c>
      <c r="L3" s="64" t="str">
        <v>T-008</v>
      </c>
      <c r="M3" s="64">
        <v>0</v>
      </c>
      <c r="N3" s="64">
        <v>0</v>
      </c>
      <c r="O3" s="64">
        <v>0</v>
      </c>
      <c r="P3" s="64">
        <v>0</v>
      </c>
      <c r="Q3" s="64">
        <v>0</v>
      </c>
      <c r="R3" s="64">
        <v>0</v>
      </c>
      <c r="S3" s="177">
        <v>46272</v>
      </c>
      <c r="T3" s="64" t="str">
        <v>September</v>
      </c>
      <c r="U3" s="64">
        <v>0</v>
      </c>
    </row>
    <row r="4" spans="1:63" ht="15.6" customHeight="1" x14ac:dyDescent="0.3">
      <c r="A4" s="88" t="s">
        <v>29</v>
      </c>
      <c r="B4" s="87">
        <f>_xlfn.XLOOKUP(B2, teachers_table[*Teacher ID], teachers_table[*Income Rate])</f>
        <v>0.2</v>
      </c>
      <c r="C4" s="27"/>
      <c r="D4" s="69"/>
      <c r="E4" s="54"/>
      <c r="F4" s="54"/>
      <c r="G4" s="70"/>
      <c r="H4" s="114"/>
      <c r="I4" s="71"/>
      <c r="J4" s="37"/>
      <c r="K4" s="54"/>
      <c r="L4" s="145"/>
      <c r="M4" s="54"/>
      <c r="N4" s="54"/>
      <c r="O4" s="54"/>
      <c r="P4" s="54"/>
      <c r="Q4" s="54"/>
      <c r="R4" s="54"/>
      <c r="S4" s="185"/>
      <c r="T4" s="72"/>
      <c r="U4" s="54"/>
    </row>
    <row r="5" spans="1:63" ht="15.6" customHeight="1" x14ac:dyDescent="0.3">
      <c r="C5" s="28"/>
      <c r="D5" s="62"/>
      <c r="E5" s="53"/>
      <c r="F5" s="53"/>
      <c r="G5" s="63"/>
      <c r="H5" s="115"/>
      <c r="I5" s="65"/>
      <c r="J5" s="66"/>
      <c r="K5" s="53"/>
      <c r="L5" s="141"/>
      <c r="M5" s="53"/>
      <c r="N5" s="53"/>
      <c r="O5" s="53"/>
      <c r="P5" s="53"/>
      <c r="Q5" s="53"/>
      <c r="R5" s="53"/>
      <c r="S5" s="177"/>
      <c r="T5" s="68"/>
      <c r="U5" s="53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70"/>
      <c r="H6" s="116"/>
      <c r="I6" s="71"/>
      <c r="J6" s="37"/>
      <c r="K6" s="54"/>
      <c r="L6" s="140"/>
      <c r="M6" s="54"/>
      <c r="N6" s="54"/>
      <c r="O6" s="54"/>
      <c r="P6" s="54"/>
      <c r="Q6" s="54"/>
      <c r="R6" s="54"/>
      <c r="S6" s="185"/>
      <c r="T6" s="72"/>
      <c r="U6" s="54"/>
    </row>
    <row r="7" spans="1:63" ht="15.6" customHeight="1" x14ac:dyDescent="0.3">
      <c r="A7" s="47" t="s">
        <v>157</v>
      </c>
      <c r="B7" s="24" t="s">
        <v>162</v>
      </c>
      <c r="D7" s="62"/>
      <c r="E7" s="53"/>
      <c r="F7" s="53"/>
      <c r="G7" s="63"/>
      <c r="H7" s="117"/>
      <c r="I7" s="65"/>
      <c r="J7" s="66"/>
      <c r="K7" s="53"/>
      <c r="L7" s="141"/>
      <c r="M7" s="53"/>
      <c r="N7" s="53"/>
      <c r="O7" s="53"/>
      <c r="P7" s="53"/>
      <c r="Q7" s="53"/>
      <c r="R7" s="53"/>
      <c r="S7" s="177"/>
      <c r="T7" s="68"/>
      <c r="U7" s="53"/>
    </row>
    <row r="8" spans="1:63" ht="15.6" customHeight="1" x14ac:dyDescent="0.3">
      <c r="A8" s="84" t="s">
        <v>52</v>
      </c>
      <c r="B8" s="86">
        <f>IF(D3 = "No Students Found", 0, COUNTA(D3:D200))</f>
        <v>1</v>
      </c>
      <c r="C8" s="30"/>
      <c r="D8" s="69"/>
      <c r="E8" s="54"/>
      <c r="F8" s="54"/>
      <c r="G8" s="70"/>
      <c r="H8" s="116"/>
      <c r="I8" s="71"/>
      <c r="J8" s="37"/>
      <c r="K8" s="54"/>
      <c r="L8" s="140"/>
      <c r="M8" s="54"/>
      <c r="N8" s="54"/>
      <c r="O8" s="54"/>
      <c r="P8" s="54"/>
      <c r="Q8" s="54"/>
      <c r="R8" s="54"/>
      <c r="S8" s="185"/>
      <c r="T8" s="72"/>
      <c r="U8" s="54"/>
    </row>
    <row r="9" spans="1:63" ht="15.6" customHeight="1" x14ac:dyDescent="0.3">
      <c r="A9" s="47" t="s">
        <v>106</v>
      </c>
      <c r="B9" s="156">
        <f>SUM(H3:H200)</f>
        <v>1000</v>
      </c>
      <c r="C9" s="31"/>
      <c r="D9" s="62"/>
      <c r="E9" s="53"/>
      <c r="F9" s="53"/>
      <c r="G9" s="63"/>
      <c r="H9" s="117"/>
      <c r="I9" s="65"/>
      <c r="J9" s="66"/>
      <c r="K9" s="53"/>
      <c r="L9" s="141"/>
      <c r="M9" s="53"/>
      <c r="N9" s="53"/>
      <c r="O9" s="53"/>
      <c r="P9" s="53"/>
      <c r="Q9" s="53"/>
      <c r="R9" s="53"/>
      <c r="S9" s="177"/>
      <c r="T9" s="68"/>
      <c r="U9" s="53"/>
    </row>
    <row r="10" spans="1:63" ht="15.6" customHeight="1" x14ac:dyDescent="0.3">
      <c r="A10" s="85" t="s">
        <v>44</v>
      </c>
      <c r="B10" s="155">
        <f>B9*B4</f>
        <v>200</v>
      </c>
      <c r="C10" s="31"/>
      <c r="D10" s="69"/>
      <c r="E10" s="54"/>
      <c r="F10" s="54"/>
      <c r="G10" s="54"/>
      <c r="H10" s="116"/>
      <c r="I10" s="71"/>
      <c r="J10" s="37"/>
      <c r="K10" s="54"/>
      <c r="L10" s="140"/>
      <c r="M10" s="54"/>
      <c r="N10" s="54"/>
      <c r="O10" s="54"/>
      <c r="P10" s="54"/>
      <c r="Q10" s="54"/>
      <c r="R10" s="54"/>
      <c r="S10" s="185"/>
      <c r="T10" s="72"/>
      <c r="U10" s="54"/>
    </row>
    <row r="11" spans="1:63" ht="15.6" customHeight="1" x14ac:dyDescent="0.3">
      <c r="B11" s="7"/>
      <c r="C11" s="31"/>
      <c r="D11" s="62"/>
      <c r="E11" s="53"/>
      <c r="F11" s="53"/>
      <c r="G11" s="53"/>
      <c r="H11" s="117"/>
      <c r="I11" s="65"/>
      <c r="J11" s="66"/>
      <c r="K11" s="53"/>
      <c r="L11" s="141"/>
      <c r="M11" s="53"/>
      <c r="N11" s="53"/>
      <c r="O11" s="53"/>
      <c r="P11" s="53"/>
      <c r="Q11" s="53"/>
      <c r="R11" s="53"/>
      <c r="S11" s="177"/>
      <c r="T11" s="68"/>
      <c r="U11" s="53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54"/>
      <c r="H12" s="116"/>
      <c r="I12" s="71"/>
      <c r="J12" s="37"/>
      <c r="K12" s="54"/>
      <c r="L12" s="140"/>
      <c r="M12" s="54"/>
      <c r="N12" s="54"/>
      <c r="O12" s="54"/>
      <c r="P12" s="54"/>
      <c r="Q12" s="54"/>
      <c r="R12" s="54"/>
      <c r="S12" s="185"/>
      <c r="T12" s="72"/>
      <c r="U12" s="5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53"/>
      <c r="H13" s="117"/>
      <c r="I13" s="65"/>
      <c r="J13" s="66"/>
      <c r="K13" s="53"/>
      <c r="L13" s="141"/>
      <c r="M13" s="53"/>
      <c r="N13" s="53"/>
      <c r="O13" s="53"/>
      <c r="P13" s="53"/>
      <c r="Q13" s="53"/>
      <c r="R13" s="53"/>
      <c r="S13" s="177"/>
      <c r="T13" s="68"/>
      <c r="U13" s="53"/>
    </row>
    <row r="14" spans="1:63" ht="15.6" customHeight="1" x14ac:dyDescent="0.3">
      <c r="A14" s="307" t="s">
        <v>104</v>
      </c>
      <c r="B14" s="307"/>
      <c r="D14" s="69"/>
      <c r="E14" s="54"/>
      <c r="F14" s="54"/>
      <c r="G14" s="54"/>
      <c r="H14" s="116"/>
      <c r="I14" s="71"/>
      <c r="J14" s="37"/>
      <c r="K14" s="54"/>
      <c r="L14" s="140"/>
      <c r="M14" s="54"/>
      <c r="N14" s="54"/>
      <c r="O14" s="54"/>
      <c r="P14" s="54"/>
      <c r="Q14" s="54"/>
      <c r="R14" s="54"/>
      <c r="S14" s="185"/>
      <c r="T14" s="72"/>
      <c r="U14" s="5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53"/>
      <c r="H15" s="118"/>
      <c r="I15" s="141"/>
      <c r="J15" s="53"/>
      <c r="K15" s="53"/>
      <c r="L15" s="141"/>
      <c r="M15" s="53"/>
      <c r="N15" s="53"/>
      <c r="O15" s="53"/>
      <c r="P15" s="53"/>
      <c r="Q15" s="53"/>
      <c r="R15" s="53"/>
      <c r="S15" s="186"/>
      <c r="T15" s="141"/>
      <c r="U15" s="53"/>
    </row>
    <row r="16" spans="1:63" ht="15.6" customHeight="1" x14ac:dyDescent="0.3">
      <c r="A16" s="307" t="s">
        <v>57</v>
      </c>
      <c r="B16" s="307"/>
      <c r="D16" s="69"/>
      <c r="E16" s="54"/>
      <c r="F16" s="54"/>
      <c r="G16" s="54"/>
      <c r="H16" s="119"/>
      <c r="I16" s="140"/>
      <c r="J16" s="54"/>
      <c r="K16" s="54"/>
      <c r="L16" s="140"/>
      <c r="M16" s="54"/>
      <c r="N16" s="54"/>
      <c r="O16" s="54"/>
      <c r="P16" s="54"/>
      <c r="Q16" s="54"/>
      <c r="R16" s="54"/>
      <c r="S16" s="188"/>
      <c r="T16" s="140"/>
      <c r="U16" s="54"/>
    </row>
    <row r="17" spans="1:21" ht="15.6" customHeight="1" x14ac:dyDescent="0.3">
      <c r="A17" s="308" t="s">
        <v>58</v>
      </c>
      <c r="B17" s="308"/>
      <c r="D17" s="62"/>
      <c r="E17" s="53"/>
      <c r="F17" s="53"/>
      <c r="G17" s="53"/>
      <c r="H17" s="118"/>
      <c r="I17" s="141"/>
      <c r="J17" s="53"/>
      <c r="K17" s="53"/>
      <c r="L17" s="141"/>
      <c r="M17" s="53"/>
      <c r="N17" s="53"/>
      <c r="O17" s="53"/>
      <c r="P17" s="53"/>
      <c r="Q17" s="53"/>
      <c r="R17" s="53"/>
      <c r="S17" s="186"/>
      <c r="T17" s="141"/>
      <c r="U17" s="53"/>
    </row>
    <row r="18" spans="1:21" ht="15.6" customHeight="1" x14ac:dyDescent="0.3">
      <c r="A18" s="309" t="s">
        <v>124</v>
      </c>
      <c r="B18" s="309"/>
      <c r="D18" s="69"/>
      <c r="E18" s="54"/>
      <c r="F18" s="54"/>
      <c r="G18" s="54"/>
      <c r="H18" s="119"/>
      <c r="I18" s="140"/>
      <c r="J18" s="54"/>
      <c r="K18" s="54"/>
      <c r="L18" s="140"/>
      <c r="M18" s="54"/>
      <c r="N18" s="54"/>
      <c r="O18" s="54"/>
      <c r="P18" s="54"/>
      <c r="Q18" s="54"/>
      <c r="R18" s="54"/>
      <c r="S18" s="188"/>
      <c r="T18" s="140"/>
      <c r="U18" s="54"/>
    </row>
    <row r="19" spans="1:21" ht="15.6" customHeight="1" x14ac:dyDescent="0.3">
      <c r="D19" s="62"/>
      <c r="E19" s="53"/>
      <c r="F19" s="53"/>
      <c r="G19" s="53"/>
      <c r="H19" s="118"/>
      <c r="I19" s="141"/>
      <c r="J19" s="53"/>
      <c r="K19" s="53"/>
      <c r="L19" s="141"/>
      <c r="M19" s="53"/>
      <c r="N19" s="53"/>
      <c r="O19" s="53"/>
      <c r="P19" s="53"/>
      <c r="Q19" s="53"/>
      <c r="R19" s="53"/>
      <c r="S19" s="186"/>
      <c r="T19" s="141"/>
      <c r="U19" s="53"/>
    </row>
    <row r="20" spans="1:21" ht="15.6" customHeight="1" x14ac:dyDescent="0.3">
      <c r="D20" s="69"/>
      <c r="E20" s="54"/>
      <c r="F20" s="54"/>
      <c r="G20" s="54"/>
      <c r="H20" s="119"/>
      <c r="I20" s="140"/>
      <c r="J20" s="54"/>
      <c r="K20" s="54"/>
      <c r="L20" s="140"/>
      <c r="M20" s="54"/>
      <c r="N20" s="54"/>
      <c r="O20" s="54"/>
      <c r="P20" s="54"/>
      <c r="Q20" s="54"/>
      <c r="R20" s="54"/>
      <c r="S20" s="188"/>
      <c r="T20" s="140"/>
      <c r="U20" s="54"/>
    </row>
    <row r="21" spans="1:21" ht="15.6" customHeight="1" x14ac:dyDescent="0.3">
      <c r="D21" s="62"/>
      <c r="E21" s="53"/>
      <c r="F21" s="53"/>
      <c r="G21" s="53"/>
      <c r="H21" s="118"/>
      <c r="I21" s="141"/>
      <c r="J21" s="53"/>
      <c r="K21" s="53"/>
      <c r="L21" s="141"/>
      <c r="M21" s="53"/>
      <c r="N21" s="53"/>
      <c r="O21" s="53"/>
      <c r="P21" s="53"/>
      <c r="Q21" s="53"/>
      <c r="R21" s="53"/>
      <c r="S21" s="186"/>
      <c r="T21" s="141"/>
      <c r="U21" s="53"/>
    </row>
    <row r="22" spans="1:21" ht="15.6" customHeight="1" x14ac:dyDescent="0.3">
      <c r="D22" s="69"/>
      <c r="E22" s="54"/>
      <c r="F22" s="54"/>
      <c r="G22" s="54"/>
      <c r="H22" s="119"/>
      <c r="I22" s="140"/>
      <c r="J22" s="54"/>
      <c r="K22" s="54"/>
      <c r="L22" s="140"/>
      <c r="M22" s="54"/>
      <c r="N22" s="54"/>
      <c r="O22" s="54"/>
      <c r="P22" s="54"/>
      <c r="Q22" s="54"/>
      <c r="R22" s="54"/>
      <c r="S22" s="188"/>
      <c r="T22" s="140"/>
      <c r="U22" s="54"/>
    </row>
    <row r="23" spans="1:21" ht="15.6" customHeight="1" x14ac:dyDescent="0.3">
      <c r="D23" s="62"/>
      <c r="E23" s="53"/>
      <c r="F23" s="53"/>
      <c r="G23" s="53"/>
      <c r="H23" s="118"/>
      <c r="I23" s="141"/>
      <c r="J23" s="53"/>
      <c r="K23" s="53"/>
      <c r="L23" s="141"/>
      <c r="M23" s="53"/>
      <c r="N23" s="53"/>
      <c r="O23" s="53"/>
      <c r="P23" s="53"/>
      <c r="Q23" s="53"/>
      <c r="R23" s="53"/>
      <c r="S23" s="186"/>
      <c r="T23" s="141"/>
      <c r="U23" s="53"/>
    </row>
    <row r="24" spans="1:21" ht="15.6" customHeight="1" x14ac:dyDescent="0.3">
      <c r="D24" s="69"/>
      <c r="E24" s="54"/>
      <c r="F24" s="54"/>
      <c r="G24" s="54"/>
      <c r="H24" s="119"/>
      <c r="I24" s="140"/>
      <c r="J24" s="54"/>
      <c r="K24" s="54"/>
      <c r="L24" s="140"/>
      <c r="M24" s="54"/>
      <c r="N24" s="54"/>
      <c r="O24" s="54"/>
      <c r="P24" s="54"/>
      <c r="Q24" s="54"/>
      <c r="R24" s="54"/>
      <c r="S24" s="188"/>
      <c r="T24" s="140"/>
      <c r="U24" s="54"/>
    </row>
    <row r="25" spans="1:21" x14ac:dyDescent="0.3">
      <c r="D25" s="62"/>
      <c r="E25" s="53"/>
      <c r="F25" s="53"/>
      <c r="G25" s="53"/>
      <c r="H25" s="118"/>
      <c r="I25" s="141"/>
      <c r="J25" s="53"/>
      <c r="K25" s="53"/>
      <c r="L25" s="141"/>
      <c r="M25" s="53"/>
      <c r="N25" s="53"/>
      <c r="O25" s="53"/>
      <c r="P25" s="53"/>
      <c r="Q25" s="53"/>
      <c r="R25" s="53"/>
      <c r="S25" s="186"/>
      <c r="T25" s="141"/>
      <c r="U25" s="53"/>
    </row>
    <row r="26" spans="1:21" x14ac:dyDescent="0.3">
      <c r="D26" s="69"/>
      <c r="E26" s="54"/>
      <c r="F26" s="54"/>
      <c r="G26" s="54"/>
      <c r="H26" s="119"/>
      <c r="I26" s="140"/>
      <c r="J26" s="54"/>
      <c r="K26" s="54"/>
      <c r="L26" s="140"/>
      <c r="M26" s="54"/>
      <c r="N26" s="54"/>
      <c r="O26" s="54"/>
      <c r="P26" s="54"/>
      <c r="Q26" s="54"/>
      <c r="R26" s="54"/>
      <c r="S26" s="188"/>
      <c r="T26" s="140"/>
      <c r="U26" s="54"/>
    </row>
    <row r="27" spans="1:21" x14ac:dyDescent="0.3">
      <c r="D27" s="62"/>
      <c r="E27" s="53"/>
      <c r="F27" s="53"/>
      <c r="G27" s="53"/>
      <c r="H27" s="118"/>
      <c r="I27" s="141"/>
      <c r="J27" s="53"/>
      <c r="K27" s="53"/>
      <c r="L27" s="141"/>
      <c r="M27" s="53"/>
      <c r="N27" s="53"/>
      <c r="O27" s="53"/>
      <c r="P27" s="53"/>
      <c r="Q27" s="53"/>
      <c r="R27" s="53"/>
      <c r="S27" s="186"/>
      <c r="T27" s="141"/>
      <c r="U27" s="53"/>
    </row>
    <row r="28" spans="1:21" x14ac:dyDescent="0.3">
      <c r="D28" s="69"/>
      <c r="E28" s="54"/>
      <c r="F28" s="54"/>
      <c r="G28" s="54"/>
      <c r="H28" s="119"/>
      <c r="I28" s="140"/>
      <c r="J28" s="54"/>
      <c r="K28" s="54"/>
      <c r="L28" s="140"/>
      <c r="M28" s="54"/>
      <c r="N28" s="54"/>
      <c r="O28" s="54"/>
      <c r="P28" s="54"/>
      <c r="Q28" s="54"/>
      <c r="R28" s="54"/>
      <c r="S28" s="188"/>
      <c r="T28" s="140"/>
      <c r="U28" s="54"/>
    </row>
    <row r="29" spans="1:21" x14ac:dyDescent="0.3">
      <c r="D29" s="62"/>
      <c r="E29" s="53"/>
      <c r="F29" s="53"/>
      <c r="G29" s="53"/>
      <c r="H29" s="118"/>
      <c r="I29" s="141"/>
      <c r="J29" s="53"/>
      <c r="K29" s="53"/>
      <c r="L29" s="141"/>
      <c r="M29" s="53"/>
      <c r="N29" s="53"/>
      <c r="O29" s="53"/>
      <c r="P29" s="53"/>
      <c r="Q29" s="53"/>
      <c r="R29" s="53"/>
      <c r="S29" s="186"/>
      <c r="T29" s="141"/>
      <c r="U29" s="53"/>
    </row>
    <row r="30" spans="1:21" x14ac:dyDescent="0.3">
      <c r="D30" s="69"/>
      <c r="E30" s="54"/>
      <c r="F30" s="54"/>
      <c r="G30" s="54"/>
      <c r="H30" s="119"/>
      <c r="I30" s="140"/>
      <c r="J30" s="54"/>
      <c r="K30" s="54"/>
      <c r="L30" s="140"/>
      <c r="M30" s="54"/>
      <c r="N30" s="54"/>
      <c r="O30" s="54"/>
      <c r="P30" s="54"/>
      <c r="Q30" s="54"/>
      <c r="R30" s="54"/>
      <c r="S30" s="188"/>
      <c r="T30" s="140"/>
      <c r="U30" s="54"/>
    </row>
    <row r="31" spans="1:21" x14ac:dyDescent="0.3">
      <c r="D31" s="62"/>
      <c r="E31" s="53"/>
      <c r="F31" s="53"/>
      <c r="G31" s="53"/>
      <c r="H31" s="118"/>
      <c r="I31" s="141"/>
      <c r="J31" s="53"/>
      <c r="K31" s="53"/>
      <c r="L31" s="141"/>
      <c r="M31" s="53"/>
      <c r="N31" s="53"/>
      <c r="O31" s="53"/>
      <c r="P31" s="53"/>
      <c r="Q31" s="53"/>
      <c r="R31" s="53"/>
      <c r="S31" s="186"/>
      <c r="T31" s="141"/>
      <c r="U31" s="53"/>
    </row>
    <row r="32" spans="1:21" x14ac:dyDescent="0.3">
      <c r="D32" s="69"/>
      <c r="E32" s="54"/>
      <c r="F32" s="54"/>
      <c r="G32" s="54"/>
      <c r="H32" s="119"/>
      <c r="I32" s="140"/>
      <c r="J32" s="54"/>
      <c r="K32" s="54"/>
      <c r="L32" s="140"/>
      <c r="M32" s="54"/>
      <c r="N32" s="54"/>
      <c r="O32" s="54"/>
      <c r="P32" s="54"/>
      <c r="Q32" s="54"/>
      <c r="R32" s="54"/>
      <c r="S32" s="188"/>
      <c r="T32" s="140"/>
      <c r="U32" s="54"/>
    </row>
    <row r="33" spans="4:21" x14ac:dyDescent="0.3">
      <c r="D33" s="62"/>
      <c r="E33" s="53"/>
      <c r="F33" s="53"/>
      <c r="G33" s="53"/>
      <c r="H33" s="118"/>
      <c r="I33" s="141"/>
      <c r="J33" s="53"/>
      <c r="K33" s="53"/>
      <c r="L33" s="141"/>
      <c r="M33" s="53"/>
      <c r="N33" s="53"/>
      <c r="O33" s="53"/>
      <c r="P33" s="53"/>
      <c r="Q33" s="53"/>
      <c r="R33" s="53"/>
      <c r="S33" s="186"/>
      <c r="T33" s="141"/>
      <c r="U33" s="53"/>
    </row>
    <row r="34" spans="4:21" x14ac:dyDescent="0.3">
      <c r="D34" s="69"/>
      <c r="E34" s="54"/>
      <c r="F34" s="54"/>
      <c r="G34" s="54"/>
      <c r="H34" s="119"/>
      <c r="I34" s="140"/>
      <c r="J34" s="54"/>
      <c r="K34" s="54"/>
      <c r="L34" s="140"/>
      <c r="M34" s="54"/>
      <c r="N34" s="54"/>
      <c r="O34" s="54"/>
      <c r="P34" s="54"/>
      <c r="Q34" s="54"/>
      <c r="R34" s="54"/>
      <c r="S34" s="188"/>
      <c r="T34" s="140"/>
      <c r="U34" s="54"/>
    </row>
    <row r="35" spans="4:21" x14ac:dyDescent="0.3">
      <c r="D35" s="62"/>
      <c r="E35" s="53"/>
      <c r="F35" s="53"/>
      <c r="G35" s="53"/>
      <c r="H35" s="118"/>
      <c r="I35" s="141"/>
      <c r="J35" s="53"/>
      <c r="K35" s="53"/>
      <c r="L35" s="141"/>
      <c r="M35" s="53"/>
      <c r="N35" s="53"/>
      <c r="O35" s="53"/>
      <c r="P35" s="53"/>
      <c r="Q35" s="53"/>
      <c r="R35" s="53"/>
      <c r="S35" s="186"/>
      <c r="T35" s="141"/>
      <c r="U35" s="53"/>
    </row>
    <row r="36" spans="4:21" x14ac:dyDescent="0.3">
      <c r="D36" s="69"/>
      <c r="E36" s="54"/>
      <c r="F36" s="54"/>
      <c r="G36" s="54"/>
      <c r="H36" s="119"/>
      <c r="I36" s="140"/>
      <c r="J36" s="54"/>
      <c r="K36" s="54"/>
      <c r="L36" s="140"/>
      <c r="M36" s="54"/>
      <c r="N36" s="54"/>
      <c r="O36" s="54"/>
      <c r="P36" s="54"/>
      <c r="Q36" s="54"/>
      <c r="R36" s="54"/>
      <c r="S36" s="188"/>
      <c r="T36" s="140"/>
      <c r="U36" s="54"/>
    </row>
    <row r="37" spans="4:21" x14ac:dyDescent="0.3">
      <c r="D37" s="62"/>
      <c r="E37" s="53"/>
      <c r="F37" s="53"/>
      <c r="G37" s="53"/>
      <c r="H37" s="118"/>
      <c r="I37" s="141"/>
      <c r="J37" s="53"/>
      <c r="K37" s="53"/>
      <c r="L37" s="141"/>
      <c r="M37" s="53"/>
      <c r="N37" s="53"/>
      <c r="O37" s="53"/>
      <c r="P37" s="53"/>
      <c r="Q37" s="53"/>
      <c r="R37" s="53"/>
      <c r="S37" s="186"/>
      <c r="T37" s="141"/>
      <c r="U37" s="53"/>
    </row>
    <row r="38" spans="4:21" x14ac:dyDescent="0.3">
      <c r="D38" s="69"/>
      <c r="E38" s="54"/>
      <c r="F38" s="54"/>
      <c r="G38" s="54"/>
      <c r="H38" s="119"/>
      <c r="I38" s="140"/>
      <c r="J38" s="54"/>
      <c r="K38" s="54"/>
      <c r="L38" s="140"/>
      <c r="M38" s="54"/>
      <c r="N38" s="54"/>
      <c r="O38" s="54"/>
      <c r="P38" s="54"/>
      <c r="Q38" s="54"/>
      <c r="R38" s="54"/>
      <c r="S38" s="188"/>
      <c r="T38" s="140"/>
      <c r="U38" s="54"/>
    </row>
    <row r="39" spans="4:21" x14ac:dyDescent="0.3">
      <c r="D39" s="62"/>
      <c r="E39" s="53"/>
      <c r="F39" s="53"/>
      <c r="G39" s="53"/>
      <c r="H39" s="118"/>
      <c r="I39" s="141"/>
      <c r="J39" s="53"/>
      <c r="K39" s="53"/>
      <c r="L39" s="141"/>
      <c r="M39" s="53"/>
      <c r="N39" s="53"/>
      <c r="O39" s="53"/>
      <c r="P39" s="53"/>
      <c r="Q39" s="53"/>
      <c r="R39" s="53"/>
      <c r="S39" s="186"/>
      <c r="T39" s="141"/>
      <c r="U39" s="53"/>
    </row>
    <row r="40" spans="4:21" x14ac:dyDescent="0.3">
      <c r="D40" s="69"/>
      <c r="E40" s="54"/>
      <c r="F40" s="54"/>
      <c r="G40" s="54"/>
      <c r="H40" s="119"/>
      <c r="I40" s="140"/>
      <c r="J40" s="54"/>
      <c r="K40" s="54"/>
      <c r="L40" s="140"/>
      <c r="M40" s="54"/>
      <c r="N40" s="54"/>
      <c r="O40" s="54"/>
      <c r="P40" s="54"/>
      <c r="Q40" s="54"/>
      <c r="R40" s="54"/>
      <c r="S40" s="188"/>
      <c r="T40" s="140"/>
      <c r="U40" s="54"/>
    </row>
    <row r="41" spans="4:21" x14ac:dyDescent="0.3">
      <c r="D41" s="62"/>
      <c r="E41" s="53"/>
      <c r="F41" s="53"/>
      <c r="G41" s="53"/>
      <c r="H41" s="118"/>
      <c r="I41" s="141"/>
      <c r="J41" s="53"/>
      <c r="K41" s="53"/>
      <c r="L41" s="141"/>
      <c r="M41" s="53"/>
      <c r="N41" s="53"/>
      <c r="O41" s="53"/>
      <c r="P41" s="53"/>
      <c r="Q41" s="53"/>
      <c r="R41" s="53"/>
      <c r="S41" s="186"/>
      <c r="T41" s="141"/>
      <c r="U41" s="53"/>
    </row>
    <row r="42" spans="4:21" x14ac:dyDescent="0.3">
      <c r="D42" s="69"/>
      <c r="E42" s="54"/>
      <c r="F42" s="54"/>
      <c r="G42" s="54"/>
      <c r="H42" s="119"/>
      <c r="I42" s="140"/>
      <c r="J42" s="54"/>
      <c r="K42" s="54"/>
      <c r="L42" s="140"/>
      <c r="M42" s="54"/>
      <c r="N42" s="54"/>
      <c r="O42" s="54"/>
      <c r="P42" s="54"/>
      <c r="Q42" s="54"/>
      <c r="R42" s="54"/>
      <c r="S42" s="188"/>
      <c r="T42" s="140"/>
      <c r="U42" s="54"/>
    </row>
    <row r="43" spans="4:21" x14ac:dyDescent="0.3">
      <c r="D43" s="62"/>
      <c r="E43" s="53"/>
      <c r="F43" s="53"/>
      <c r="G43" s="53"/>
      <c r="H43" s="118"/>
      <c r="I43" s="141"/>
      <c r="J43" s="53"/>
      <c r="K43" s="53"/>
      <c r="L43" s="141"/>
      <c r="M43" s="53"/>
      <c r="N43" s="53"/>
      <c r="O43" s="53"/>
      <c r="P43" s="53"/>
      <c r="Q43" s="53"/>
      <c r="R43" s="53"/>
      <c r="S43" s="186"/>
      <c r="T43" s="141"/>
      <c r="U43" s="53"/>
    </row>
    <row r="44" spans="4:21" x14ac:dyDescent="0.3">
      <c r="D44" s="69"/>
      <c r="E44" s="54"/>
      <c r="F44" s="54"/>
      <c r="G44" s="54"/>
      <c r="H44" s="119"/>
      <c r="I44" s="140"/>
      <c r="J44" s="54"/>
      <c r="K44" s="54"/>
      <c r="L44" s="140"/>
      <c r="M44" s="54"/>
      <c r="N44" s="54"/>
      <c r="O44" s="54"/>
      <c r="P44" s="54"/>
      <c r="Q44" s="54"/>
      <c r="R44" s="54"/>
      <c r="S44" s="188"/>
      <c r="T44" s="140"/>
      <c r="U44" s="54"/>
    </row>
    <row r="45" spans="4:21" x14ac:dyDescent="0.3">
      <c r="D45" s="62"/>
      <c r="E45" s="53"/>
      <c r="F45" s="53"/>
      <c r="G45" s="53"/>
      <c r="H45" s="118"/>
      <c r="I45" s="141"/>
      <c r="J45" s="53"/>
      <c r="K45" s="53"/>
      <c r="L45" s="141"/>
      <c r="M45" s="53"/>
      <c r="N45" s="53"/>
      <c r="O45" s="53"/>
      <c r="P45" s="53"/>
      <c r="Q45" s="53"/>
      <c r="R45" s="53"/>
      <c r="S45" s="186"/>
      <c r="T45" s="141"/>
      <c r="U45" s="53"/>
    </row>
    <row r="46" spans="4:21" x14ac:dyDescent="0.3">
      <c r="D46" s="69"/>
      <c r="E46" s="54"/>
      <c r="F46" s="54"/>
      <c r="G46" s="54"/>
      <c r="H46" s="119"/>
      <c r="I46" s="140"/>
      <c r="J46" s="54"/>
      <c r="K46" s="54"/>
      <c r="L46" s="140"/>
      <c r="M46" s="54"/>
      <c r="N46" s="54"/>
      <c r="O46" s="54"/>
      <c r="P46" s="54"/>
      <c r="Q46" s="54"/>
      <c r="R46" s="54"/>
      <c r="S46" s="188"/>
      <c r="T46" s="140"/>
      <c r="U46" s="54"/>
    </row>
    <row r="47" spans="4:21" x14ac:dyDescent="0.3">
      <c r="D47" s="62"/>
      <c r="E47" s="53"/>
      <c r="F47" s="53"/>
      <c r="G47" s="53"/>
      <c r="H47" s="118"/>
      <c r="I47" s="141"/>
      <c r="J47" s="53"/>
      <c r="K47" s="53"/>
      <c r="L47" s="141"/>
      <c r="M47" s="53"/>
      <c r="N47" s="53"/>
      <c r="O47" s="53"/>
      <c r="P47" s="53"/>
      <c r="Q47" s="53"/>
      <c r="R47" s="53"/>
      <c r="S47" s="186"/>
      <c r="T47" s="141"/>
      <c r="U47" s="53"/>
    </row>
    <row r="48" spans="4:21" x14ac:dyDescent="0.3">
      <c r="D48" s="69"/>
      <c r="E48" s="54"/>
      <c r="F48" s="54"/>
      <c r="G48" s="54"/>
      <c r="H48" s="119"/>
      <c r="I48" s="140"/>
      <c r="J48" s="54"/>
      <c r="K48" s="54"/>
      <c r="L48" s="140"/>
      <c r="M48" s="54"/>
      <c r="N48" s="54"/>
      <c r="O48" s="54"/>
      <c r="P48" s="54"/>
      <c r="Q48" s="54"/>
      <c r="R48" s="54"/>
      <c r="S48" s="188"/>
      <c r="T48" s="140"/>
      <c r="U48" s="54"/>
    </row>
    <row r="49" spans="4:21" x14ac:dyDescent="0.3">
      <c r="D49" s="62"/>
      <c r="E49" s="53"/>
      <c r="F49" s="53"/>
      <c r="G49" s="53"/>
      <c r="H49" s="118"/>
      <c r="I49" s="141"/>
      <c r="J49" s="53"/>
      <c r="K49" s="53"/>
      <c r="L49" s="141"/>
      <c r="M49" s="53"/>
      <c r="N49" s="53"/>
      <c r="O49" s="53"/>
      <c r="P49" s="53"/>
      <c r="Q49" s="53"/>
      <c r="R49" s="53"/>
      <c r="S49" s="186"/>
      <c r="T49" s="141"/>
      <c r="U49" s="53"/>
    </row>
    <row r="50" spans="4:21" x14ac:dyDescent="0.3">
      <c r="D50" s="69"/>
      <c r="E50" s="54"/>
      <c r="F50" s="54"/>
      <c r="G50" s="54"/>
      <c r="H50" s="119"/>
      <c r="I50" s="140"/>
      <c r="J50" s="54"/>
      <c r="K50" s="54"/>
      <c r="L50" s="140"/>
      <c r="M50" s="54"/>
      <c r="N50" s="54"/>
      <c r="O50" s="54"/>
      <c r="P50" s="54"/>
      <c r="Q50" s="54"/>
      <c r="R50" s="54"/>
      <c r="S50" s="188"/>
      <c r="T50" s="140"/>
      <c r="U50" s="54"/>
    </row>
    <row r="51" spans="4:21" x14ac:dyDescent="0.3">
      <c r="D51" s="62"/>
      <c r="E51" s="53"/>
      <c r="F51" s="53"/>
      <c r="G51" s="53"/>
      <c r="H51" s="118"/>
      <c r="I51" s="141"/>
      <c r="J51" s="53"/>
      <c r="K51" s="53"/>
      <c r="L51" s="141"/>
      <c r="M51" s="53"/>
      <c r="N51" s="53"/>
      <c r="O51" s="53"/>
      <c r="P51" s="53"/>
      <c r="Q51" s="53"/>
      <c r="R51" s="53"/>
      <c r="S51" s="186"/>
      <c r="T51" s="141"/>
      <c r="U51" s="53"/>
    </row>
    <row r="52" spans="4:21" x14ac:dyDescent="0.3">
      <c r="D52" s="69"/>
      <c r="E52" s="54"/>
      <c r="F52" s="54"/>
      <c r="G52" s="54"/>
      <c r="H52" s="119"/>
      <c r="I52" s="140"/>
      <c r="J52" s="54"/>
      <c r="K52" s="54"/>
      <c r="L52" s="140"/>
      <c r="M52" s="54"/>
      <c r="N52" s="54"/>
      <c r="O52" s="54"/>
      <c r="P52" s="54"/>
      <c r="Q52" s="54"/>
      <c r="R52" s="54"/>
      <c r="S52" s="188"/>
      <c r="T52" s="140"/>
      <c r="U52" s="54"/>
    </row>
    <row r="53" spans="4:21" x14ac:dyDescent="0.3">
      <c r="D53" s="62"/>
      <c r="E53" s="53"/>
      <c r="F53" s="53"/>
      <c r="G53" s="53"/>
      <c r="H53" s="118"/>
      <c r="I53" s="141"/>
      <c r="J53" s="53"/>
      <c r="K53" s="53"/>
      <c r="L53" s="141"/>
      <c r="M53" s="53"/>
      <c r="N53" s="53"/>
      <c r="O53" s="53"/>
      <c r="P53" s="53"/>
      <c r="Q53" s="53"/>
      <c r="R53" s="53"/>
      <c r="S53" s="186"/>
      <c r="T53" s="141"/>
      <c r="U53" s="53"/>
    </row>
    <row r="54" spans="4:21" x14ac:dyDescent="0.3">
      <c r="D54" s="69"/>
      <c r="E54" s="54"/>
      <c r="F54" s="54"/>
      <c r="G54" s="54"/>
      <c r="H54" s="119"/>
      <c r="I54" s="140"/>
      <c r="J54" s="54"/>
      <c r="K54" s="54"/>
      <c r="L54" s="140"/>
      <c r="M54" s="54"/>
      <c r="N54" s="54"/>
      <c r="O54" s="54"/>
      <c r="P54" s="54"/>
      <c r="Q54" s="54"/>
      <c r="R54" s="54"/>
      <c r="S54" s="188"/>
      <c r="T54" s="140"/>
      <c r="U54" s="54"/>
    </row>
    <row r="55" spans="4:21" x14ac:dyDescent="0.3">
      <c r="D55" s="62"/>
      <c r="E55" s="53"/>
      <c r="F55" s="53"/>
      <c r="G55" s="53"/>
      <c r="H55" s="118"/>
      <c r="I55" s="141"/>
      <c r="J55" s="53"/>
      <c r="K55" s="53"/>
      <c r="L55" s="141"/>
      <c r="M55" s="53"/>
      <c r="N55" s="53"/>
      <c r="O55" s="53"/>
      <c r="P55" s="53"/>
      <c r="Q55" s="53"/>
      <c r="R55" s="53"/>
      <c r="S55" s="186"/>
      <c r="T55" s="141"/>
      <c r="U55" s="53"/>
    </row>
    <row r="56" spans="4:21" x14ac:dyDescent="0.3">
      <c r="D56" s="69"/>
      <c r="E56" s="54"/>
      <c r="F56" s="54"/>
      <c r="G56" s="54"/>
      <c r="H56" s="119"/>
      <c r="I56" s="140"/>
      <c r="J56" s="54"/>
      <c r="K56" s="54"/>
      <c r="L56" s="140"/>
      <c r="M56" s="54"/>
      <c r="N56" s="54"/>
      <c r="O56" s="54"/>
      <c r="P56" s="54"/>
      <c r="Q56" s="54"/>
      <c r="R56" s="54"/>
      <c r="S56" s="188"/>
      <c r="T56" s="140"/>
      <c r="U56" s="54"/>
    </row>
    <row r="57" spans="4:21" x14ac:dyDescent="0.3">
      <c r="D57" s="62"/>
      <c r="E57" s="53"/>
      <c r="F57" s="53"/>
      <c r="G57" s="53"/>
      <c r="H57" s="118"/>
      <c r="I57" s="141"/>
      <c r="J57" s="53"/>
      <c r="K57" s="53"/>
      <c r="L57" s="141"/>
      <c r="M57" s="53"/>
      <c r="N57" s="53"/>
      <c r="O57" s="53"/>
      <c r="P57" s="53"/>
      <c r="Q57" s="53"/>
      <c r="R57" s="53"/>
      <c r="S57" s="186"/>
      <c r="T57" s="141"/>
      <c r="U57" s="53"/>
    </row>
    <row r="58" spans="4:21" x14ac:dyDescent="0.3">
      <c r="D58" s="69"/>
      <c r="E58" s="54"/>
      <c r="F58" s="54"/>
      <c r="G58" s="54"/>
      <c r="H58" s="119"/>
      <c r="I58" s="140"/>
      <c r="J58" s="54"/>
      <c r="K58" s="54"/>
      <c r="L58" s="140"/>
      <c r="M58" s="54"/>
      <c r="N58" s="54"/>
      <c r="O58" s="54"/>
      <c r="P58" s="54"/>
      <c r="Q58" s="54"/>
      <c r="R58" s="54"/>
      <c r="S58" s="188"/>
      <c r="T58" s="140"/>
      <c r="U58" s="54"/>
    </row>
    <row r="59" spans="4:21" x14ac:dyDescent="0.3">
      <c r="D59" s="62"/>
      <c r="E59" s="53"/>
      <c r="F59" s="53"/>
      <c r="G59" s="53"/>
      <c r="H59" s="118"/>
      <c r="I59" s="141"/>
      <c r="J59" s="53"/>
      <c r="K59" s="53"/>
      <c r="L59" s="141"/>
      <c r="M59" s="53"/>
      <c r="N59" s="53"/>
      <c r="O59" s="53"/>
      <c r="P59" s="53"/>
      <c r="Q59" s="53"/>
      <c r="R59" s="53"/>
      <c r="S59" s="186"/>
      <c r="T59" s="141"/>
      <c r="U59" s="53"/>
    </row>
    <row r="60" spans="4:21" x14ac:dyDescent="0.3">
      <c r="D60" s="69"/>
      <c r="E60" s="54"/>
      <c r="F60" s="54"/>
      <c r="G60" s="54"/>
      <c r="H60" s="119"/>
      <c r="I60" s="140"/>
      <c r="J60" s="54"/>
      <c r="K60" s="54"/>
      <c r="L60" s="140"/>
      <c r="M60" s="54"/>
      <c r="N60" s="54"/>
      <c r="O60" s="54"/>
      <c r="P60" s="54"/>
      <c r="Q60" s="54"/>
      <c r="R60" s="54"/>
      <c r="S60" s="188"/>
      <c r="T60" s="140"/>
      <c r="U60" s="54"/>
    </row>
    <row r="61" spans="4:21" x14ac:dyDescent="0.3">
      <c r="D61" s="62"/>
      <c r="E61" s="53"/>
      <c r="F61" s="53"/>
      <c r="G61" s="53"/>
      <c r="H61" s="118"/>
      <c r="I61" s="141"/>
      <c r="J61" s="53"/>
      <c r="K61" s="53"/>
      <c r="L61" s="141"/>
      <c r="M61" s="53"/>
      <c r="N61" s="53"/>
      <c r="O61" s="53"/>
      <c r="P61" s="53"/>
      <c r="Q61" s="53"/>
      <c r="R61" s="53"/>
      <c r="S61" s="186"/>
      <c r="T61" s="141"/>
      <c r="U61" s="53"/>
    </row>
    <row r="62" spans="4:21" x14ac:dyDescent="0.3">
      <c r="D62" s="69"/>
      <c r="E62" s="54"/>
      <c r="F62" s="54"/>
      <c r="G62" s="54"/>
      <c r="H62" s="119"/>
      <c r="I62" s="140"/>
      <c r="J62" s="54"/>
      <c r="K62" s="54"/>
      <c r="L62" s="140"/>
      <c r="M62" s="54"/>
      <c r="N62" s="54"/>
      <c r="O62" s="54"/>
      <c r="P62" s="54"/>
      <c r="Q62" s="54"/>
      <c r="R62" s="54"/>
      <c r="S62" s="188"/>
      <c r="T62" s="140"/>
      <c r="U62" s="54"/>
    </row>
    <row r="63" spans="4:21" x14ac:dyDescent="0.3">
      <c r="D63" s="62"/>
      <c r="E63" s="53"/>
      <c r="F63" s="53"/>
      <c r="G63" s="53"/>
      <c r="H63" s="118"/>
      <c r="I63" s="141"/>
      <c r="J63" s="53"/>
      <c r="K63" s="53"/>
      <c r="L63" s="141"/>
      <c r="M63" s="53"/>
      <c r="N63" s="53"/>
      <c r="O63" s="53"/>
      <c r="P63" s="53"/>
      <c r="Q63" s="53"/>
      <c r="R63" s="53"/>
      <c r="S63" s="186"/>
      <c r="T63" s="141"/>
      <c r="U63" s="53"/>
    </row>
    <row r="64" spans="4:21" x14ac:dyDescent="0.3">
      <c r="D64" s="69"/>
      <c r="E64" s="54"/>
      <c r="F64" s="54"/>
      <c r="G64" s="54"/>
      <c r="H64" s="119"/>
      <c r="I64" s="140"/>
      <c r="J64" s="54"/>
      <c r="K64" s="54"/>
      <c r="L64" s="140"/>
      <c r="M64" s="54"/>
      <c r="N64" s="54"/>
      <c r="O64" s="54"/>
      <c r="P64" s="54"/>
      <c r="Q64" s="54"/>
      <c r="R64" s="54"/>
      <c r="S64" s="188"/>
      <c r="T64" s="140"/>
      <c r="U64" s="54"/>
    </row>
    <row r="65" spans="4:21" x14ac:dyDescent="0.3">
      <c r="D65" s="62"/>
      <c r="E65" s="53"/>
      <c r="F65" s="53"/>
      <c r="G65" s="53"/>
      <c r="H65" s="118"/>
      <c r="I65" s="141"/>
      <c r="J65" s="53"/>
      <c r="K65" s="53"/>
      <c r="L65" s="141"/>
      <c r="M65" s="53"/>
      <c r="N65" s="53"/>
      <c r="O65" s="53"/>
      <c r="P65" s="53"/>
      <c r="Q65" s="53"/>
      <c r="R65" s="53"/>
      <c r="S65" s="186"/>
      <c r="T65" s="141"/>
      <c r="U65" s="53"/>
    </row>
    <row r="66" spans="4:21" x14ac:dyDescent="0.3">
      <c r="D66" s="69"/>
      <c r="E66" s="54"/>
      <c r="F66" s="54"/>
      <c r="G66" s="54"/>
      <c r="H66" s="119"/>
      <c r="I66" s="140"/>
      <c r="J66" s="54"/>
      <c r="K66" s="54"/>
      <c r="L66" s="140"/>
      <c r="M66" s="54"/>
      <c r="N66" s="54"/>
      <c r="O66" s="54"/>
      <c r="P66" s="54"/>
      <c r="Q66" s="54"/>
      <c r="R66" s="54"/>
      <c r="S66" s="188"/>
      <c r="T66" s="140"/>
      <c r="U66" s="54"/>
    </row>
    <row r="67" spans="4:21" x14ac:dyDescent="0.3">
      <c r="D67" s="62"/>
      <c r="E67" s="53"/>
      <c r="F67" s="53"/>
      <c r="G67" s="53"/>
      <c r="H67" s="118"/>
      <c r="I67" s="141"/>
      <c r="J67" s="53"/>
      <c r="K67" s="53"/>
      <c r="L67" s="141"/>
      <c r="M67" s="53"/>
      <c r="N67" s="53"/>
      <c r="O67" s="53"/>
      <c r="P67" s="53"/>
      <c r="Q67" s="53"/>
      <c r="R67" s="53"/>
      <c r="S67" s="186"/>
      <c r="T67" s="141"/>
      <c r="U67" s="53"/>
    </row>
    <row r="68" spans="4:21" x14ac:dyDescent="0.3">
      <c r="D68" s="69"/>
      <c r="E68" s="54"/>
      <c r="F68" s="54"/>
      <c r="G68" s="54"/>
      <c r="H68" s="119"/>
      <c r="I68" s="140"/>
      <c r="J68" s="54"/>
      <c r="K68" s="54"/>
      <c r="L68" s="140"/>
      <c r="M68" s="54"/>
      <c r="N68" s="54"/>
      <c r="O68" s="54"/>
      <c r="P68" s="54"/>
      <c r="Q68" s="54"/>
      <c r="R68" s="54"/>
      <c r="S68" s="188"/>
      <c r="T68" s="140"/>
      <c r="U68" s="54"/>
    </row>
    <row r="69" spans="4:21" x14ac:dyDescent="0.3">
      <c r="D69" s="62"/>
      <c r="E69" s="53"/>
      <c r="F69" s="53"/>
      <c r="G69" s="53"/>
      <c r="H69" s="118"/>
      <c r="I69" s="141"/>
      <c r="J69" s="53"/>
      <c r="K69" s="53"/>
      <c r="L69" s="141"/>
      <c r="M69" s="53"/>
      <c r="N69" s="53"/>
      <c r="O69" s="53"/>
      <c r="P69" s="53"/>
      <c r="Q69" s="53"/>
      <c r="R69" s="53"/>
      <c r="S69" s="186"/>
      <c r="T69" s="141"/>
      <c r="U69" s="53"/>
    </row>
    <row r="70" spans="4:21" x14ac:dyDescent="0.3">
      <c r="D70" s="69"/>
      <c r="E70" s="54"/>
      <c r="F70" s="54"/>
      <c r="G70" s="54"/>
      <c r="H70" s="119"/>
      <c r="I70" s="140"/>
      <c r="J70" s="54"/>
      <c r="K70" s="54"/>
      <c r="L70" s="140"/>
      <c r="M70" s="54"/>
      <c r="N70" s="54"/>
      <c r="O70" s="54"/>
      <c r="P70" s="54"/>
      <c r="Q70" s="54"/>
      <c r="R70" s="54"/>
      <c r="S70" s="188"/>
      <c r="T70" s="140"/>
      <c r="U70" s="54"/>
    </row>
    <row r="71" spans="4:21" x14ac:dyDescent="0.3">
      <c r="D71" s="62"/>
      <c r="E71" s="53"/>
      <c r="F71" s="53"/>
      <c r="G71" s="53"/>
      <c r="H71" s="118"/>
      <c r="I71" s="141"/>
      <c r="J71" s="53"/>
      <c r="K71" s="53"/>
      <c r="L71" s="141"/>
      <c r="M71" s="53"/>
      <c r="N71" s="53"/>
      <c r="O71" s="53"/>
      <c r="P71" s="53"/>
      <c r="Q71" s="53"/>
      <c r="R71" s="53"/>
      <c r="S71" s="186"/>
      <c r="T71" s="141"/>
      <c r="U71" s="53"/>
    </row>
    <row r="72" spans="4:21" x14ac:dyDescent="0.3">
      <c r="D72" s="69"/>
      <c r="E72" s="54"/>
      <c r="F72" s="54"/>
      <c r="G72" s="54"/>
      <c r="H72" s="119"/>
      <c r="I72" s="140"/>
      <c r="J72" s="54"/>
      <c r="K72" s="54"/>
      <c r="L72" s="140"/>
      <c r="M72" s="54"/>
      <c r="N72" s="54"/>
      <c r="O72" s="54"/>
      <c r="P72" s="54"/>
      <c r="Q72" s="54"/>
      <c r="R72" s="54"/>
      <c r="S72" s="188"/>
      <c r="T72" s="140"/>
      <c r="U72" s="54"/>
    </row>
    <row r="73" spans="4:21" x14ac:dyDescent="0.3">
      <c r="D73" s="62"/>
      <c r="E73" s="53"/>
      <c r="F73" s="53"/>
      <c r="G73" s="53"/>
      <c r="H73" s="118"/>
      <c r="I73" s="141"/>
      <c r="J73" s="53"/>
      <c r="K73" s="53"/>
      <c r="L73" s="141"/>
      <c r="M73" s="53"/>
      <c r="N73" s="53"/>
      <c r="O73" s="53"/>
      <c r="P73" s="53"/>
      <c r="Q73" s="53"/>
      <c r="R73" s="53"/>
      <c r="S73" s="186"/>
      <c r="T73" s="141"/>
      <c r="U73" s="53"/>
    </row>
    <row r="74" spans="4:21" x14ac:dyDescent="0.3">
      <c r="D74" s="69"/>
      <c r="E74" s="54"/>
      <c r="F74" s="54"/>
      <c r="G74" s="54"/>
      <c r="H74" s="119"/>
      <c r="I74" s="140"/>
      <c r="J74" s="54"/>
      <c r="K74" s="54"/>
      <c r="L74" s="140"/>
      <c r="M74" s="54"/>
      <c r="N74" s="54"/>
      <c r="O74" s="54"/>
      <c r="P74" s="54"/>
      <c r="Q74" s="54"/>
      <c r="R74" s="54"/>
      <c r="S74" s="188"/>
      <c r="T74" s="140"/>
      <c r="U74" s="54"/>
    </row>
    <row r="75" spans="4:21" x14ac:dyDescent="0.3">
      <c r="D75" s="62"/>
      <c r="E75" s="53"/>
      <c r="F75" s="53"/>
      <c r="G75" s="53"/>
      <c r="H75" s="118"/>
      <c r="I75" s="141"/>
      <c r="J75" s="53"/>
      <c r="K75" s="53"/>
      <c r="L75" s="141"/>
      <c r="M75" s="53"/>
      <c r="N75" s="53"/>
      <c r="O75" s="53"/>
      <c r="P75" s="53"/>
      <c r="Q75" s="53"/>
      <c r="R75" s="53"/>
      <c r="S75" s="186"/>
      <c r="T75" s="141"/>
      <c r="U75" s="53"/>
    </row>
    <row r="76" spans="4:21" x14ac:dyDescent="0.3">
      <c r="D76" s="69"/>
      <c r="E76" s="54"/>
      <c r="F76" s="54"/>
      <c r="G76" s="54"/>
      <c r="H76" s="119"/>
      <c r="I76" s="140"/>
      <c r="J76" s="54"/>
      <c r="K76" s="54"/>
      <c r="L76" s="140"/>
      <c r="M76" s="54"/>
      <c r="N76" s="54"/>
      <c r="O76" s="54"/>
      <c r="P76" s="54"/>
      <c r="Q76" s="54"/>
      <c r="R76" s="54"/>
      <c r="S76" s="188"/>
      <c r="T76" s="140"/>
      <c r="U76" s="54"/>
    </row>
    <row r="77" spans="4:21" x14ac:dyDescent="0.3">
      <c r="D77" s="62"/>
      <c r="E77" s="53"/>
      <c r="F77" s="53"/>
      <c r="G77" s="53"/>
      <c r="H77" s="118"/>
      <c r="I77" s="141"/>
      <c r="J77" s="53"/>
      <c r="K77" s="53"/>
      <c r="L77" s="141"/>
      <c r="M77" s="53"/>
      <c r="N77" s="53"/>
      <c r="O77" s="53"/>
      <c r="P77" s="53"/>
      <c r="Q77" s="53"/>
      <c r="R77" s="53"/>
      <c r="S77" s="186"/>
      <c r="T77" s="141"/>
      <c r="U77" s="53"/>
    </row>
    <row r="78" spans="4:21" x14ac:dyDescent="0.3">
      <c r="D78" s="69"/>
      <c r="E78" s="54"/>
      <c r="F78" s="54"/>
      <c r="G78" s="54"/>
      <c r="H78" s="119"/>
      <c r="I78" s="140"/>
      <c r="J78" s="54"/>
      <c r="K78" s="54"/>
      <c r="L78" s="140"/>
      <c r="M78" s="54"/>
      <c r="N78" s="54"/>
      <c r="O78" s="54"/>
      <c r="P78" s="54"/>
      <c r="Q78" s="54"/>
      <c r="R78" s="54"/>
      <c r="S78" s="188"/>
      <c r="T78" s="140"/>
      <c r="U78" s="54"/>
    </row>
    <row r="79" spans="4:21" x14ac:dyDescent="0.3">
      <c r="D79" s="62"/>
      <c r="E79" s="53"/>
      <c r="F79" s="53"/>
      <c r="G79" s="53"/>
      <c r="H79" s="118"/>
      <c r="I79" s="141"/>
      <c r="J79" s="53"/>
      <c r="K79" s="53"/>
      <c r="L79" s="141"/>
      <c r="M79" s="53"/>
      <c r="N79" s="53"/>
      <c r="O79" s="53"/>
      <c r="P79" s="53"/>
      <c r="Q79" s="53"/>
      <c r="R79" s="53"/>
      <c r="S79" s="186"/>
      <c r="T79" s="141"/>
      <c r="U79" s="53"/>
    </row>
    <row r="80" spans="4:21" x14ac:dyDescent="0.3">
      <c r="D80" s="69"/>
      <c r="E80" s="54"/>
      <c r="F80" s="54"/>
      <c r="G80" s="54"/>
      <c r="H80" s="119"/>
      <c r="I80" s="140"/>
      <c r="J80" s="54"/>
      <c r="K80" s="54"/>
      <c r="L80" s="140"/>
      <c r="M80" s="54"/>
      <c r="N80" s="54"/>
      <c r="O80" s="54"/>
      <c r="P80" s="54"/>
      <c r="Q80" s="54"/>
      <c r="R80" s="54"/>
      <c r="S80" s="188"/>
      <c r="T80" s="140"/>
      <c r="U80" s="54"/>
    </row>
    <row r="81" spans="4:21" x14ac:dyDescent="0.3">
      <c r="D81" s="62"/>
      <c r="E81" s="53"/>
      <c r="F81" s="53"/>
      <c r="G81" s="53"/>
      <c r="H81" s="118"/>
      <c r="I81" s="141"/>
      <c r="J81" s="53"/>
      <c r="K81" s="53"/>
      <c r="L81" s="141"/>
      <c r="M81" s="53"/>
      <c r="N81" s="53"/>
      <c r="O81" s="53"/>
      <c r="P81" s="53"/>
      <c r="Q81" s="53"/>
      <c r="R81" s="53"/>
      <c r="S81" s="186"/>
      <c r="T81" s="141"/>
      <c r="U81" s="53"/>
    </row>
    <row r="82" spans="4:21" x14ac:dyDescent="0.3">
      <c r="D82" s="69"/>
      <c r="E82" s="54"/>
      <c r="F82" s="54"/>
      <c r="G82" s="54"/>
      <c r="H82" s="119"/>
      <c r="I82" s="140"/>
      <c r="J82" s="54"/>
      <c r="K82" s="54"/>
      <c r="L82" s="140"/>
      <c r="M82" s="54"/>
      <c r="N82" s="54"/>
      <c r="O82" s="54"/>
      <c r="P82" s="54"/>
      <c r="Q82" s="54"/>
      <c r="R82" s="54"/>
      <c r="S82" s="188"/>
      <c r="T82" s="140"/>
      <c r="U82" s="54"/>
    </row>
    <row r="83" spans="4:21" x14ac:dyDescent="0.3">
      <c r="D83" s="62"/>
      <c r="E83" s="53"/>
      <c r="F83" s="53"/>
      <c r="G83" s="53"/>
      <c r="H83" s="118"/>
      <c r="I83" s="141"/>
      <c r="J83" s="53"/>
      <c r="K83" s="53"/>
      <c r="L83" s="141"/>
      <c r="M83" s="53"/>
      <c r="N83" s="53"/>
      <c r="O83" s="53"/>
      <c r="P83" s="53"/>
      <c r="Q83" s="53"/>
      <c r="R83" s="53"/>
      <c r="S83" s="186"/>
      <c r="T83" s="141"/>
      <c r="U83" s="53"/>
    </row>
    <row r="84" spans="4:21" x14ac:dyDescent="0.3">
      <c r="D84" s="69"/>
      <c r="E84" s="54"/>
      <c r="F84" s="54"/>
      <c r="G84" s="54"/>
      <c r="H84" s="119"/>
      <c r="I84" s="140"/>
      <c r="J84" s="54"/>
      <c r="K84" s="54"/>
      <c r="L84" s="140"/>
      <c r="M84" s="54"/>
      <c r="N84" s="54"/>
      <c r="O84" s="54"/>
      <c r="P84" s="54"/>
      <c r="Q84" s="54"/>
      <c r="R84" s="54"/>
      <c r="S84" s="188"/>
      <c r="T84" s="140"/>
      <c r="U84" s="54"/>
    </row>
    <row r="85" spans="4:21" x14ac:dyDescent="0.3">
      <c r="D85" s="62"/>
      <c r="E85" s="53"/>
      <c r="F85" s="53"/>
      <c r="G85" s="53"/>
      <c r="H85" s="118"/>
      <c r="I85" s="141"/>
      <c r="J85" s="53"/>
      <c r="K85" s="53"/>
      <c r="L85" s="141"/>
      <c r="M85" s="53"/>
      <c r="N85" s="53"/>
      <c r="O85" s="53"/>
      <c r="P85" s="53"/>
      <c r="Q85" s="53"/>
      <c r="R85" s="53"/>
      <c r="S85" s="186"/>
      <c r="T85" s="141"/>
      <c r="U85" s="53"/>
    </row>
    <row r="86" spans="4:21" x14ac:dyDescent="0.3">
      <c r="D86" s="69"/>
      <c r="E86" s="54"/>
      <c r="F86" s="54"/>
      <c r="G86" s="54"/>
      <c r="H86" s="119"/>
      <c r="I86" s="140"/>
      <c r="J86" s="54"/>
      <c r="K86" s="54"/>
      <c r="L86" s="140"/>
      <c r="M86" s="54"/>
      <c r="N86" s="54"/>
      <c r="O86" s="54"/>
      <c r="P86" s="54"/>
      <c r="Q86" s="54"/>
      <c r="R86" s="54"/>
      <c r="S86" s="188"/>
      <c r="T86" s="140"/>
      <c r="U86" s="54"/>
    </row>
    <row r="87" spans="4:21" x14ac:dyDescent="0.3">
      <c r="D87" s="62"/>
      <c r="E87" s="53"/>
      <c r="F87" s="53"/>
      <c r="G87" s="53"/>
      <c r="H87" s="118"/>
      <c r="I87" s="141"/>
      <c r="J87" s="53"/>
      <c r="K87" s="53"/>
      <c r="L87" s="141"/>
      <c r="M87" s="53"/>
      <c r="N87" s="53"/>
      <c r="O87" s="53"/>
      <c r="P87" s="53"/>
      <c r="Q87" s="53"/>
      <c r="R87" s="53"/>
      <c r="S87" s="186"/>
      <c r="T87" s="141"/>
      <c r="U87" s="53"/>
    </row>
    <row r="88" spans="4:21" x14ac:dyDescent="0.3">
      <c r="D88" s="69"/>
      <c r="E88" s="54"/>
      <c r="F88" s="54"/>
      <c r="G88" s="54"/>
      <c r="H88" s="119"/>
      <c r="I88" s="140"/>
      <c r="J88" s="54"/>
      <c r="K88" s="54"/>
      <c r="L88" s="140"/>
      <c r="M88" s="54"/>
      <c r="N88" s="54"/>
      <c r="O88" s="54"/>
      <c r="P88" s="54"/>
      <c r="Q88" s="54"/>
      <c r="R88" s="54"/>
      <c r="S88" s="188"/>
      <c r="T88" s="140"/>
      <c r="U88" s="54"/>
    </row>
    <row r="89" spans="4:21" x14ac:dyDescent="0.3">
      <c r="D89" s="62"/>
      <c r="E89" s="53"/>
      <c r="F89" s="53"/>
      <c r="G89" s="53"/>
      <c r="H89" s="118"/>
      <c r="I89" s="141"/>
      <c r="J89" s="53"/>
      <c r="K89" s="53"/>
      <c r="L89" s="141"/>
      <c r="M89" s="53"/>
      <c r="N89" s="53"/>
      <c r="O89" s="53"/>
      <c r="P89" s="53"/>
      <c r="Q89" s="53"/>
      <c r="R89" s="53"/>
      <c r="S89" s="186"/>
      <c r="T89" s="141"/>
      <c r="U89" s="53"/>
    </row>
    <row r="90" spans="4:21" x14ac:dyDescent="0.3">
      <c r="D90" s="69"/>
      <c r="E90" s="54"/>
      <c r="F90" s="54"/>
      <c r="G90" s="54"/>
      <c r="H90" s="119"/>
      <c r="I90" s="140"/>
      <c r="J90" s="54"/>
      <c r="K90" s="54"/>
      <c r="L90" s="140"/>
      <c r="M90" s="54"/>
      <c r="N90" s="54"/>
      <c r="O90" s="54"/>
      <c r="P90" s="54"/>
      <c r="Q90" s="54"/>
      <c r="R90" s="54"/>
      <c r="S90" s="188"/>
      <c r="T90" s="140"/>
      <c r="U90" s="54"/>
    </row>
    <row r="91" spans="4:21" x14ac:dyDescent="0.3">
      <c r="D91" s="62"/>
      <c r="E91" s="53"/>
      <c r="F91" s="53"/>
      <c r="G91" s="53"/>
      <c r="H91" s="118"/>
      <c r="I91" s="141"/>
      <c r="J91" s="53"/>
      <c r="K91" s="53"/>
      <c r="L91" s="141"/>
      <c r="M91" s="53"/>
      <c r="N91" s="53"/>
      <c r="O91" s="53"/>
      <c r="P91" s="53"/>
      <c r="Q91" s="53"/>
      <c r="R91" s="53"/>
      <c r="S91" s="186"/>
      <c r="T91" s="141"/>
      <c r="U91" s="53"/>
    </row>
    <row r="92" spans="4:21" x14ac:dyDescent="0.3">
      <c r="D92" s="69"/>
      <c r="E92" s="54"/>
      <c r="F92" s="54"/>
      <c r="G92" s="54"/>
      <c r="H92" s="119"/>
      <c r="I92" s="140"/>
      <c r="J92" s="54"/>
      <c r="K92" s="54"/>
      <c r="L92" s="140"/>
      <c r="M92" s="54"/>
      <c r="N92" s="54"/>
      <c r="O92" s="54"/>
      <c r="P92" s="54"/>
      <c r="Q92" s="54"/>
      <c r="R92" s="54"/>
      <c r="S92" s="188"/>
      <c r="T92" s="140"/>
      <c r="U92" s="54"/>
    </row>
    <row r="93" spans="4:21" x14ac:dyDescent="0.3">
      <c r="D93" s="62"/>
      <c r="E93" s="53"/>
      <c r="F93" s="53"/>
      <c r="G93" s="53"/>
      <c r="H93" s="118"/>
      <c r="I93" s="141"/>
      <c r="J93" s="53"/>
      <c r="K93" s="53"/>
      <c r="L93" s="141"/>
      <c r="M93" s="53"/>
      <c r="N93" s="53"/>
      <c r="O93" s="53"/>
      <c r="P93" s="53"/>
      <c r="Q93" s="53"/>
      <c r="R93" s="53"/>
      <c r="S93" s="186"/>
      <c r="T93" s="141"/>
      <c r="U93" s="53"/>
    </row>
    <row r="94" spans="4:21" x14ac:dyDescent="0.3">
      <c r="D94" s="69"/>
      <c r="E94" s="54"/>
      <c r="F94" s="54"/>
      <c r="G94" s="54"/>
      <c r="H94" s="119"/>
      <c r="I94" s="140"/>
      <c r="J94" s="54"/>
      <c r="K94" s="54"/>
      <c r="L94" s="140"/>
      <c r="M94" s="54"/>
      <c r="N94" s="54"/>
      <c r="O94" s="54"/>
      <c r="P94" s="54"/>
      <c r="Q94" s="54"/>
      <c r="R94" s="54"/>
      <c r="S94" s="188"/>
      <c r="T94" s="140"/>
      <c r="U94" s="54"/>
    </row>
    <row r="95" spans="4:21" x14ac:dyDescent="0.3">
      <c r="D95" s="62"/>
      <c r="E95" s="53"/>
      <c r="F95" s="53"/>
      <c r="G95" s="53"/>
      <c r="H95" s="118"/>
      <c r="I95" s="141"/>
      <c r="J95" s="53"/>
      <c r="K95" s="53"/>
      <c r="L95" s="141"/>
      <c r="M95" s="53"/>
      <c r="N95" s="53"/>
      <c r="O95" s="53"/>
      <c r="P95" s="53"/>
      <c r="Q95" s="53"/>
      <c r="R95" s="53"/>
      <c r="S95" s="186"/>
      <c r="T95" s="141"/>
      <c r="U95" s="53"/>
    </row>
    <row r="96" spans="4:21" x14ac:dyDescent="0.3">
      <c r="D96" s="69"/>
      <c r="E96" s="54"/>
      <c r="F96" s="54"/>
      <c r="G96" s="54"/>
      <c r="H96" s="119"/>
      <c r="I96" s="140"/>
      <c r="J96" s="54"/>
      <c r="K96" s="54"/>
      <c r="L96" s="140"/>
      <c r="M96" s="54"/>
      <c r="N96" s="54"/>
      <c r="O96" s="54"/>
      <c r="P96" s="54"/>
      <c r="Q96" s="54"/>
      <c r="R96" s="54"/>
      <c r="S96" s="188"/>
      <c r="T96" s="140"/>
      <c r="U96" s="54"/>
    </row>
    <row r="97" spans="4:21" x14ac:dyDescent="0.3">
      <c r="D97" s="62"/>
      <c r="E97" s="53"/>
      <c r="F97" s="53"/>
      <c r="G97" s="53"/>
      <c r="H97" s="118"/>
      <c r="I97" s="141"/>
      <c r="J97" s="53"/>
      <c r="K97" s="53"/>
      <c r="L97" s="141"/>
      <c r="M97" s="53"/>
      <c r="N97" s="53"/>
      <c r="O97" s="53"/>
      <c r="P97" s="53"/>
      <c r="Q97" s="53"/>
      <c r="R97" s="53"/>
      <c r="S97" s="186"/>
      <c r="T97" s="141"/>
      <c r="U97" s="53"/>
    </row>
    <row r="98" spans="4:21" x14ac:dyDescent="0.3">
      <c r="D98" s="69"/>
      <c r="E98" s="54"/>
      <c r="F98" s="54"/>
      <c r="G98" s="54"/>
      <c r="H98" s="119"/>
      <c r="I98" s="140"/>
      <c r="J98" s="54"/>
      <c r="K98" s="54"/>
      <c r="L98" s="140"/>
      <c r="M98" s="54"/>
      <c r="N98" s="54"/>
      <c r="O98" s="54"/>
      <c r="P98" s="54"/>
      <c r="Q98" s="54"/>
      <c r="R98" s="54"/>
      <c r="S98" s="188"/>
      <c r="T98" s="140"/>
      <c r="U98" s="54"/>
    </row>
    <row r="99" spans="4:21" x14ac:dyDescent="0.3">
      <c r="D99" s="62"/>
      <c r="E99" s="53"/>
      <c r="F99" s="53"/>
      <c r="G99" s="53"/>
      <c r="H99" s="118"/>
      <c r="I99" s="141"/>
      <c r="J99" s="53"/>
      <c r="K99" s="53"/>
      <c r="L99" s="141"/>
      <c r="M99" s="53"/>
      <c r="N99" s="53"/>
      <c r="O99" s="53"/>
      <c r="P99" s="53"/>
      <c r="Q99" s="53"/>
      <c r="R99" s="53"/>
      <c r="S99" s="186"/>
      <c r="T99" s="141"/>
      <c r="U99" s="53"/>
    </row>
    <row r="100" spans="4:21" x14ac:dyDescent="0.3">
      <c r="D100" s="69"/>
      <c r="E100" s="54"/>
      <c r="F100" s="54"/>
      <c r="G100" s="54"/>
      <c r="H100" s="119"/>
      <c r="I100" s="140"/>
      <c r="J100" s="54"/>
      <c r="K100" s="54"/>
      <c r="L100" s="140"/>
      <c r="M100" s="54"/>
      <c r="N100" s="54"/>
      <c r="O100" s="54"/>
      <c r="P100" s="54"/>
      <c r="Q100" s="54"/>
      <c r="R100" s="54"/>
      <c r="S100" s="188"/>
      <c r="T100" s="140"/>
      <c r="U100" s="54"/>
    </row>
    <row r="101" spans="4:21" x14ac:dyDescent="0.3">
      <c r="D101" s="62"/>
      <c r="E101" s="53"/>
      <c r="F101" s="53"/>
      <c r="G101" s="53"/>
      <c r="H101" s="118"/>
      <c r="I101" s="141"/>
      <c r="J101" s="53"/>
      <c r="K101" s="53"/>
      <c r="L101" s="141"/>
      <c r="M101" s="53"/>
      <c r="N101" s="53"/>
      <c r="O101" s="53"/>
      <c r="P101" s="53"/>
      <c r="Q101" s="53"/>
      <c r="R101" s="53"/>
      <c r="S101" s="186"/>
      <c r="T101" s="141"/>
      <c r="U101" s="53"/>
    </row>
    <row r="102" spans="4:21" x14ac:dyDescent="0.3">
      <c r="D102" s="69"/>
      <c r="E102" s="54"/>
      <c r="F102" s="54"/>
      <c r="G102" s="54"/>
      <c r="H102" s="119"/>
      <c r="I102" s="140"/>
      <c r="J102" s="54"/>
      <c r="K102" s="54"/>
      <c r="L102" s="140"/>
      <c r="M102" s="54"/>
      <c r="N102" s="54"/>
      <c r="O102" s="54"/>
      <c r="P102" s="54"/>
      <c r="Q102" s="54"/>
      <c r="R102" s="54"/>
      <c r="S102" s="188"/>
      <c r="T102" s="140"/>
      <c r="U102" s="54"/>
    </row>
    <row r="103" spans="4:21" x14ac:dyDescent="0.3">
      <c r="D103" s="62"/>
      <c r="E103" s="53"/>
      <c r="F103" s="53"/>
      <c r="G103" s="53"/>
      <c r="H103" s="118"/>
      <c r="I103" s="141"/>
      <c r="J103" s="53"/>
      <c r="K103" s="53"/>
      <c r="L103" s="141"/>
      <c r="M103" s="53"/>
      <c r="N103" s="53"/>
      <c r="O103" s="53"/>
      <c r="P103" s="53"/>
      <c r="Q103" s="53"/>
      <c r="R103" s="53"/>
      <c r="S103" s="186"/>
      <c r="T103" s="141"/>
      <c r="U103" s="53"/>
    </row>
    <row r="104" spans="4:21" x14ac:dyDescent="0.3">
      <c r="D104" s="69"/>
      <c r="E104" s="54"/>
      <c r="F104" s="54"/>
      <c r="G104" s="54"/>
      <c r="H104" s="119"/>
      <c r="I104" s="140"/>
      <c r="J104" s="54"/>
      <c r="K104" s="54"/>
      <c r="L104" s="140"/>
      <c r="M104" s="54"/>
      <c r="N104" s="54"/>
      <c r="O104" s="54"/>
      <c r="P104" s="54"/>
      <c r="Q104" s="54"/>
      <c r="R104" s="54"/>
      <c r="S104" s="188"/>
      <c r="T104" s="140"/>
      <c r="U104" s="54"/>
    </row>
    <row r="105" spans="4:21" x14ac:dyDescent="0.3">
      <c r="D105" s="62"/>
      <c r="E105" s="53"/>
      <c r="F105" s="53"/>
      <c r="G105" s="53"/>
      <c r="H105" s="118"/>
      <c r="I105" s="141"/>
      <c r="J105" s="53"/>
      <c r="K105" s="53"/>
      <c r="L105" s="141"/>
      <c r="M105" s="53"/>
      <c r="N105" s="53"/>
      <c r="O105" s="53"/>
      <c r="P105" s="53"/>
      <c r="Q105" s="53"/>
      <c r="R105" s="53"/>
      <c r="S105" s="186"/>
      <c r="T105" s="141"/>
      <c r="U105" s="53"/>
    </row>
    <row r="106" spans="4:21" x14ac:dyDescent="0.3">
      <c r="D106" s="69"/>
      <c r="E106" s="54"/>
      <c r="F106" s="54"/>
      <c r="G106" s="54"/>
      <c r="H106" s="119"/>
      <c r="I106" s="140"/>
      <c r="J106" s="54"/>
      <c r="K106" s="54"/>
      <c r="L106" s="140"/>
      <c r="M106" s="54"/>
      <c r="N106" s="54"/>
      <c r="O106" s="54"/>
      <c r="P106" s="54"/>
      <c r="Q106" s="54"/>
      <c r="R106" s="54"/>
      <c r="S106" s="188"/>
      <c r="T106" s="140"/>
      <c r="U106" s="54"/>
    </row>
    <row r="107" spans="4:21" x14ac:dyDescent="0.3">
      <c r="D107" s="62"/>
      <c r="E107" s="53"/>
      <c r="F107" s="53"/>
      <c r="G107" s="53"/>
      <c r="H107" s="118"/>
      <c r="I107" s="141"/>
      <c r="J107" s="53"/>
      <c r="K107" s="53"/>
      <c r="L107" s="141"/>
      <c r="M107" s="53"/>
      <c r="N107" s="53"/>
      <c r="O107" s="53"/>
      <c r="P107" s="53"/>
      <c r="Q107" s="53"/>
      <c r="R107" s="53"/>
      <c r="S107" s="186"/>
      <c r="T107" s="141"/>
      <c r="U107" s="53"/>
    </row>
    <row r="108" spans="4:21" x14ac:dyDescent="0.3">
      <c r="D108" s="69"/>
      <c r="E108" s="54"/>
      <c r="F108" s="54"/>
      <c r="G108" s="54"/>
      <c r="H108" s="119"/>
      <c r="I108" s="140"/>
      <c r="J108" s="54"/>
      <c r="K108" s="54"/>
      <c r="L108" s="140"/>
      <c r="M108" s="54"/>
      <c r="N108" s="54"/>
      <c r="O108" s="54"/>
      <c r="P108" s="54"/>
      <c r="Q108" s="54"/>
      <c r="R108" s="54"/>
      <c r="S108" s="188"/>
      <c r="T108" s="140"/>
      <c r="U108" s="54"/>
    </row>
    <row r="109" spans="4:21" x14ac:dyDescent="0.3">
      <c r="D109" s="62"/>
      <c r="E109" s="53"/>
      <c r="F109" s="53"/>
      <c r="G109" s="53"/>
      <c r="H109" s="118"/>
      <c r="I109" s="141"/>
      <c r="J109" s="53"/>
      <c r="K109" s="53"/>
      <c r="L109" s="141"/>
      <c r="M109" s="53"/>
      <c r="N109" s="53"/>
      <c r="O109" s="53"/>
      <c r="P109" s="53"/>
      <c r="Q109" s="53"/>
      <c r="R109" s="53"/>
      <c r="S109" s="186"/>
      <c r="T109" s="141"/>
      <c r="U109" s="53"/>
    </row>
    <row r="110" spans="4:21" x14ac:dyDescent="0.3">
      <c r="D110" s="69"/>
      <c r="E110" s="54"/>
      <c r="F110" s="54"/>
      <c r="G110" s="54"/>
      <c r="H110" s="119"/>
      <c r="I110" s="140"/>
      <c r="J110" s="54"/>
      <c r="K110" s="54"/>
      <c r="L110" s="140"/>
      <c r="M110" s="54"/>
      <c r="N110" s="54"/>
      <c r="O110" s="54"/>
      <c r="P110" s="54"/>
      <c r="Q110" s="54"/>
      <c r="R110" s="54"/>
      <c r="S110" s="188"/>
      <c r="T110" s="140"/>
      <c r="U110" s="54"/>
    </row>
    <row r="111" spans="4:21" x14ac:dyDescent="0.3">
      <c r="D111" s="62"/>
      <c r="E111" s="53"/>
      <c r="F111" s="53"/>
      <c r="G111" s="53"/>
      <c r="H111" s="118"/>
      <c r="I111" s="141"/>
      <c r="J111" s="53"/>
      <c r="K111" s="53"/>
      <c r="L111" s="141"/>
      <c r="M111" s="53"/>
      <c r="N111" s="53"/>
      <c r="O111" s="53"/>
      <c r="P111" s="53"/>
      <c r="Q111" s="53"/>
      <c r="R111" s="53"/>
      <c r="S111" s="186"/>
      <c r="T111" s="141"/>
      <c r="U111" s="53"/>
    </row>
    <row r="112" spans="4:21" x14ac:dyDescent="0.3">
      <c r="D112" s="69"/>
      <c r="E112" s="54"/>
      <c r="F112" s="54"/>
      <c r="G112" s="54"/>
      <c r="H112" s="119"/>
      <c r="I112" s="140"/>
      <c r="J112" s="54"/>
      <c r="K112" s="54"/>
      <c r="L112" s="140"/>
      <c r="M112" s="54"/>
      <c r="N112" s="54"/>
      <c r="O112" s="54"/>
      <c r="P112" s="54"/>
      <c r="Q112" s="54"/>
      <c r="R112" s="54"/>
      <c r="S112" s="188"/>
      <c r="T112" s="140"/>
      <c r="U112" s="54"/>
    </row>
    <row r="113" spans="4:21" x14ac:dyDescent="0.3">
      <c r="D113" s="62"/>
      <c r="E113" s="53"/>
      <c r="F113" s="53"/>
      <c r="G113" s="53"/>
      <c r="H113" s="118"/>
      <c r="I113" s="141"/>
      <c r="J113" s="53"/>
      <c r="K113" s="53"/>
      <c r="L113" s="141"/>
      <c r="M113" s="53"/>
      <c r="N113" s="53"/>
      <c r="O113" s="53"/>
      <c r="P113" s="53"/>
      <c r="Q113" s="53"/>
      <c r="R113" s="53"/>
      <c r="S113" s="186"/>
      <c r="T113" s="141"/>
      <c r="U113" s="53"/>
    </row>
    <row r="114" spans="4:21" x14ac:dyDescent="0.3">
      <c r="D114" s="69"/>
      <c r="E114" s="54"/>
      <c r="F114" s="54"/>
      <c r="G114" s="54"/>
      <c r="H114" s="119"/>
      <c r="I114" s="140"/>
      <c r="J114" s="54"/>
      <c r="K114" s="54"/>
      <c r="L114" s="140"/>
      <c r="M114" s="54"/>
      <c r="N114" s="54"/>
      <c r="O114" s="54"/>
      <c r="P114" s="54"/>
      <c r="Q114" s="54"/>
      <c r="R114" s="54"/>
      <c r="S114" s="188"/>
      <c r="T114" s="140"/>
      <c r="U114" s="54"/>
    </row>
    <row r="115" spans="4:21" x14ac:dyDescent="0.3">
      <c r="D115" s="62"/>
      <c r="E115" s="53"/>
      <c r="F115" s="53"/>
      <c r="G115" s="53"/>
      <c r="H115" s="118"/>
      <c r="I115" s="141"/>
      <c r="J115" s="53"/>
      <c r="K115" s="53"/>
      <c r="L115" s="141"/>
      <c r="M115" s="53"/>
      <c r="N115" s="53"/>
      <c r="O115" s="53"/>
      <c r="P115" s="53"/>
      <c r="Q115" s="53"/>
      <c r="R115" s="53"/>
      <c r="S115" s="186"/>
      <c r="T115" s="141"/>
      <c r="U115" s="53"/>
    </row>
    <row r="116" spans="4:21" x14ac:dyDescent="0.3">
      <c r="D116" s="69"/>
      <c r="E116" s="54"/>
      <c r="F116" s="54"/>
      <c r="G116" s="54"/>
      <c r="H116" s="119"/>
      <c r="I116" s="140"/>
      <c r="J116" s="54"/>
      <c r="K116" s="54"/>
      <c r="L116" s="140"/>
      <c r="M116" s="54"/>
      <c r="N116" s="54"/>
      <c r="O116" s="54"/>
      <c r="P116" s="54"/>
      <c r="Q116" s="54"/>
      <c r="R116" s="54"/>
      <c r="S116" s="188"/>
      <c r="T116" s="140"/>
      <c r="U116" s="54"/>
    </row>
    <row r="117" spans="4:21" x14ac:dyDescent="0.3">
      <c r="D117" s="62"/>
      <c r="E117" s="53"/>
      <c r="F117" s="53"/>
      <c r="G117" s="53"/>
      <c r="H117" s="118"/>
      <c r="I117" s="141"/>
      <c r="J117" s="53"/>
      <c r="K117" s="53"/>
      <c r="L117" s="141"/>
      <c r="M117" s="53"/>
      <c r="N117" s="53"/>
      <c r="O117" s="53"/>
      <c r="P117" s="53"/>
      <c r="Q117" s="53"/>
      <c r="R117" s="53"/>
      <c r="S117" s="186"/>
      <c r="T117" s="141"/>
      <c r="U117" s="53"/>
    </row>
    <row r="118" spans="4:21" x14ac:dyDescent="0.3">
      <c r="D118" s="69"/>
      <c r="E118" s="54"/>
      <c r="F118" s="54"/>
      <c r="G118" s="54"/>
      <c r="H118" s="119"/>
      <c r="I118" s="140"/>
      <c r="J118" s="54"/>
      <c r="K118" s="54"/>
      <c r="L118" s="140"/>
      <c r="M118" s="54"/>
      <c r="N118" s="54"/>
      <c r="O118" s="54"/>
      <c r="P118" s="54"/>
      <c r="Q118" s="54"/>
      <c r="R118" s="54"/>
      <c r="S118" s="188"/>
      <c r="T118" s="140"/>
      <c r="U118" s="54"/>
    </row>
    <row r="119" spans="4:21" x14ac:dyDescent="0.3">
      <c r="D119" s="62"/>
      <c r="E119" s="53"/>
      <c r="F119" s="53"/>
      <c r="G119" s="53"/>
      <c r="H119" s="118"/>
      <c r="I119" s="141"/>
      <c r="J119" s="53"/>
      <c r="K119" s="53"/>
      <c r="L119" s="141"/>
      <c r="M119" s="53"/>
      <c r="N119" s="53"/>
      <c r="O119" s="53"/>
      <c r="P119" s="53"/>
      <c r="Q119" s="53"/>
      <c r="R119" s="53"/>
      <c r="S119" s="186"/>
      <c r="T119" s="141"/>
      <c r="U119" s="53"/>
    </row>
    <row r="120" spans="4:21" x14ac:dyDescent="0.3">
      <c r="D120" s="69"/>
      <c r="E120" s="54"/>
      <c r="F120" s="54"/>
      <c r="G120" s="54"/>
      <c r="H120" s="119"/>
      <c r="I120" s="140"/>
      <c r="J120" s="54"/>
      <c r="K120" s="54"/>
      <c r="L120" s="140"/>
      <c r="M120" s="54"/>
      <c r="N120" s="54"/>
      <c r="O120" s="54"/>
      <c r="P120" s="54"/>
      <c r="Q120" s="54"/>
      <c r="R120" s="54"/>
      <c r="S120" s="188"/>
      <c r="T120" s="140"/>
      <c r="U120" s="54"/>
    </row>
    <row r="121" spans="4:21" x14ac:dyDescent="0.3">
      <c r="D121" s="62"/>
      <c r="E121" s="53"/>
      <c r="F121" s="53"/>
      <c r="G121" s="53"/>
      <c r="H121" s="118"/>
      <c r="I121" s="141"/>
      <c r="J121" s="53"/>
      <c r="K121" s="53"/>
      <c r="L121" s="141"/>
      <c r="M121" s="53"/>
      <c r="N121" s="53"/>
      <c r="O121" s="53"/>
      <c r="P121" s="53"/>
      <c r="Q121" s="53"/>
      <c r="R121" s="53"/>
      <c r="S121" s="186"/>
      <c r="T121" s="141"/>
      <c r="U121" s="53"/>
    </row>
    <row r="122" spans="4:21" x14ac:dyDescent="0.3">
      <c r="D122" s="69"/>
      <c r="E122" s="54"/>
      <c r="F122" s="54"/>
      <c r="G122" s="54"/>
      <c r="H122" s="119"/>
      <c r="I122" s="140"/>
      <c r="J122" s="54"/>
      <c r="K122" s="54"/>
      <c r="L122" s="140"/>
      <c r="M122" s="54"/>
      <c r="N122" s="54"/>
      <c r="O122" s="54"/>
      <c r="P122" s="54"/>
      <c r="Q122" s="54"/>
      <c r="R122" s="54"/>
      <c r="S122" s="188"/>
      <c r="T122" s="140"/>
      <c r="U122" s="54"/>
    </row>
    <row r="123" spans="4:21" x14ac:dyDescent="0.3">
      <c r="D123" s="62"/>
      <c r="E123" s="53"/>
      <c r="F123" s="53"/>
      <c r="G123" s="53"/>
      <c r="H123" s="118"/>
      <c r="I123" s="141"/>
      <c r="J123" s="53"/>
      <c r="K123" s="53"/>
      <c r="L123" s="141"/>
      <c r="M123" s="53"/>
      <c r="N123" s="53"/>
      <c r="O123" s="53"/>
      <c r="P123" s="53"/>
      <c r="Q123" s="53"/>
      <c r="R123" s="53"/>
      <c r="S123" s="186"/>
      <c r="T123" s="141"/>
      <c r="U123" s="53"/>
    </row>
    <row r="124" spans="4:21" x14ac:dyDescent="0.3">
      <c r="D124" s="69"/>
      <c r="E124" s="54"/>
      <c r="F124" s="54"/>
      <c r="G124" s="54"/>
      <c r="H124" s="119"/>
      <c r="I124" s="140"/>
      <c r="J124" s="54"/>
      <c r="K124" s="54"/>
      <c r="L124" s="140"/>
      <c r="M124" s="54"/>
      <c r="N124" s="54"/>
      <c r="O124" s="54"/>
      <c r="P124" s="54"/>
      <c r="Q124" s="54"/>
      <c r="R124" s="54"/>
      <c r="S124" s="188"/>
      <c r="T124" s="140"/>
      <c r="U124" s="54"/>
    </row>
    <row r="125" spans="4:21" x14ac:dyDescent="0.3">
      <c r="D125" s="62"/>
      <c r="E125" s="53"/>
      <c r="F125" s="53"/>
      <c r="G125" s="53"/>
      <c r="H125" s="118"/>
      <c r="I125" s="141"/>
      <c r="J125" s="53"/>
      <c r="K125" s="53"/>
      <c r="L125" s="141"/>
      <c r="M125" s="53"/>
      <c r="N125" s="53"/>
      <c r="O125" s="53"/>
      <c r="P125" s="53"/>
      <c r="Q125" s="53"/>
      <c r="R125" s="53"/>
      <c r="S125" s="186"/>
      <c r="T125" s="141"/>
      <c r="U125" s="53"/>
    </row>
    <row r="126" spans="4:21" x14ac:dyDescent="0.3">
      <c r="D126" s="69"/>
      <c r="E126" s="54"/>
      <c r="F126" s="54"/>
      <c r="G126" s="54"/>
      <c r="H126" s="119"/>
      <c r="I126" s="140"/>
      <c r="J126" s="54"/>
      <c r="K126" s="54"/>
      <c r="L126" s="140"/>
      <c r="M126" s="54"/>
      <c r="N126" s="54"/>
      <c r="O126" s="54"/>
      <c r="P126" s="54"/>
      <c r="Q126" s="54"/>
      <c r="R126" s="54"/>
      <c r="S126" s="188"/>
      <c r="T126" s="140"/>
      <c r="U126" s="54"/>
    </row>
    <row r="127" spans="4:21" x14ac:dyDescent="0.3">
      <c r="D127" s="62"/>
      <c r="E127" s="53"/>
      <c r="F127" s="53"/>
      <c r="G127" s="53"/>
      <c r="H127" s="118"/>
      <c r="I127" s="141"/>
      <c r="J127" s="53"/>
      <c r="K127" s="53"/>
      <c r="L127" s="141"/>
      <c r="M127" s="53"/>
      <c r="N127" s="53"/>
      <c r="O127" s="53"/>
      <c r="P127" s="53"/>
      <c r="Q127" s="53"/>
      <c r="R127" s="53"/>
      <c r="S127" s="186"/>
      <c r="T127" s="141"/>
      <c r="U127" s="53"/>
    </row>
    <row r="128" spans="4:21" x14ac:dyDescent="0.3">
      <c r="D128" s="69"/>
      <c r="E128" s="54"/>
      <c r="F128" s="54"/>
      <c r="G128" s="54"/>
      <c r="H128" s="119"/>
      <c r="I128" s="140"/>
      <c r="J128" s="54"/>
      <c r="K128" s="54"/>
      <c r="L128" s="140"/>
      <c r="M128" s="54"/>
      <c r="N128" s="54"/>
      <c r="O128" s="54"/>
      <c r="P128" s="54"/>
      <c r="Q128" s="54"/>
      <c r="R128" s="54"/>
      <c r="S128" s="188"/>
      <c r="T128" s="140"/>
      <c r="U128" s="54"/>
    </row>
    <row r="129" spans="4:21" x14ac:dyDescent="0.3">
      <c r="D129" s="62"/>
      <c r="E129" s="53"/>
      <c r="F129" s="53"/>
      <c r="G129" s="53"/>
      <c r="H129" s="118"/>
      <c r="I129" s="141"/>
      <c r="J129" s="53"/>
      <c r="K129" s="53"/>
      <c r="L129" s="141"/>
      <c r="M129" s="53"/>
      <c r="N129" s="53"/>
      <c r="O129" s="53"/>
      <c r="P129" s="53"/>
      <c r="Q129" s="53"/>
      <c r="R129" s="53"/>
      <c r="S129" s="186"/>
      <c r="T129" s="141"/>
      <c r="U129" s="53"/>
    </row>
    <row r="130" spans="4:21" x14ac:dyDescent="0.3">
      <c r="D130" s="69"/>
      <c r="E130" s="54"/>
      <c r="F130" s="54"/>
      <c r="G130" s="54"/>
      <c r="H130" s="119"/>
      <c r="I130" s="140"/>
      <c r="J130" s="54"/>
      <c r="K130" s="54"/>
      <c r="L130" s="140"/>
      <c r="M130" s="54"/>
      <c r="N130" s="54"/>
      <c r="O130" s="54"/>
      <c r="P130" s="54"/>
      <c r="Q130" s="54"/>
      <c r="R130" s="54"/>
      <c r="S130" s="188"/>
      <c r="T130" s="140"/>
      <c r="U130" s="54"/>
    </row>
    <row r="131" spans="4:21" x14ac:dyDescent="0.3">
      <c r="D131" s="62"/>
      <c r="E131" s="53"/>
      <c r="F131" s="53"/>
      <c r="G131" s="53"/>
      <c r="H131" s="118"/>
      <c r="I131" s="141"/>
      <c r="J131" s="53"/>
      <c r="K131" s="53"/>
      <c r="L131" s="141"/>
      <c r="M131" s="53"/>
      <c r="N131" s="53"/>
      <c r="O131" s="53"/>
      <c r="P131" s="53"/>
      <c r="Q131" s="53"/>
      <c r="R131" s="53"/>
      <c r="S131" s="186"/>
      <c r="T131" s="141"/>
      <c r="U131" s="53"/>
    </row>
    <row r="132" spans="4:21" x14ac:dyDescent="0.3">
      <c r="D132" s="69"/>
      <c r="E132" s="54"/>
      <c r="F132" s="54"/>
      <c r="G132" s="54"/>
      <c r="H132" s="119"/>
      <c r="I132" s="140"/>
      <c r="J132" s="54"/>
      <c r="K132" s="54"/>
      <c r="L132" s="140"/>
      <c r="M132" s="54"/>
      <c r="N132" s="54"/>
      <c r="O132" s="54"/>
      <c r="P132" s="54"/>
      <c r="Q132" s="54"/>
      <c r="R132" s="54"/>
      <c r="S132" s="188"/>
      <c r="T132" s="140"/>
      <c r="U132" s="54"/>
    </row>
    <row r="133" spans="4:21" x14ac:dyDescent="0.3">
      <c r="D133" s="62"/>
      <c r="E133" s="53"/>
      <c r="F133" s="53"/>
      <c r="G133" s="53"/>
      <c r="H133" s="118"/>
      <c r="I133" s="141"/>
      <c r="J133" s="53"/>
      <c r="K133" s="53"/>
      <c r="L133" s="141"/>
      <c r="M133" s="53"/>
      <c r="N133" s="53"/>
      <c r="O133" s="53"/>
      <c r="P133" s="53"/>
      <c r="Q133" s="53"/>
      <c r="R133" s="53"/>
      <c r="S133" s="186"/>
      <c r="T133" s="141"/>
      <c r="U133" s="53"/>
    </row>
    <row r="134" spans="4:21" x14ac:dyDescent="0.3">
      <c r="D134" s="69"/>
      <c r="E134" s="54"/>
      <c r="F134" s="54"/>
      <c r="G134" s="54"/>
      <c r="H134" s="119"/>
      <c r="I134" s="140"/>
      <c r="J134" s="54"/>
      <c r="K134" s="54"/>
      <c r="L134" s="140"/>
      <c r="M134" s="54"/>
      <c r="N134" s="54"/>
      <c r="O134" s="54"/>
      <c r="P134" s="54"/>
      <c r="Q134" s="54"/>
      <c r="R134" s="54"/>
      <c r="S134" s="188"/>
      <c r="T134" s="140"/>
      <c r="U134" s="54"/>
    </row>
    <row r="135" spans="4:21" x14ac:dyDescent="0.3">
      <c r="D135" s="62"/>
      <c r="E135" s="53"/>
      <c r="F135" s="53"/>
      <c r="G135" s="53"/>
      <c r="H135" s="118"/>
      <c r="I135" s="141"/>
      <c r="J135" s="53"/>
      <c r="K135" s="53"/>
      <c r="L135" s="141"/>
      <c r="M135" s="53"/>
      <c r="N135" s="53"/>
      <c r="O135" s="53"/>
      <c r="P135" s="53"/>
      <c r="Q135" s="53"/>
      <c r="R135" s="53"/>
      <c r="S135" s="186"/>
      <c r="T135" s="141"/>
      <c r="U135" s="53"/>
    </row>
    <row r="136" spans="4:21" x14ac:dyDescent="0.3">
      <c r="D136" s="69"/>
      <c r="E136" s="54"/>
      <c r="F136" s="54"/>
      <c r="G136" s="54"/>
      <c r="H136" s="119"/>
      <c r="I136" s="140"/>
      <c r="J136" s="54"/>
      <c r="K136" s="54"/>
      <c r="L136" s="140"/>
      <c r="M136" s="54"/>
      <c r="N136" s="54"/>
      <c r="O136" s="54"/>
      <c r="P136" s="54"/>
      <c r="Q136" s="54"/>
      <c r="R136" s="54"/>
      <c r="S136" s="188"/>
      <c r="T136" s="140"/>
      <c r="U136" s="54"/>
    </row>
    <row r="137" spans="4:21" x14ac:dyDescent="0.3">
      <c r="D137" s="62"/>
      <c r="E137" s="53"/>
      <c r="F137" s="53"/>
      <c r="G137" s="53"/>
      <c r="H137" s="118"/>
      <c r="I137" s="141"/>
      <c r="J137" s="53"/>
      <c r="K137" s="53"/>
      <c r="L137" s="141"/>
      <c r="M137" s="53"/>
      <c r="N137" s="53"/>
      <c r="O137" s="53"/>
      <c r="P137" s="53"/>
      <c r="Q137" s="53"/>
      <c r="R137" s="53"/>
      <c r="S137" s="186"/>
      <c r="T137" s="141"/>
      <c r="U137" s="53"/>
    </row>
    <row r="138" spans="4:21" x14ac:dyDescent="0.3">
      <c r="D138" s="69"/>
      <c r="E138" s="54"/>
      <c r="F138" s="54"/>
      <c r="G138" s="54"/>
      <c r="H138" s="119"/>
      <c r="I138" s="140"/>
      <c r="J138" s="54"/>
      <c r="K138" s="54"/>
      <c r="L138" s="140"/>
      <c r="M138" s="54"/>
      <c r="N138" s="54"/>
      <c r="O138" s="54"/>
      <c r="P138" s="54"/>
      <c r="Q138" s="54"/>
      <c r="R138" s="54"/>
      <c r="S138" s="188"/>
      <c r="T138" s="140"/>
      <c r="U138" s="54"/>
    </row>
    <row r="139" spans="4:21" x14ac:dyDescent="0.3">
      <c r="D139" s="62"/>
      <c r="E139" s="53"/>
      <c r="F139" s="53"/>
      <c r="G139" s="53"/>
      <c r="H139" s="118"/>
      <c r="I139" s="141"/>
      <c r="J139" s="53"/>
      <c r="K139" s="53"/>
      <c r="L139" s="141"/>
      <c r="M139" s="53"/>
      <c r="N139" s="53"/>
      <c r="O139" s="53"/>
      <c r="P139" s="53"/>
      <c r="Q139" s="53"/>
      <c r="R139" s="53"/>
      <c r="S139" s="186"/>
      <c r="T139" s="141"/>
      <c r="U139" s="53"/>
    </row>
    <row r="140" spans="4:21" x14ac:dyDescent="0.3">
      <c r="D140" s="69"/>
      <c r="E140" s="54"/>
      <c r="F140" s="54"/>
      <c r="G140" s="54"/>
      <c r="H140" s="119"/>
      <c r="I140" s="140"/>
      <c r="J140" s="54"/>
      <c r="K140" s="54"/>
      <c r="L140" s="140"/>
      <c r="M140" s="54"/>
      <c r="N140" s="54"/>
      <c r="O140" s="54"/>
      <c r="P140" s="54"/>
      <c r="Q140" s="54"/>
      <c r="R140" s="54"/>
      <c r="S140" s="188"/>
      <c r="T140" s="140"/>
      <c r="U140" s="54"/>
    </row>
    <row r="141" spans="4:21" x14ac:dyDescent="0.3">
      <c r="D141" s="62"/>
      <c r="E141" s="53"/>
      <c r="F141" s="53"/>
      <c r="G141" s="53"/>
      <c r="H141" s="118"/>
      <c r="I141" s="141"/>
      <c r="J141" s="53"/>
      <c r="K141" s="53"/>
      <c r="L141" s="141"/>
      <c r="M141" s="53"/>
      <c r="N141" s="53"/>
      <c r="O141" s="53"/>
      <c r="P141" s="53"/>
      <c r="Q141" s="53"/>
      <c r="R141" s="53"/>
      <c r="S141" s="186"/>
      <c r="T141" s="141"/>
      <c r="U141" s="53"/>
    </row>
    <row r="142" spans="4:21" x14ac:dyDescent="0.3">
      <c r="D142" s="69"/>
      <c r="E142" s="54"/>
      <c r="F142" s="54"/>
      <c r="G142" s="54"/>
      <c r="H142" s="119"/>
      <c r="I142" s="140"/>
      <c r="J142" s="54"/>
      <c r="K142" s="54"/>
      <c r="L142" s="140"/>
      <c r="M142" s="54"/>
      <c r="N142" s="54"/>
      <c r="O142" s="54"/>
      <c r="P142" s="54"/>
      <c r="Q142" s="54"/>
      <c r="R142" s="54"/>
      <c r="S142" s="188"/>
      <c r="T142" s="140"/>
      <c r="U142" s="54"/>
    </row>
    <row r="143" spans="4:21" x14ac:dyDescent="0.3">
      <c r="D143" s="62"/>
      <c r="E143" s="53"/>
      <c r="F143" s="53"/>
      <c r="G143" s="53"/>
      <c r="H143" s="118"/>
      <c r="I143" s="141"/>
      <c r="J143" s="53"/>
      <c r="K143" s="53"/>
      <c r="L143" s="141"/>
      <c r="M143" s="53"/>
      <c r="N143" s="53"/>
      <c r="O143" s="53"/>
      <c r="P143" s="53"/>
      <c r="Q143" s="53"/>
      <c r="R143" s="53"/>
      <c r="S143" s="186"/>
      <c r="T143" s="141"/>
      <c r="U143" s="53"/>
    </row>
    <row r="144" spans="4:21" x14ac:dyDescent="0.3">
      <c r="D144" s="69"/>
      <c r="E144" s="54"/>
      <c r="F144" s="54"/>
      <c r="G144" s="54"/>
      <c r="H144" s="119"/>
      <c r="I144" s="140"/>
      <c r="J144" s="54"/>
      <c r="K144" s="54"/>
      <c r="L144" s="140"/>
      <c r="M144" s="54"/>
      <c r="N144" s="54"/>
      <c r="O144" s="54"/>
      <c r="P144" s="54"/>
      <c r="Q144" s="54"/>
      <c r="R144" s="54"/>
      <c r="S144" s="188"/>
      <c r="T144" s="140"/>
      <c r="U144" s="54"/>
    </row>
    <row r="145" spans="4:21" x14ac:dyDescent="0.3">
      <c r="D145" s="62"/>
      <c r="E145" s="53"/>
      <c r="F145" s="53"/>
      <c r="G145" s="53"/>
      <c r="H145" s="118"/>
      <c r="I145" s="141"/>
      <c r="J145" s="53"/>
      <c r="K145" s="53"/>
      <c r="L145" s="141"/>
      <c r="M145" s="53"/>
      <c r="N145" s="53"/>
      <c r="O145" s="53"/>
      <c r="P145" s="53"/>
      <c r="Q145" s="53"/>
      <c r="R145" s="53"/>
      <c r="S145" s="186"/>
      <c r="T145" s="141"/>
      <c r="U145" s="53"/>
    </row>
    <row r="146" spans="4:21" x14ac:dyDescent="0.3">
      <c r="D146" s="69"/>
      <c r="E146" s="54"/>
      <c r="F146" s="54"/>
      <c r="G146" s="54"/>
      <c r="H146" s="119"/>
      <c r="I146" s="140"/>
      <c r="J146" s="54"/>
      <c r="K146" s="54"/>
      <c r="L146" s="140"/>
      <c r="M146" s="54"/>
      <c r="N146" s="54"/>
      <c r="O146" s="54"/>
      <c r="P146" s="54"/>
      <c r="Q146" s="54"/>
      <c r="R146" s="54"/>
      <c r="S146" s="188"/>
      <c r="T146" s="140"/>
      <c r="U146" s="54"/>
    </row>
    <row r="147" spans="4:21" x14ac:dyDescent="0.3">
      <c r="D147" s="62"/>
      <c r="E147" s="53"/>
      <c r="F147" s="53"/>
      <c r="G147" s="53"/>
      <c r="H147" s="118"/>
      <c r="I147" s="141"/>
      <c r="J147" s="53"/>
      <c r="K147" s="53"/>
      <c r="L147" s="141"/>
      <c r="M147" s="53"/>
      <c r="N147" s="53"/>
      <c r="O147" s="53"/>
      <c r="P147" s="53"/>
      <c r="Q147" s="53"/>
      <c r="R147" s="53"/>
      <c r="S147" s="186"/>
      <c r="T147" s="141"/>
      <c r="U147" s="53"/>
    </row>
    <row r="148" spans="4:21" x14ac:dyDescent="0.3">
      <c r="D148" s="69"/>
      <c r="E148" s="54"/>
      <c r="F148" s="54"/>
      <c r="G148" s="54"/>
      <c r="H148" s="119"/>
      <c r="I148" s="140"/>
      <c r="J148" s="54"/>
      <c r="K148" s="54"/>
      <c r="L148" s="140"/>
      <c r="M148" s="54"/>
      <c r="N148" s="54"/>
      <c r="O148" s="54"/>
      <c r="P148" s="54"/>
      <c r="Q148" s="54"/>
      <c r="R148" s="54"/>
      <c r="S148" s="188"/>
      <c r="T148" s="140"/>
      <c r="U148" s="54"/>
    </row>
    <row r="149" spans="4:21" x14ac:dyDescent="0.3">
      <c r="D149" s="62"/>
      <c r="E149" s="53"/>
      <c r="F149" s="53"/>
      <c r="G149" s="53"/>
      <c r="H149" s="118"/>
      <c r="I149" s="141"/>
      <c r="J149" s="53"/>
      <c r="K149" s="53"/>
      <c r="L149" s="141"/>
      <c r="M149" s="53"/>
      <c r="N149" s="53"/>
      <c r="O149" s="53"/>
      <c r="P149" s="53"/>
      <c r="Q149" s="53"/>
      <c r="R149" s="53"/>
      <c r="S149" s="186"/>
      <c r="T149" s="141"/>
      <c r="U149" s="53"/>
    </row>
    <row r="150" spans="4:21" x14ac:dyDescent="0.3">
      <c r="D150" s="69"/>
      <c r="E150" s="54"/>
      <c r="F150" s="54"/>
      <c r="G150" s="54"/>
      <c r="H150" s="119"/>
      <c r="I150" s="140"/>
      <c r="J150" s="54"/>
      <c r="K150" s="54"/>
      <c r="L150" s="140"/>
      <c r="M150" s="54"/>
      <c r="N150" s="54"/>
      <c r="O150" s="54"/>
      <c r="P150" s="54"/>
      <c r="Q150" s="54"/>
      <c r="R150" s="54"/>
      <c r="S150" s="188"/>
      <c r="T150" s="140"/>
      <c r="U150" s="54"/>
    </row>
    <row r="151" spans="4:21" x14ac:dyDescent="0.3">
      <c r="D151" s="62"/>
      <c r="E151" s="53"/>
      <c r="F151" s="53"/>
      <c r="G151" s="53"/>
      <c r="H151" s="118"/>
      <c r="I151" s="141"/>
      <c r="J151" s="53"/>
      <c r="K151" s="53"/>
      <c r="L151" s="141"/>
      <c r="M151" s="53"/>
      <c r="N151" s="53"/>
      <c r="O151" s="53"/>
      <c r="P151" s="53"/>
      <c r="Q151" s="53"/>
      <c r="R151" s="53"/>
      <c r="S151" s="186"/>
      <c r="T151" s="141"/>
      <c r="U151" s="53"/>
    </row>
    <row r="152" spans="4:21" x14ac:dyDescent="0.3">
      <c r="D152" s="69"/>
      <c r="E152" s="54"/>
      <c r="F152" s="54"/>
      <c r="G152" s="54"/>
      <c r="H152" s="119"/>
      <c r="I152" s="140"/>
      <c r="J152" s="54"/>
      <c r="K152" s="54"/>
      <c r="L152" s="140"/>
      <c r="M152" s="54"/>
      <c r="N152" s="54"/>
      <c r="O152" s="54"/>
      <c r="P152" s="54"/>
      <c r="Q152" s="54"/>
      <c r="R152" s="54"/>
      <c r="S152" s="188"/>
      <c r="T152" s="140"/>
      <c r="U152" s="54"/>
    </row>
    <row r="153" spans="4:21" x14ac:dyDescent="0.3">
      <c r="D153" s="62"/>
      <c r="E153" s="53"/>
      <c r="F153" s="53"/>
      <c r="G153" s="53"/>
      <c r="H153" s="118"/>
      <c r="I153" s="141"/>
      <c r="J153" s="53"/>
      <c r="K153" s="53"/>
      <c r="L153" s="141"/>
      <c r="M153" s="53"/>
      <c r="N153" s="53"/>
      <c r="O153" s="53"/>
      <c r="P153" s="53"/>
      <c r="Q153" s="53"/>
      <c r="R153" s="53"/>
      <c r="S153" s="186"/>
      <c r="T153" s="141"/>
      <c r="U153" s="53"/>
    </row>
    <row r="154" spans="4:21" x14ac:dyDescent="0.3">
      <c r="D154" s="69"/>
      <c r="E154" s="54"/>
      <c r="F154" s="54"/>
      <c r="G154" s="54"/>
      <c r="H154" s="119"/>
      <c r="I154" s="140"/>
      <c r="J154" s="54"/>
      <c r="K154" s="54"/>
      <c r="L154" s="140"/>
      <c r="M154" s="54"/>
      <c r="N154" s="54"/>
      <c r="O154" s="54"/>
      <c r="P154" s="54"/>
      <c r="Q154" s="54"/>
      <c r="R154" s="54"/>
      <c r="S154" s="188"/>
      <c r="T154" s="140"/>
      <c r="U154" s="54"/>
    </row>
    <row r="155" spans="4:21" x14ac:dyDescent="0.3">
      <c r="D155" s="62"/>
      <c r="E155" s="53"/>
      <c r="F155" s="53"/>
      <c r="G155" s="53"/>
      <c r="H155" s="118"/>
      <c r="I155" s="141"/>
      <c r="J155" s="53"/>
      <c r="K155" s="53"/>
      <c r="L155" s="141"/>
      <c r="M155" s="53"/>
      <c r="N155" s="53"/>
      <c r="O155" s="53"/>
      <c r="P155" s="53"/>
      <c r="Q155" s="53"/>
      <c r="R155" s="53"/>
      <c r="S155" s="186"/>
      <c r="T155" s="141"/>
      <c r="U155" s="53"/>
    </row>
    <row r="156" spans="4:21" x14ac:dyDescent="0.3">
      <c r="D156" s="69"/>
      <c r="E156" s="54"/>
      <c r="F156" s="54"/>
      <c r="G156" s="54"/>
      <c r="H156" s="119"/>
      <c r="I156" s="140"/>
      <c r="J156" s="54"/>
      <c r="K156" s="54"/>
      <c r="L156" s="140"/>
      <c r="M156" s="54"/>
      <c r="N156" s="54"/>
      <c r="O156" s="54"/>
      <c r="P156" s="54"/>
      <c r="Q156" s="54"/>
      <c r="R156" s="54"/>
      <c r="S156" s="188"/>
      <c r="T156" s="140"/>
      <c r="U156" s="54"/>
    </row>
    <row r="157" spans="4:21" x14ac:dyDescent="0.3">
      <c r="D157" s="62"/>
      <c r="E157" s="53"/>
      <c r="F157" s="53"/>
      <c r="G157" s="53"/>
      <c r="H157" s="118"/>
      <c r="I157" s="141"/>
      <c r="J157" s="53"/>
      <c r="K157" s="53"/>
      <c r="L157" s="141"/>
      <c r="M157" s="53"/>
      <c r="N157" s="53"/>
      <c r="O157" s="53"/>
      <c r="P157" s="53"/>
      <c r="Q157" s="53"/>
      <c r="R157" s="53"/>
      <c r="S157" s="186"/>
      <c r="T157" s="141"/>
      <c r="U157" s="53"/>
    </row>
    <row r="158" spans="4:21" x14ac:dyDescent="0.3">
      <c r="D158" s="69"/>
      <c r="E158" s="54"/>
      <c r="F158" s="54"/>
      <c r="G158" s="54"/>
      <c r="H158" s="119"/>
      <c r="I158" s="140"/>
      <c r="J158" s="54"/>
      <c r="K158" s="54"/>
      <c r="L158" s="140"/>
      <c r="M158" s="54"/>
      <c r="N158" s="54"/>
      <c r="O158" s="54"/>
      <c r="P158" s="54"/>
      <c r="Q158" s="54"/>
      <c r="R158" s="54"/>
      <c r="S158" s="188"/>
      <c r="T158" s="140"/>
      <c r="U158" s="54"/>
    </row>
    <row r="159" spans="4:21" x14ac:dyDescent="0.3">
      <c r="D159" s="62"/>
      <c r="E159" s="53"/>
      <c r="F159" s="53"/>
      <c r="G159" s="53"/>
      <c r="H159" s="118"/>
      <c r="I159" s="141"/>
      <c r="J159" s="53"/>
      <c r="K159" s="53"/>
      <c r="L159" s="141"/>
      <c r="M159" s="53"/>
      <c r="N159" s="53"/>
      <c r="O159" s="53"/>
      <c r="P159" s="53"/>
      <c r="Q159" s="53"/>
      <c r="R159" s="53"/>
      <c r="S159" s="186"/>
      <c r="T159" s="141"/>
      <c r="U159" s="53"/>
    </row>
    <row r="160" spans="4:21" x14ac:dyDescent="0.3">
      <c r="D160" s="69"/>
      <c r="E160" s="54"/>
      <c r="F160" s="54"/>
      <c r="G160" s="54"/>
      <c r="H160" s="119"/>
      <c r="I160" s="140"/>
      <c r="J160" s="54"/>
      <c r="K160" s="54"/>
      <c r="L160" s="140"/>
      <c r="M160" s="54"/>
      <c r="N160" s="54"/>
      <c r="O160" s="54"/>
      <c r="P160" s="54"/>
      <c r="Q160" s="54"/>
      <c r="R160" s="54"/>
      <c r="S160" s="188"/>
      <c r="T160" s="140"/>
      <c r="U160" s="54"/>
    </row>
    <row r="161" spans="4:21" x14ac:dyDescent="0.3">
      <c r="D161" s="62"/>
      <c r="E161" s="53"/>
      <c r="F161" s="53"/>
      <c r="G161" s="53"/>
      <c r="H161" s="118"/>
      <c r="I161" s="141"/>
      <c r="J161" s="53"/>
      <c r="K161" s="53"/>
      <c r="L161" s="141"/>
      <c r="M161" s="53"/>
      <c r="N161" s="53"/>
      <c r="O161" s="53"/>
      <c r="P161" s="53"/>
      <c r="Q161" s="53"/>
      <c r="R161" s="53"/>
      <c r="S161" s="186"/>
      <c r="T161" s="141"/>
      <c r="U161" s="53"/>
    </row>
    <row r="162" spans="4:21" x14ac:dyDescent="0.3">
      <c r="D162" s="69"/>
      <c r="E162" s="54"/>
      <c r="F162" s="54"/>
      <c r="G162" s="54"/>
      <c r="H162" s="119"/>
      <c r="I162" s="140"/>
      <c r="J162" s="54"/>
      <c r="K162" s="54"/>
      <c r="L162" s="140"/>
      <c r="M162" s="54"/>
      <c r="N162" s="54"/>
      <c r="O162" s="54"/>
      <c r="P162" s="54"/>
      <c r="Q162" s="54"/>
      <c r="R162" s="54"/>
      <c r="S162" s="188"/>
      <c r="T162" s="140"/>
      <c r="U162" s="54"/>
    </row>
    <row r="163" spans="4:21" x14ac:dyDescent="0.3">
      <c r="D163" s="62"/>
      <c r="E163" s="53"/>
      <c r="F163" s="53"/>
      <c r="G163" s="53"/>
      <c r="H163" s="118"/>
      <c r="I163" s="141"/>
      <c r="J163" s="53"/>
      <c r="K163" s="53"/>
      <c r="L163" s="141"/>
      <c r="M163" s="53"/>
      <c r="N163" s="53"/>
      <c r="O163" s="53"/>
      <c r="P163" s="53"/>
      <c r="Q163" s="53"/>
      <c r="R163" s="53"/>
      <c r="S163" s="186"/>
      <c r="T163" s="141"/>
      <c r="U163" s="53"/>
    </row>
    <row r="164" spans="4:21" x14ac:dyDescent="0.3">
      <c r="D164" s="69"/>
      <c r="E164" s="54"/>
      <c r="F164" s="54"/>
      <c r="G164" s="54"/>
      <c r="H164" s="119"/>
      <c r="I164" s="140"/>
      <c r="J164" s="54"/>
      <c r="K164" s="54"/>
      <c r="L164" s="140"/>
      <c r="M164" s="54"/>
      <c r="N164" s="54"/>
      <c r="O164" s="54"/>
      <c r="P164" s="54"/>
      <c r="Q164" s="54"/>
      <c r="R164" s="54"/>
      <c r="S164" s="188"/>
      <c r="T164" s="140"/>
      <c r="U164" s="54"/>
    </row>
    <row r="165" spans="4:21" x14ac:dyDescent="0.3">
      <c r="D165" s="62"/>
      <c r="E165" s="53"/>
      <c r="F165" s="53"/>
      <c r="G165" s="53"/>
      <c r="H165" s="118"/>
      <c r="I165" s="141"/>
      <c r="J165" s="53"/>
      <c r="K165" s="53"/>
      <c r="L165" s="141"/>
      <c r="M165" s="53"/>
      <c r="N165" s="53"/>
      <c r="O165" s="53"/>
      <c r="P165" s="53"/>
      <c r="Q165" s="53"/>
      <c r="R165" s="53"/>
      <c r="S165" s="186"/>
      <c r="T165" s="141"/>
      <c r="U165" s="53"/>
    </row>
    <row r="166" spans="4:21" x14ac:dyDescent="0.3">
      <c r="D166" s="69"/>
      <c r="E166" s="54"/>
      <c r="F166" s="54"/>
      <c r="G166" s="54"/>
      <c r="H166" s="119"/>
      <c r="I166" s="140"/>
      <c r="J166" s="54"/>
      <c r="K166" s="54"/>
      <c r="L166" s="140"/>
      <c r="M166" s="54"/>
      <c r="N166" s="54"/>
      <c r="O166" s="54"/>
      <c r="P166" s="54"/>
      <c r="Q166" s="54"/>
      <c r="R166" s="54"/>
      <c r="S166" s="188"/>
      <c r="T166" s="140"/>
      <c r="U166" s="54"/>
    </row>
    <row r="167" spans="4:21" x14ac:dyDescent="0.3">
      <c r="D167" s="62"/>
      <c r="E167" s="53"/>
      <c r="F167" s="53"/>
      <c r="G167" s="53"/>
      <c r="H167" s="118"/>
      <c r="I167" s="141"/>
      <c r="J167" s="53"/>
      <c r="K167" s="53"/>
      <c r="L167" s="141"/>
      <c r="M167" s="53"/>
      <c r="N167" s="53"/>
      <c r="O167" s="53"/>
      <c r="P167" s="53"/>
      <c r="Q167" s="53"/>
      <c r="R167" s="53"/>
      <c r="S167" s="186"/>
      <c r="T167" s="141"/>
      <c r="U167" s="53"/>
    </row>
    <row r="168" spans="4:21" x14ac:dyDescent="0.3">
      <c r="D168" s="69"/>
      <c r="E168" s="54"/>
      <c r="F168" s="54"/>
      <c r="G168" s="54"/>
      <c r="H168" s="119"/>
      <c r="I168" s="140"/>
      <c r="J168" s="54"/>
      <c r="K168" s="54"/>
      <c r="L168" s="140"/>
      <c r="M168" s="54"/>
      <c r="N168" s="54"/>
      <c r="O168" s="54"/>
      <c r="P168" s="54"/>
      <c r="Q168" s="54"/>
      <c r="R168" s="54"/>
      <c r="S168" s="188"/>
      <c r="T168" s="140"/>
      <c r="U168" s="54"/>
    </row>
    <row r="169" spans="4:21" x14ac:dyDescent="0.3">
      <c r="D169" s="62"/>
      <c r="E169" s="53"/>
      <c r="F169" s="53"/>
      <c r="G169" s="53"/>
      <c r="H169" s="118"/>
      <c r="I169" s="141"/>
      <c r="J169" s="53"/>
      <c r="K169" s="53"/>
      <c r="L169" s="141"/>
      <c r="M169" s="53"/>
      <c r="N169" s="53"/>
      <c r="O169" s="53"/>
      <c r="P169" s="53"/>
      <c r="Q169" s="53"/>
      <c r="R169" s="53"/>
      <c r="S169" s="186"/>
      <c r="T169" s="141"/>
      <c r="U169" s="53"/>
    </row>
    <row r="170" spans="4:21" x14ac:dyDescent="0.3">
      <c r="D170" s="69"/>
      <c r="E170" s="54"/>
      <c r="F170" s="54"/>
      <c r="G170" s="54"/>
      <c r="H170" s="119"/>
      <c r="I170" s="140"/>
      <c r="J170" s="54"/>
      <c r="K170" s="54"/>
      <c r="L170" s="140"/>
      <c r="M170" s="54"/>
      <c r="N170" s="54"/>
      <c r="O170" s="54"/>
      <c r="P170" s="54"/>
      <c r="Q170" s="54"/>
      <c r="R170" s="54"/>
      <c r="S170" s="188"/>
      <c r="T170" s="140"/>
      <c r="U170" s="54"/>
    </row>
    <row r="171" spans="4:21" x14ac:dyDescent="0.3">
      <c r="D171" s="62"/>
      <c r="E171" s="53"/>
      <c r="F171" s="53"/>
      <c r="G171" s="53"/>
      <c r="H171" s="118"/>
      <c r="I171" s="141"/>
      <c r="J171" s="53"/>
      <c r="K171" s="53"/>
      <c r="L171" s="141"/>
      <c r="M171" s="53"/>
      <c r="N171" s="53"/>
      <c r="O171" s="53"/>
      <c r="P171" s="53"/>
      <c r="Q171" s="53"/>
      <c r="R171" s="53"/>
      <c r="S171" s="186"/>
      <c r="T171" s="141"/>
      <c r="U171" s="53"/>
    </row>
    <row r="172" spans="4:21" x14ac:dyDescent="0.3">
      <c r="D172" s="69"/>
      <c r="E172" s="54"/>
      <c r="F172" s="54"/>
      <c r="G172" s="54"/>
      <c r="H172" s="119"/>
      <c r="I172" s="140"/>
      <c r="J172" s="54"/>
      <c r="K172" s="54"/>
      <c r="L172" s="140"/>
      <c r="M172" s="54"/>
      <c r="N172" s="54"/>
      <c r="O172" s="54"/>
      <c r="P172" s="54"/>
      <c r="Q172" s="54"/>
      <c r="R172" s="54"/>
      <c r="S172" s="188"/>
      <c r="T172" s="140"/>
      <c r="U172" s="54"/>
    </row>
    <row r="173" spans="4:21" x14ac:dyDescent="0.3">
      <c r="D173" s="62"/>
      <c r="E173" s="53"/>
      <c r="F173" s="53"/>
      <c r="G173" s="53"/>
      <c r="H173" s="118"/>
      <c r="I173" s="141"/>
      <c r="J173" s="53"/>
      <c r="K173" s="53"/>
      <c r="L173" s="141"/>
      <c r="M173" s="53"/>
      <c r="N173" s="53"/>
      <c r="O173" s="53"/>
      <c r="P173" s="53"/>
      <c r="Q173" s="53"/>
      <c r="R173" s="53"/>
      <c r="S173" s="186"/>
      <c r="T173" s="141"/>
      <c r="U173" s="53"/>
    </row>
    <row r="174" spans="4:21" x14ac:dyDescent="0.3">
      <c r="D174" s="69"/>
      <c r="E174" s="54"/>
      <c r="F174" s="54"/>
      <c r="G174" s="54"/>
      <c r="H174" s="119"/>
      <c r="I174" s="140"/>
      <c r="J174" s="54"/>
      <c r="K174" s="54"/>
      <c r="L174" s="140"/>
      <c r="M174" s="54"/>
      <c r="N174" s="54"/>
      <c r="O174" s="54"/>
      <c r="P174" s="54"/>
      <c r="Q174" s="54"/>
      <c r="R174" s="54"/>
      <c r="S174" s="188"/>
      <c r="T174" s="140"/>
      <c r="U174" s="54"/>
    </row>
    <row r="175" spans="4:21" x14ac:dyDescent="0.3">
      <c r="D175" s="62"/>
      <c r="E175" s="53"/>
      <c r="F175" s="53"/>
      <c r="G175" s="53"/>
      <c r="H175" s="118"/>
      <c r="I175" s="141"/>
      <c r="J175" s="53"/>
      <c r="K175" s="53"/>
      <c r="L175" s="141"/>
      <c r="M175" s="53"/>
      <c r="N175" s="53"/>
      <c r="O175" s="53"/>
      <c r="P175" s="53"/>
      <c r="Q175" s="53"/>
      <c r="R175" s="53"/>
      <c r="S175" s="186"/>
      <c r="T175" s="141"/>
      <c r="U175" s="53"/>
    </row>
    <row r="176" spans="4:21" x14ac:dyDescent="0.3">
      <c r="D176" s="69"/>
      <c r="E176" s="54"/>
      <c r="F176" s="54"/>
      <c r="G176" s="54"/>
      <c r="H176" s="119"/>
      <c r="I176" s="140"/>
      <c r="J176" s="54"/>
      <c r="K176" s="54"/>
      <c r="L176" s="140"/>
      <c r="M176" s="54"/>
      <c r="N176" s="54"/>
      <c r="O176" s="54"/>
      <c r="P176" s="54"/>
      <c r="Q176" s="54"/>
      <c r="R176" s="54"/>
      <c r="S176" s="188"/>
      <c r="T176" s="140"/>
      <c r="U176" s="54"/>
    </row>
    <row r="177" spans="4:21" x14ac:dyDescent="0.3">
      <c r="D177" s="62"/>
      <c r="E177" s="53"/>
      <c r="F177" s="53"/>
      <c r="G177" s="53"/>
      <c r="H177" s="118"/>
      <c r="I177" s="141"/>
      <c r="J177" s="53"/>
      <c r="K177" s="53"/>
      <c r="L177" s="141"/>
      <c r="M177" s="53"/>
      <c r="N177" s="53"/>
      <c r="O177" s="53"/>
      <c r="P177" s="53"/>
      <c r="Q177" s="53"/>
      <c r="R177" s="53"/>
      <c r="S177" s="186"/>
      <c r="T177" s="141"/>
      <c r="U177" s="53"/>
    </row>
    <row r="178" spans="4:21" x14ac:dyDescent="0.3">
      <c r="D178" s="69"/>
      <c r="E178" s="54"/>
      <c r="F178" s="54"/>
      <c r="G178" s="54"/>
      <c r="H178" s="119"/>
      <c r="I178" s="140"/>
      <c r="J178" s="54"/>
      <c r="K178" s="54"/>
      <c r="L178" s="140"/>
      <c r="M178" s="54"/>
      <c r="N178" s="54"/>
      <c r="O178" s="54"/>
      <c r="P178" s="54"/>
      <c r="Q178" s="54"/>
      <c r="R178" s="54"/>
      <c r="S178" s="188"/>
      <c r="T178" s="140"/>
      <c r="U178" s="54"/>
    </row>
    <row r="179" spans="4:21" x14ac:dyDescent="0.3">
      <c r="D179" s="62"/>
      <c r="E179" s="53"/>
      <c r="F179" s="53"/>
      <c r="G179" s="53"/>
      <c r="H179" s="118"/>
      <c r="I179" s="141"/>
      <c r="J179" s="53"/>
      <c r="K179" s="53"/>
      <c r="L179" s="141"/>
      <c r="M179" s="53"/>
      <c r="N179" s="53"/>
      <c r="O179" s="53"/>
      <c r="P179" s="53"/>
      <c r="Q179" s="53"/>
      <c r="R179" s="53"/>
      <c r="S179" s="186"/>
      <c r="T179" s="141"/>
      <c r="U179" s="53"/>
    </row>
    <row r="180" spans="4:21" x14ac:dyDescent="0.3">
      <c r="D180" s="69"/>
      <c r="E180" s="54"/>
      <c r="F180" s="54"/>
      <c r="G180" s="54"/>
      <c r="H180" s="119"/>
      <c r="I180" s="140"/>
      <c r="J180" s="54"/>
      <c r="K180" s="54"/>
      <c r="L180" s="140"/>
      <c r="M180" s="54"/>
      <c r="N180" s="54"/>
      <c r="O180" s="54"/>
      <c r="P180" s="54"/>
      <c r="Q180" s="54"/>
      <c r="R180" s="54"/>
      <c r="S180" s="188"/>
      <c r="T180" s="140"/>
      <c r="U180" s="54"/>
    </row>
    <row r="181" spans="4:21" x14ac:dyDescent="0.3">
      <c r="D181" s="62"/>
      <c r="E181" s="53"/>
      <c r="F181" s="53"/>
      <c r="G181" s="53"/>
      <c r="H181" s="118"/>
      <c r="I181" s="141"/>
      <c r="J181" s="53"/>
      <c r="K181" s="53"/>
      <c r="L181" s="141"/>
      <c r="M181" s="53"/>
      <c r="N181" s="53"/>
      <c r="O181" s="53"/>
      <c r="P181" s="53"/>
      <c r="Q181" s="53"/>
      <c r="R181" s="53"/>
      <c r="S181" s="186"/>
      <c r="T181" s="141"/>
      <c r="U181" s="53"/>
    </row>
    <row r="182" spans="4:21" x14ac:dyDescent="0.3">
      <c r="D182" s="69"/>
      <c r="E182" s="54"/>
      <c r="F182" s="54"/>
      <c r="G182" s="54"/>
      <c r="H182" s="119"/>
      <c r="I182" s="140"/>
      <c r="J182" s="54"/>
      <c r="K182" s="54"/>
      <c r="L182" s="140"/>
      <c r="M182" s="54"/>
      <c r="N182" s="54"/>
      <c r="O182" s="54"/>
      <c r="P182" s="54"/>
      <c r="Q182" s="54"/>
      <c r="R182" s="54"/>
      <c r="S182" s="188"/>
      <c r="T182" s="140"/>
      <c r="U182" s="54"/>
    </row>
    <row r="183" spans="4:21" x14ac:dyDescent="0.3">
      <c r="D183" s="62"/>
      <c r="E183" s="53"/>
      <c r="F183" s="53"/>
      <c r="G183" s="53"/>
      <c r="H183" s="118"/>
      <c r="I183" s="141"/>
      <c r="J183" s="53"/>
      <c r="K183" s="53"/>
      <c r="L183" s="141"/>
      <c r="M183" s="53"/>
      <c r="N183" s="53"/>
      <c r="O183" s="53"/>
      <c r="P183" s="53"/>
      <c r="Q183" s="53"/>
      <c r="R183" s="53"/>
      <c r="S183" s="186"/>
      <c r="T183" s="141"/>
      <c r="U183" s="53"/>
    </row>
    <row r="184" spans="4:21" x14ac:dyDescent="0.3">
      <c r="D184" s="69"/>
      <c r="E184" s="54"/>
      <c r="F184" s="54"/>
      <c r="G184" s="54"/>
      <c r="H184" s="119"/>
      <c r="I184" s="140"/>
      <c r="J184" s="54"/>
      <c r="K184" s="54"/>
      <c r="L184" s="140"/>
      <c r="M184" s="54"/>
      <c r="N184" s="54"/>
      <c r="O184" s="54"/>
      <c r="P184" s="54"/>
      <c r="Q184" s="54"/>
      <c r="R184" s="54"/>
      <c r="S184" s="188"/>
      <c r="T184" s="140"/>
      <c r="U184" s="54"/>
    </row>
    <row r="185" spans="4:21" x14ac:dyDescent="0.3">
      <c r="D185" s="62"/>
      <c r="E185" s="53"/>
      <c r="F185" s="53"/>
      <c r="G185" s="53"/>
      <c r="H185" s="118"/>
      <c r="I185" s="141"/>
      <c r="J185" s="53"/>
      <c r="K185" s="53"/>
      <c r="L185" s="141"/>
      <c r="M185" s="53"/>
      <c r="N185" s="53"/>
      <c r="O185" s="53"/>
      <c r="P185" s="53"/>
      <c r="Q185" s="53"/>
      <c r="R185" s="53"/>
      <c r="S185" s="186"/>
      <c r="T185" s="141"/>
      <c r="U185" s="53"/>
    </row>
    <row r="186" spans="4:21" x14ac:dyDescent="0.3">
      <c r="D186" s="69"/>
      <c r="E186" s="54"/>
      <c r="F186" s="54"/>
      <c r="G186" s="54"/>
      <c r="H186" s="119"/>
      <c r="I186" s="140"/>
      <c r="J186" s="54"/>
      <c r="K186" s="54"/>
      <c r="L186" s="140"/>
      <c r="M186" s="54"/>
      <c r="N186" s="54"/>
      <c r="O186" s="54"/>
      <c r="P186" s="54"/>
      <c r="Q186" s="54"/>
      <c r="R186" s="54"/>
      <c r="S186" s="188"/>
      <c r="T186" s="140"/>
      <c r="U186" s="54"/>
    </row>
    <row r="187" spans="4:21" x14ac:dyDescent="0.3">
      <c r="D187" s="62"/>
      <c r="E187" s="53"/>
      <c r="F187" s="53"/>
      <c r="G187" s="53"/>
      <c r="H187" s="118"/>
      <c r="I187" s="141"/>
      <c r="J187" s="53"/>
      <c r="K187" s="53"/>
      <c r="L187" s="141"/>
      <c r="M187" s="53"/>
      <c r="N187" s="53"/>
      <c r="O187" s="53"/>
      <c r="P187" s="53"/>
      <c r="Q187" s="53"/>
      <c r="R187" s="53"/>
      <c r="S187" s="186"/>
      <c r="T187" s="141"/>
      <c r="U187" s="53"/>
    </row>
    <row r="188" spans="4:21" x14ac:dyDescent="0.3">
      <c r="D188" s="69"/>
      <c r="E188" s="54"/>
      <c r="F188" s="54"/>
      <c r="G188" s="54"/>
      <c r="H188" s="119"/>
      <c r="I188" s="140"/>
      <c r="J188" s="54"/>
      <c r="K188" s="54"/>
      <c r="L188" s="140"/>
      <c r="M188" s="54"/>
      <c r="N188" s="54"/>
      <c r="O188" s="54"/>
      <c r="P188" s="54"/>
      <c r="Q188" s="54"/>
      <c r="R188" s="54"/>
      <c r="S188" s="188"/>
      <c r="T188" s="140"/>
      <c r="U188" s="54"/>
    </row>
    <row r="189" spans="4:21" x14ac:dyDescent="0.3">
      <c r="D189" s="62"/>
      <c r="E189" s="53"/>
      <c r="F189" s="53"/>
      <c r="G189" s="53"/>
      <c r="H189" s="118"/>
      <c r="I189" s="141"/>
      <c r="J189" s="53"/>
      <c r="K189" s="53"/>
      <c r="L189" s="141"/>
      <c r="M189" s="53"/>
      <c r="N189" s="53"/>
      <c r="O189" s="53"/>
      <c r="P189" s="53"/>
      <c r="Q189" s="53"/>
      <c r="R189" s="53"/>
      <c r="S189" s="186"/>
      <c r="T189" s="141"/>
      <c r="U189" s="53"/>
    </row>
    <row r="190" spans="4:21" x14ac:dyDescent="0.3">
      <c r="D190" s="69"/>
      <c r="E190" s="54"/>
      <c r="F190" s="54"/>
      <c r="G190" s="54"/>
      <c r="H190" s="119"/>
      <c r="I190" s="140"/>
      <c r="J190" s="54"/>
      <c r="K190" s="54"/>
      <c r="L190" s="140"/>
      <c r="M190" s="54"/>
      <c r="N190" s="54"/>
      <c r="O190" s="54"/>
      <c r="P190" s="54"/>
      <c r="Q190" s="54"/>
      <c r="R190" s="54"/>
      <c r="S190" s="188"/>
      <c r="T190" s="140"/>
      <c r="U190" s="54"/>
    </row>
    <row r="191" spans="4:21" x14ac:dyDescent="0.3">
      <c r="D191" s="62"/>
      <c r="E191" s="53"/>
      <c r="F191" s="53"/>
      <c r="G191" s="53"/>
      <c r="H191" s="118"/>
      <c r="I191" s="141"/>
      <c r="J191" s="53"/>
      <c r="K191" s="53"/>
      <c r="L191" s="141"/>
      <c r="M191" s="53"/>
      <c r="N191" s="53"/>
      <c r="O191" s="53"/>
      <c r="P191" s="53"/>
      <c r="Q191" s="53"/>
      <c r="R191" s="53"/>
      <c r="S191" s="186"/>
      <c r="T191" s="141"/>
      <c r="U191" s="53"/>
    </row>
    <row r="192" spans="4:21" x14ac:dyDescent="0.3">
      <c r="D192" s="69"/>
      <c r="E192" s="54"/>
      <c r="F192" s="54"/>
      <c r="G192" s="54"/>
      <c r="H192" s="119"/>
      <c r="I192" s="140"/>
      <c r="J192" s="54"/>
      <c r="K192" s="54"/>
      <c r="L192" s="140"/>
      <c r="M192" s="54"/>
      <c r="N192" s="54"/>
      <c r="O192" s="54"/>
      <c r="P192" s="54"/>
      <c r="Q192" s="54"/>
      <c r="R192" s="54"/>
      <c r="S192" s="188"/>
      <c r="T192" s="140"/>
      <c r="U192" s="54"/>
    </row>
    <row r="193" spans="4:21" x14ac:dyDescent="0.3">
      <c r="D193" s="62"/>
      <c r="E193" s="53"/>
      <c r="F193" s="53"/>
      <c r="G193" s="53"/>
      <c r="H193" s="118"/>
      <c r="I193" s="141"/>
      <c r="J193" s="53"/>
      <c r="K193" s="53"/>
      <c r="L193" s="141"/>
      <c r="M193" s="53"/>
      <c r="N193" s="53"/>
      <c r="O193" s="53"/>
      <c r="P193" s="53"/>
      <c r="Q193" s="53"/>
      <c r="R193" s="53"/>
      <c r="S193" s="186"/>
      <c r="T193" s="141"/>
      <c r="U193" s="53"/>
    </row>
    <row r="194" spans="4:21" x14ac:dyDescent="0.3">
      <c r="D194" s="69"/>
      <c r="E194" s="54"/>
      <c r="F194" s="54"/>
      <c r="G194" s="54"/>
      <c r="H194" s="119"/>
      <c r="I194" s="140"/>
      <c r="J194" s="54"/>
      <c r="K194" s="54"/>
      <c r="L194" s="140"/>
      <c r="M194" s="54"/>
      <c r="N194" s="54"/>
      <c r="O194" s="54"/>
      <c r="P194" s="54"/>
      <c r="Q194" s="54"/>
      <c r="R194" s="54"/>
      <c r="S194" s="188"/>
      <c r="T194" s="140"/>
      <c r="U194" s="54"/>
    </row>
    <row r="195" spans="4:21" x14ac:dyDescent="0.3">
      <c r="D195" s="62"/>
      <c r="E195" s="53"/>
      <c r="F195" s="53"/>
      <c r="G195" s="53"/>
      <c r="H195" s="118"/>
      <c r="I195" s="141"/>
      <c r="J195" s="53"/>
      <c r="K195" s="53"/>
      <c r="L195" s="141"/>
      <c r="M195" s="53"/>
      <c r="N195" s="53"/>
      <c r="O195" s="53"/>
      <c r="P195" s="53"/>
      <c r="Q195" s="53"/>
      <c r="R195" s="53"/>
      <c r="S195" s="186"/>
      <c r="T195" s="141"/>
      <c r="U195" s="53"/>
    </row>
    <row r="196" spans="4:21" x14ac:dyDescent="0.3">
      <c r="D196" s="69"/>
      <c r="E196" s="54"/>
      <c r="F196" s="54"/>
      <c r="G196" s="54"/>
      <c r="H196" s="119"/>
      <c r="I196" s="140"/>
      <c r="J196" s="54"/>
      <c r="K196" s="54"/>
      <c r="L196" s="140"/>
      <c r="M196" s="54"/>
      <c r="N196" s="54"/>
      <c r="O196" s="54"/>
      <c r="P196" s="54"/>
      <c r="Q196" s="54"/>
      <c r="R196" s="54"/>
      <c r="S196" s="188"/>
      <c r="T196" s="140"/>
      <c r="U196" s="54"/>
    </row>
    <row r="197" spans="4:21" x14ac:dyDescent="0.3">
      <c r="D197" s="62"/>
      <c r="E197" s="53"/>
      <c r="F197" s="53"/>
      <c r="G197" s="53"/>
      <c r="H197" s="118"/>
      <c r="I197" s="141"/>
      <c r="J197" s="53"/>
      <c r="K197" s="53"/>
      <c r="L197" s="141"/>
      <c r="M197" s="53"/>
      <c r="N197" s="53"/>
      <c r="O197" s="53"/>
      <c r="P197" s="53"/>
      <c r="Q197" s="53"/>
      <c r="R197" s="53"/>
      <c r="S197" s="186"/>
      <c r="T197" s="141"/>
      <c r="U197" s="53"/>
    </row>
    <row r="198" spans="4:21" x14ac:dyDescent="0.3">
      <c r="D198" s="69"/>
      <c r="E198" s="54"/>
      <c r="F198" s="54"/>
      <c r="G198" s="54"/>
      <c r="H198" s="119"/>
      <c r="I198" s="140"/>
      <c r="J198" s="54"/>
      <c r="K198" s="54"/>
      <c r="L198" s="140"/>
      <c r="M198" s="54"/>
      <c r="N198" s="54"/>
      <c r="O198" s="54"/>
      <c r="P198" s="54"/>
      <c r="Q198" s="54"/>
      <c r="R198" s="54"/>
      <c r="S198" s="188"/>
      <c r="T198" s="140"/>
      <c r="U198" s="54"/>
    </row>
    <row r="199" spans="4:21" x14ac:dyDescent="0.3">
      <c r="D199" s="62"/>
      <c r="E199" s="53"/>
      <c r="F199" s="53"/>
      <c r="G199" s="53"/>
      <c r="H199" s="118"/>
      <c r="I199" s="141"/>
      <c r="J199" s="53"/>
      <c r="K199" s="53"/>
      <c r="L199" s="141"/>
      <c r="M199" s="53"/>
      <c r="N199" s="53"/>
      <c r="O199" s="53"/>
      <c r="P199" s="53"/>
      <c r="Q199" s="53"/>
      <c r="R199" s="53"/>
      <c r="S199" s="186"/>
      <c r="T199" s="141"/>
      <c r="U199" s="53"/>
    </row>
    <row r="200" spans="4:21" x14ac:dyDescent="0.3">
      <c r="D200" s="83"/>
      <c r="E200" s="52"/>
      <c r="F200" s="52"/>
      <c r="G200" s="52"/>
      <c r="H200" s="120"/>
      <c r="I200" s="142"/>
      <c r="J200" s="52"/>
      <c r="K200" s="52"/>
      <c r="L200" s="142"/>
      <c r="M200" s="52"/>
      <c r="N200" s="52"/>
      <c r="O200" s="52"/>
      <c r="P200" s="52"/>
      <c r="Q200" s="52"/>
      <c r="R200" s="52"/>
      <c r="S200" s="189"/>
      <c r="T200" s="142"/>
      <c r="U200" s="52"/>
    </row>
    <row r="201" spans="4:21" x14ac:dyDescent="0.3"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</row>
    <row r="202" spans="4:21" x14ac:dyDescent="0.3">
      <c r="D202" s="79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</row>
  </sheetData>
  <mergeCells count="13">
    <mergeCell ref="P1:R1"/>
    <mergeCell ref="A18:B18"/>
    <mergeCell ref="A12:B12"/>
    <mergeCell ref="A13:B13"/>
    <mergeCell ref="A14:B14"/>
    <mergeCell ref="A15:B15"/>
    <mergeCell ref="A16:B16"/>
    <mergeCell ref="A17:B17"/>
    <mergeCell ref="A6:B6"/>
    <mergeCell ref="A1:B1"/>
    <mergeCell ref="D1:F1"/>
    <mergeCell ref="H1:J1"/>
    <mergeCell ref="M1:O1"/>
  </mergeCells>
  <dataValidations count="2">
    <dataValidation type="list" allowBlank="1" showInputMessage="1" showErrorMessage="1" sqref="B7" xr:uid="{A7FE0274-408C-47E1-9B07-73E71CFD34E5}">
      <formula1>"All,January,February,March,April,May,June,July,August,September,October,November,December"</formula1>
    </dataValidation>
    <dataValidation type="custom" allowBlank="1" showInputMessage="1" showErrorMessage="1" errorTitle="invalid number entered" error="Please enter a number with 10 digits" sqref="I3:I14" xr:uid="{41EA4CE8-7AA4-46DA-846B-39A60E76DD75}">
      <formula1>AND(LEN(I3)=10,ISNUMBER(--I3))</formula1>
    </dataValidation>
  </dataValidations>
  <hyperlinks>
    <hyperlink ref="A14:B14" location="Enrollment!A1" display="Enrollment" xr:uid="{9AE25239-2E01-4891-ABD4-377F2D150809}"/>
    <hyperlink ref="A15:B15" location="Attendance!A1" display="Attendance" xr:uid="{F2F0F2D2-2B08-4FEF-AF3F-CD05FCBDBB6E}"/>
    <hyperlink ref="A16:B16" location="Teachers!A1" display="Teachers" xr:uid="{D171E010-26A2-4B75-BE0A-02CD226BE37E}"/>
    <hyperlink ref="A17:B17" location="Classes!A1" display="Classes" xr:uid="{3C0B7FCF-7F1A-46C7-8AE0-4286FEABAAB8}"/>
    <hyperlink ref="A18:B18" location="Monthly_Report!A1" display="Monthly report" xr:uid="{AE609D2B-EF3C-4D2D-A7E3-C51A3B095122}"/>
    <hyperlink ref="A13" location="Home!A1" display="Home" xr:uid="{5630D674-56DE-4D12-A7B0-0A7596CE507C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B04E34-EA50-49CF-B0E2-CCA3685220B0}">
          <x14:formula1>
            <xm:f>Classes!$A$3:$A$23</xm:f>
          </x14:formula1>
          <xm:sqref>F3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0B340-3036-4989-950E-BD89CDEBCEFF}">
  <sheetPr codeName="Sheet20"/>
  <dimension ref="A1:BK202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B18"/>
    </sheetView>
  </sheetViews>
  <sheetFormatPr defaultRowHeight="14.4" x14ac:dyDescent="0.3"/>
  <cols>
    <col min="1" max="1" width="22.44140625" customWidth="1"/>
    <col min="2" max="2" width="16.33203125" customWidth="1"/>
    <col min="4" max="4" width="17.77734375" customWidth="1"/>
    <col min="5" max="5" width="16.21875" customWidth="1"/>
    <col min="6" max="7" width="14.5546875" customWidth="1"/>
    <col min="8" max="8" width="12.6640625" customWidth="1"/>
    <col min="9" max="9" width="16.6640625" customWidth="1"/>
    <col min="10" max="10" width="10.77734375" customWidth="1"/>
    <col min="11" max="11" width="18.109375" customWidth="1"/>
    <col min="12" max="12" width="13.77734375" customWidth="1"/>
    <col min="13" max="18" width="12.33203125" customWidth="1"/>
    <col min="19" max="19" width="18.88671875" customWidth="1"/>
    <col min="20" max="20" width="20.21875" customWidth="1"/>
    <col min="21" max="21" width="23.33203125" customWidth="1"/>
    <col min="22" max="60" width="12.33203125" customWidth="1"/>
  </cols>
  <sheetData>
    <row r="1" spans="1:63" ht="15.6" customHeight="1" x14ac:dyDescent="0.3">
      <c r="A1" s="310" t="s">
        <v>105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>
        <f>Teachers!A10</f>
        <v>0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e">
        <f>_xlfn.XLOOKUP(B2, teachers_table[*Teacher ID], teachers_table[*Teacher Name])</f>
        <v>#N/A</v>
      </c>
      <c r="C3" s="26"/>
      <c r="D3" s="62" t="e" cm="1">
        <f t="array" ref="D3">IF(B7 = "All", _xlfn._xlws.FILTER(enrollment_table[], enrollment_table[*Teacher Name] = T_Blank1!B3, "No Students Found"), _xlfn._xlws.FILTER(enrollment_table[], (enrollment_table[*Teacher Name] = T_Blank1!B3 ) * (enrollment_table[Enrollment Month] = B7), "No Students Found"))</f>
        <v>#N/A</v>
      </c>
      <c r="E3" s="53"/>
      <c r="F3" s="53"/>
      <c r="G3" s="82"/>
      <c r="H3" s="115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</row>
    <row r="4" spans="1:63" ht="15.6" customHeight="1" x14ac:dyDescent="0.3">
      <c r="A4" s="88" t="s">
        <v>29</v>
      </c>
      <c r="B4" s="87" t="e">
        <f>_xlfn.XLOOKUP(B2, teachers_table[*Teacher ID], teachers_table[*Income Rate])</f>
        <v>#N/A</v>
      </c>
      <c r="C4" s="27"/>
      <c r="D4" s="69"/>
      <c r="E4" s="54"/>
      <c r="F4" s="54"/>
      <c r="G4" s="70"/>
      <c r="H4" s="114"/>
      <c r="I4" s="71"/>
      <c r="J4" s="37"/>
      <c r="K4" s="54"/>
      <c r="L4" s="78"/>
      <c r="M4" s="54"/>
      <c r="N4" s="54"/>
      <c r="O4" s="54"/>
      <c r="P4" s="54"/>
      <c r="Q4" s="54"/>
      <c r="R4" s="54"/>
      <c r="S4" s="72"/>
      <c r="T4" s="72"/>
      <c r="U4" s="54"/>
    </row>
    <row r="5" spans="1:63" ht="15.6" customHeight="1" x14ac:dyDescent="0.3">
      <c r="C5" s="28"/>
      <c r="D5" s="62"/>
      <c r="E5" s="53"/>
      <c r="F5" s="53"/>
      <c r="G5" s="63"/>
      <c r="H5" s="115"/>
      <c r="I5" s="65"/>
      <c r="J5" s="66"/>
      <c r="K5" s="53"/>
      <c r="L5" s="53"/>
      <c r="M5" s="53"/>
      <c r="N5" s="53"/>
      <c r="O5" s="53"/>
      <c r="P5" s="53"/>
      <c r="Q5" s="53"/>
      <c r="R5" s="53"/>
      <c r="S5" s="68"/>
      <c r="T5" s="68"/>
      <c r="U5" s="53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70"/>
      <c r="H6" s="116"/>
      <c r="I6" s="71"/>
      <c r="J6" s="37"/>
      <c r="K6" s="54"/>
      <c r="L6" s="54"/>
      <c r="M6" s="54"/>
      <c r="N6" s="54"/>
      <c r="O6" s="54"/>
      <c r="P6" s="54"/>
      <c r="Q6" s="54"/>
      <c r="R6" s="54"/>
      <c r="S6" s="72"/>
      <c r="T6" s="72"/>
      <c r="U6" s="54"/>
    </row>
    <row r="7" spans="1:63" ht="15.6" customHeight="1" x14ac:dyDescent="0.3">
      <c r="A7" s="47" t="s">
        <v>157</v>
      </c>
      <c r="B7" s="24" t="s">
        <v>100</v>
      </c>
      <c r="D7" s="62"/>
      <c r="E7" s="53"/>
      <c r="F7" s="53"/>
      <c r="G7" s="63"/>
      <c r="H7" s="117"/>
      <c r="I7" s="65"/>
      <c r="J7" s="66"/>
      <c r="K7" s="53"/>
      <c r="L7" s="53"/>
      <c r="M7" s="53"/>
      <c r="N7" s="53"/>
      <c r="O7" s="53"/>
      <c r="P7" s="53"/>
      <c r="Q7" s="53"/>
      <c r="R7" s="53"/>
      <c r="S7" s="68"/>
      <c r="T7" s="68"/>
      <c r="U7" s="53"/>
    </row>
    <row r="8" spans="1:63" ht="15.6" customHeight="1" x14ac:dyDescent="0.3">
      <c r="A8" s="84" t="s">
        <v>52</v>
      </c>
      <c r="B8" s="86" t="e">
        <f>IF(D3 = "No Students Found", 0, COUNTA(D3:D200))</f>
        <v>#N/A</v>
      </c>
      <c r="C8" s="30"/>
      <c r="D8" s="69"/>
      <c r="E8" s="54"/>
      <c r="F8" s="54"/>
      <c r="G8" s="70"/>
      <c r="H8" s="116"/>
      <c r="I8" s="71"/>
      <c r="J8" s="37"/>
      <c r="K8" s="54"/>
      <c r="L8" s="54"/>
      <c r="M8" s="54"/>
      <c r="N8" s="54"/>
      <c r="O8" s="54"/>
      <c r="P8" s="54"/>
      <c r="Q8" s="54"/>
      <c r="R8" s="54"/>
      <c r="S8" s="72"/>
      <c r="T8" s="72"/>
      <c r="U8" s="54"/>
    </row>
    <row r="9" spans="1:63" ht="15.6" customHeight="1" x14ac:dyDescent="0.3">
      <c r="A9" s="47" t="s">
        <v>106</v>
      </c>
      <c r="B9" s="156">
        <f>SUM(H3:H200)</f>
        <v>0</v>
      </c>
      <c r="C9" s="31"/>
      <c r="D9" s="62"/>
      <c r="E9" s="53"/>
      <c r="F9" s="53"/>
      <c r="G9" s="63"/>
      <c r="H9" s="117"/>
      <c r="I9" s="65"/>
      <c r="J9" s="66"/>
      <c r="K9" s="53"/>
      <c r="L9" s="53"/>
      <c r="M9" s="53"/>
      <c r="N9" s="53"/>
      <c r="O9" s="53"/>
      <c r="P9" s="53"/>
      <c r="Q9" s="53"/>
      <c r="R9" s="53"/>
      <c r="S9" s="68"/>
      <c r="T9" s="68"/>
      <c r="U9" s="53"/>
    </row>
    <row r="10" spans="1:63" ht="15.6" customHeight="1" x14ac:dyDescent="0.3">
      <c r="A10" s="85" t="s">
        <v>44</v>
      </c>
      <c r="B10" s="155" t="e">
        <f>B9*B4</f>
        <v>#N/A</v>
      </c>
      <c r="C10" s="31"/>
      <c r="D10" s="69"/>
      <c r="E10" s="54"/>
      <c r="F10" s="54"/>
      <c r="G10" s="54"/>
      <c r="H10" s="116"/>
      <c r="I10" s="71"/>
      <c r="J10" s="37"/>
      <c r="K10" s="54"/>
      <c r="L10" s="54"/>
      <c r="M10" s="54"/>
      <c r="N10" s="54"/>
      <c r="O10" s="54"/>
      <c r="P10" s="54"/>
      <c r="Q10" s="54"/>
      <c r="R10" s="54"/>
      <c r="S10" s="72"/>
      <c r="T10" s="72"/>
      <c r="U10" s="54"/>
    </row>
    <row r="11" spans="1:63" ht="15.6" customHeight="1" x14ac:dyDescent="0.3">
      <c r="B11" s="7"/>
      <c r="C11" s="31"/>
      <c r="D11" s="62"/>
      <c r="E11" s="53"/>
      <c r="F11" s="53"/>
      <c r="G11" s="53"/>
      <c r="H11" s="117"/>
      <c r="I11" s="65"/>
      <c r="J11" s="66"/>
      <c r="K11" s="53"/>
      <c r="L11" s="53"/>
      <c r="M11" s="53"/>
      <c r="N11" s="53"/>
      <c r="O11" s="53"/>
      <c r="P11" s="53"/>
      <c r="Q11" s="53"/>
      <c r="R11" s="53"/>
      <c r="S11" s="68"/>
      <c r="T11" s="68"/>
      <c r="U11" s="53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54"/>
      <c r="H12" s="116"/>
      <c r="I12" s="71"/>
      <c r="J12" s="37"/>
      <c r="K12" s="54"/>
      <c r="L12" s="54"/>
      <c r="M12" s="54"/>
      <c r="N12" s="54"/>
      <c r="O12" s="54"/>
      <c r="P12" s="54"/>
      <c r="Q12" s="54"/>
      <c r="R12" s="54"/>
      <c r="S12" s="72"/>
      <c r="T12" s="72"/>
      <c r="U12" s="5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53"/>
      <c r="H13" s="117"/>
      <c r="I13" s="65"/>
      <c r="J13" s="66"/>
      <c r="K13" s="53"/>
      <c r="L13" s="53"/>
      <c r="M13" s="53"/>
      <c r="N13" s="53"/>
      <c r="O13" s="53"/>
      <c r="P13" s="53"/>
      <c r="Q13" s="53"/>
      <c r="R13" s="53"/>
      <c r="S13" s="68"/>
      <c r="T13" s="68"/>
      <c r="U13" s="53"/>
    </row>
    <row r="14" spans="1:63" ht="15.6" customHeight="1" x14ac:dyDescent="0.3">
      <c r="A14" s="318" t="s">
        <v>104</v>
      </c>
      <c r="B14" s="318"/>
      <c r="D14" s="69"/>
      <c r="E14" s="54"/>
      <c r="F14" s="54"/>
      <c r="G14" s="54"/>
      <c r="H14" s="116"/>
      <c r="I14" s="71"/>
      <c r="J14" s="37"/>
      <c r="K14" s="54"/>
      <c r="L14" s="54"/>
      <c r="M14" s="54"/>
      <c r="N14" s="54"/>
      <c r="O14" s="54"/>
      <c r="P14" s="54"/>
      <c r="Q14" s="54"/>
      <c r="R14" s="54"/>
      <c r="S14" s="72"/>
      <c r="T14" s="72"/>
      <c r="U14" s="5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53"/>
      <c r="H15" s="118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</row>
    <row r="16" spans="1:63" ht="15.6" customHeight="1" x14ac:dyDescent="0.3">
      <c r="A16" s="318" t="s">
        <v>57</v>
      </c>
      <c r="B16" s="318"/>
      <c r="D16" s="69"/>
      <c r="E16" s="54"/>
      <c r="F16" s="54"/>
      <c r="G16" s="54"/>
      <c r="H16" s="119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15.6" customHeight="1" x14ac:dyDescent="0.3">
      <c r="A17" s="319" t="s">
        <v>58</v>
      </c>
      <c r="B17" s="319"/>
      <c r="D17" s="62"/>
      <c r="E17" s="53"/>
      <c r="F17" s="53"/>
      <c r="G17" s="53"/>
      <c r="H17" s="118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</row>
    <row r="18" spans="1:21" ht="15.6" customHeight="1" x14ac:dyDescent="0.3">
      <c r="A18" s="317" t="s">
        <v>124</v>
      </c>
      <c r="B18" s="317"/>
      <c r="D18" s="69"/>
      <c r="E18" s="54"/>
      <c r="F18" s="54"/>
      <c r="G18" s="54"/>
      <c r="H18" s="119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15.6" customHeight="1" x14ac:dyDescent="0.3">
      <c r="D19" s="62"/>
      <c r="E19" s="53"/>
      <c r="F19" s="53"/>
      <c r="G19" s="53"/>
      <c r="H19" s="118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</row>
    <row r="20" spans="1:21" ht="15.6" customHeight="1" x14ac:dyDescent="0.3">
      <c r="D20" s="69"/>
      <c r="E20" s="54"/>
      <c r="F20" s="54"/>
      <c r="G20" s="54"/>
      <c r="H20" s="119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ht="15.6" customHeight="1" x14ac:dyDescent="0.3">
      <c r="D21" s="62"/>
      <c r="E21" s="53"/>
      <c r="F21" s="53"/>
      <c r="G21" s="53"/>
      <c r="H21" s="118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</row>
    <row r="22" spans="1:21" ht="15.6" customHeight="1" x14ac:dyDescent="0.3">
      <c r="D22" s="69"/>
      <c r="E22" s="54"/>
      <c r="F22" s="54"/>
      <c r="G22" s="54"/>
      <c r="H22" s="119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</row>
    <row r="23" spans="1:21" ht="15.6" customHeight="1" x14ac:dyDescent="0.3">
      <c r="D23" s="62"/>
      <c r="E23" s="53"/>
      <c r="F23" s="53"/>
      <c r="G23" s="53"/>
      <c r="H23" s="118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</row>
    <row r="24" spans="1:21" ht="15.6" customHeight="1" x14ac:dyDescent="0.3">
      <c r="D24" s="69"/>
      <c r="E24" s="54"/>
      <c r="F24" s="54"/>
      <c r="G24" s="54"/>
      <c r="H24" s="119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</row>
    <row r="25" spans="1:21" x14ac:dyDescent="0.3">
      <c r="D25" s="62"/>
      <c r="E25" s="53"/>
      <c r="F25" s="53"/>
      <c r="G25" s="53"/>
      <c r="H25" s="118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</row>
    <row r="26" spans="1:21" x14ac:dyDescent="0.3">
      <c r="D26" s="69"/>
      <c r="E26" s="54"/>
      <c r="F26" s="54"/>
      <c r="G26" s="54"/>
      <c r="H26" s="119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</row>
    <row r="27" spans="1:21" x14ac:dyDescent="0.3">
      <c r="D27" s="62"/>
      <c r="E27" s="53"/>
      <c r="F27" s="53"/>
      <c r="G27" s="53"/>
      <c r="H27" s="118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</row>
    <row r="28" spans="1:21" x14ac:dyDescent="0.3">
      <c r="D28" s="69"/>
      <c r="E28" s="54"/>
      <c r="F28" s="54"/>
      <c r="G28" s="54"/>
      <c r="H28" s="119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</row>
    <row r="29" spans="1:21" x14ac:dyDescent="0.3">
      <c r="D29" s="62"/>
      <c r="E29" s="53"/>
      <c r="F29" s="53"/>
      <c r="G29" s="53"/>
      <c r="H29" s="118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</row>
    <row r="30" spans="1:21" x14ac:dyDescent="0.3">
      <c r="D30" s="69"/>
      <c r="E30" s="54"/>
      <c r="F30" s="54"/>
      <c r="G30" s="54"/>
      <c r="H30" s="119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</row>
    <row r="31" spans="1:21" x14ac:dyDescent="0.3">
      <c r="D31" s="62"/>
      <c r="E31" s="53"/>
      <c r="F31" s="53"/>
      <c r="G31" s="53"/>
      <c r="H31" s="118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</row>
    <row r="32" spans="1:21" x14ac:dyDescent="0.3">
      <c r="D32" s="69"/>
      <c r="E32" s="54"/>
      <c r="F32" s="54"/>
      <c r="G32" s="54"/>
      <c r="H32" s="119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</row>
    <row r="33" spans="4:21" x14ac:dyDescent="0.3">
      <c r="D33" s="62"/>
      <c r="E33" s="53"/>
      <c r="F33" s="53"/>
      <c r="G33" s="53"/>
      <c r="H33" s="118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</row>
    <row r="34" spans="4:21" x14ac:dyDescent="0.3">
      <c r="D34" s="69"/>
      <c r="E34" s="54"/>
      <c r="F34" s="54"/>
      <c r="G34" s="54"/>
      <c r="H34" s="119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</row>
    <row r="35" spans="4:21" x14ac:dyDescent="0.3">
      <c r="D35" s="62"/>
      <c r="E35" s="53"/>
      <c r="F35" s="53"/>
      <c r="G35" s="53"/>
      <c r="H35" s="118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4:21" x14ac:dyDescent="0.3">
      <c r="D36" s="69"/>
      <c r="E36" s="54"/>
      <c r="F36" s="54"/>
      <c r="G36" s="54"/>
      <c r="H36" s="119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</row>
    <row r="37" spans="4:21" x14ac:dyDescent="0.3">
      <c r="D37" s="62"/>
      <c r="E37" s="53"/>
      <c r="F37" s="53"/>
      <c r="G37" s="53"/>
      <c r="H37" s="118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</row>
    <row r="38" spans="4:21" x14ac:dyDescent="0.3">
      <c r="D38" s="69"/>
      <c r="E38" s="54"/>
      <c r="F38" s="54"/>
      <c r="G38" s="54"/>
      <c r="H38" s="119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</row>
    <row r="39" spans="4:21" x14ac:dyDescent="0.3">
      <c r="D39" s="62"/>
      <c r="E39" s="53"/>
      <c r="F39" s="53"/>
      <c r="G39" s="53"/>
      <c r="H39" s="118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</row>
    <row r="40" spans="4:21" x14ac:dyDescent="0.3">
      <c r="D40" s="69"/>
      <c r="E40" s="54"/>
      <c r="F40" s="54"/>
      <c r="G40" s="54"/>
      <c r="H40" s="119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</row>
    <row r="41" spans="4:21" x14ac:dyDescent="0.3">
      <c r="D41" s="62"/>
      <c r="E41" s="53"/>
      <c r="F41" s="53"/>
      <c r="G41" s="53"/>
      <c r="H41" s="118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</row>
    <row r="42" spans="4:21" x14ac:dyDescent="0.3">
      <c r="D42" s="69"/>
      <c r="E42" s="54"/>
      <c r="F42" s="54"/>
      <c r="G42" s="54"/>
      <c r="H42" s="119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</row>
    <row r="43" spans="4:21" x14ac:dyDescent="0.3">
      <c r="D43" s="62"/>
      <c r="E43" s="53"/>
      <c r="F43" s="53"/>
      <c r="G43" s="53"/>
      <c r="H43" s="118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</row>
    <row r="44" spans="4:21" x14ac:dyDescent="0.3">
      <c r="D44" s="69"/>
      <c r="E44" s="54"/>
      <c r="F44" s="54"/>
      <c r="G44" s="54"/>
      <c r="H44" s="119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</row>
    <row r="45" spans="4:21" x14ac:dyDescent="0.3">
      <c r="D45" s="62"/>
      <c r="E45" s="53"/>
      <c r="F45" s="53"/>
      <c r="G45" s="53"/>
      <c r="H45" s="118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</row>
    <row r="46" spans="4:21" x14ac:dyDescent="0.3">
      <c r="D46" s="69"/>
      <c r="E46" s="54"/>
      <c r="F46" s="54"/>
      <c r="G46" s="54"/>
      <c r="H46" s="119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</row>
    <row r="47" spans="4:21" x14ac:dyDescent="0.3">
      <c r="D47" s="62"/>
      <c r="E47" s="53"/>
      <c r="F47" s="53"/>
      <c r="G47" s="53"/>
      <c r="H47" s="118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4:21" x14ac:dyDescent="0.3">
      <c r="D48" s="69"/>
      <c r="E48" s="54"/>
      <c r="F48" s="54"/>
      <c r="G48" s="54"/>
      <c r="H48" s="119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</row>
    <row r="49" spans="4:21" x14ac:dyDescent="0.3">
      <c r="D49" s="62"/>
      <c r="E49" s="53"/>
      <c r="F49" s="53"/>
      <c r="G49" s="53"/>
      <c r="H49" s="118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</row>
    <row r="50" spans="4:21" x14ac:dyDescent="0.3">
      <c r="D50" s="69"/>
      <c r="E50" s="54"/>
      <c r="F50" s="54"/>
      <c r="G50" s="54"/>
      <c r="H50" s="119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</row>
    <row r="51" spans="4:21" x14ac:dyDescent="0.3">
      <c r="D51" s="62"/>
      <c r="E51" s="53"/>
      <c r="F51" s="53"/>
      <c r="G51" s="53"/>
      <c r="H51" s="118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</row>
    <row r="52" spans="4:21" x14ac:dyDescent="0.3">
      <c r="D52" s="69"/>
      <c r="E52" s="54"/>
      <c r="F52" s="54"/>
      <c r="G52" s="54"/>
      <c r="H52" s="119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</row>
    <row r="53" spans="4:21" x14ac:dyDescent="0.3">
      <c r="D53" s="62"/>
      <c r="E53" s="53"/>
      <c r="F53" s="53"/>
      <c r="G53" s="53"/>
      <c r="H53" s="118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</row>
    <row r="54" spans="4:21" x14ac:dyDescent="0.3">
      <c r="D54" s="69"/>
      <c r="E54" s="54"/>
      <c r="F54" s="54"/>
      <c r="G54" s="54"/>
      <c r="H54" s="119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4:21" x14ac:dyDescent="0.3">
      <c r="D55" s="62"/>
      <c r="E55" s="53"/>
      <c r="F55" s="53"/>
      <c r="G55" s="53"/>
      <c r="H55" s="118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</row>
    <row r="56" spans="4:21" x14ac:dyDescent="0.3">
      <c r="D56" s="69"/>
      <c r="E56" s="54"/>
      <c r="F56" s="54"/>
      <c r="G56" s="54"/>
      <c r="H56" s="119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4:21" x14ac:dyDescent="0.3">
      <c r="D57" s="62"/>
      <c r="E57" s="53"/>
      <c r="F57" s="53"/>
      <c r="G57" s="53"/>
      <c r="H57" s="118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</row>
    <row r="58" spans="4:21" x14ac:dyDescent="0.3">
      <c r="D58" s="69"/>
      <c r="E58" s="54"/>
      <c r="F58" s="54"/>
      <c r="G58" s="54"/>
      <c r="H58" s="119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4:21" x14ac:dyDescent="0.3">
      <c r="D59" s="62"/>
      <c r="E59" s="53"/>
      <c r="F59" s="53"/>
      <c r="G59" s="53"/>
      <c r="H59" s="118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4:21" x14ac:dyDescent="0.3">
      <c r="D60" s="69"/>
      <c r="E60" s="54"/>
      <c r="F60" s="54"/>
      <c r="G60" s="54"/>
      <c r="H60" s="119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4:21" x14ac:dyDescent="0.3">
      <c r="D61" s="62"/>
      <c r="E61" s="53"/>
      <c r="F61" s="53"/>
      <c r="G61" s="53"/>
      <c r="H61" s="118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</row>
    <row r="62" spans="4:21" x14ac:dyDescent="0.3">
      <c r="D62" s="69"/>
      <c r="E62" s="54"/>
      <c r="F62" s="54"/>
      <c r="G62" s="54"/>
      <c r="H62" s="119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4:21" x14ac:dyDescent="0.3">
      <c r="D63" s="62"/>
      <c r="E63" s="53"/>
      <c r="F63" s="53"/>
      <c r="G63" s="53"/>
      <c r="H63" s="118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</row>
    <row r="64" spans="4:21" x14ac:dyDescent="0.3">
      <c r="D64" s="69"/>
      <c r="E64" s="54"/>
      <c r="F64" s="54"/>
      <c r="G64" s="54"/>
      <c r="H64" s="119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</row>
    <row r="65" spans="4:21" x14ac:dyDescent="0.3">
      <c r="D65" s="62"/>
      <c r="E65" s="53"/>
      <c r="F65" s="53"/>
      <c r="G65" s="53"/>
      <c r="H65" s="118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</row>
    <row r="66" spans="4:21" x14ac:dyDescent="0.3">
      <c r="D66" s="69"/>
      <c r="E66" s="54"/>
      <c r="F66" s="54"/>
      <c r="G66" s="54"/>
      <c r="H66" s="119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</row>
    <row r="67" spans="4:21" x14ac:dyDescent="0.3">
      <c r="D67" s="62"/>
      <c r="E67" s="53"/>
      <c r="F67" s="53"/>
      <c r="G67" s="53"/>
      <c r="H67" s="118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</row>
    <row r="68" spans="4:21" x14ac:dyDescent="0.3">
      <c r="D68" s="69"/>
      <c r="E68" s="54"/>
      <c r="F68" s="54"/>
      <c r="G68" s="54"/>
      <c r="H68" s="119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</row>
    <row r="69" spans="4:21" x14ac:dyDescent="0.3">
      <c r="D69" s="62"/>
      <c r="E69" s="53"/>
      <c r="F69" s="53"/>
      <c r="G69" s="53"/>
      <c r="H69" s="118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</row>
    <row r="70" spans="4:21" x14ac:dyDescent="0.3">
      <c r="D70" s="69"/>
      <c r="E70" s="54"/>
      <c r="F70" s="54"/>
      <c r="G70" s="54"/>
      <c r="H70" s="119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</row>
    <row r="71" spans="4:21" x14ac:dyDescent="0.3">
      <c r="D71" s="62"/>
      <c r="E71" s="53"/>
      <c r="F71" s="53"/>
      <c r="G71" s="53"/>
      <c r="H71" s="118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4:21" x14ac:dyDescent="0.3">
      <c r="D72" s="69"/>
      <c r="E72" s="54"/>
      <c r="F72" s="54"/>
      <c r="G72" s="54"/>
      <c r="H72" s="119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</row>
    <row r="73" spans="4:21" x14ac:dyDescent="0.3">
      <c r="D73" s="62"/>
      <c r="E73" s="53"/>
      <c r="F73" s="53"/>
      <c r="G73" s="53"/>
      <c r="H73" s="118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</row>
    <row r="74" spans="4:21" x14ac:dyDescent="0.3">
      <c r="D74" s="69"/>
      <c r="E74" s="54"/>
      <c r="F74" s="54"/>
      <c r="G74" s="54"/>
      <c r="H74" s="119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</row>
    <row r="75" spans="4:21" x14ac:dyDescent="0.3">
      <c r="D75" s="62"/>
      <c r="E75" s="53"/>
      <c r="F75" s="53"/>
      <c r="G75" s="53"/>
      <c r="H75" s="118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</row>
    <row r="76" spans="4:21" x14ac:dyDescent="0.3">
      <c r="D76" s="69"/>
      <c r="E76" s="54"/>
      <c r="F76" s="54"/>
      <c r="G76" s="54"/>
      <c r="H76" s="119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</row>
    <row r="77" spans="4:21" x14ac:dyDescent="0.3">
      <c r="D77" s="62"/>
      <c r="E77" s="53"/>
      <c r="F77" s="53"/>
      <c r="G77" s="53"/>
      <c r="H77" s="118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</row>
    <row r="78" spans="4:21" x14ac:dyDescent="0.3">
      <c r="D78" s="69"/>
      <c r="E78" s="54"/>
      <c r="F78" s="54"/>
      <c r="G78" s="54"/>
      <c r="H78" s="119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</row>
    <row r="79" spans="4:21" x14ac:dyDescent="0.3">
      <c r="D79" s="62"/>
      <c r="E79" s="53"/>
      <c r="F79" s="53"/>
      <c r="G79" s="53"/>
      <c r="H79" s="118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</row>
    <row r="80" spans="4:21" x14ac:dyDescent="0.3">
      <c r="D80" s="69"/>
      <c r="E80" s="54"/>
      <c r="F80" s="54"/>
      <c r="G80" s="54"/>
      <c r="H80" s="119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</row>
    <row r="81" spans="4:21" x14ac:dyDescent="0.3">
      <c r="D81" s="62"/>
      <c r="E81" s="53"/>
      <c r="F81" s="53"/>
      <c r="G81" s="53"/>
      <c r="H81" s="118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</row>
    <row r="82" spans="4:21" x14ac:dyDescent="0.3">
      <c r="D82" s="69"/>
      <c r="E82" s="54"/>
      <c r="F82" s="54"/>
      <c r="G82" s="54"/>
      <c r="H82" s="119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</row>
    <row r="83" spans="4:21" x14ac:dyDescent="0.3">
      <c r="D83" s="62"/>
      <c r="E83" s="53"/>
      <c r="F83" s="53"/>
      <c r="G83" s="53"/>
      <c r="H83" s="118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</row>
    <row r="84" spans="4:21" x14ac:dyDescent="0.3">
      <c r="D84" s="69"/>
      <c r="E84" s="54"/>
      <c r="F84" s="54"/>
      <c r="G84" s="54"/>
      <c r="H84" s="119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</row>
    <row r="85" spans="4:21" x14ac:dyDescent="0.3">
      <c r="D85" s="62"/>
      <c r="E85" s="53"/>
      <c r="F85" s="53"/>
      <c r="G85" s="53"/>
      <c r="H85" s="118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</row>
    <row r="86" spans="4:21" x14ac:dyDescent="0.3">
      <c r="D86" s="69"/>
      <c r="E86" s="54"/>
      <c r="F86" s="54"/>
      <c r="G86" s="54"/>
      <c r="H86" s="119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</row>
    <row r="87" spans="4:21" x14ac:dyDescent="0.3">
      <c r="D87" s="62"/>
      <c r="E87" s="53"/>
      <c r="F87" s="53"/>
      <c r="G87" s="53"/>
      <c r="H87" s="118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</row>
    <row r="88" spans="4:21" x14ac:dyDescent="0.3">
      <c r="D88" s="69"/>
      <c r="E88" s="54"/>
      <c r="F88" s="54"/>
      <c r="G88" s="54"/>
      <c r="H88" s="119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</row>
    <row r="89" spans="4:21" x14ac:dyDescent="0.3">
      <c r="D89" s="62"/>
      <c r="E89" s="53"/>
      <c r="F89" s="53"/>
      <c r="G89" s="53"/>
      <c r="H89" s="118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</row>
    <row r="90" spans="4:21" x14ac:dyDescent="0.3">
      <c r="D90" s="69"/>
      <c r="E90" s="54"/>
      <c r="F90" s="54"/>
      <c r="G90" s="54"/>
      <c r="H90" s="119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</row>
    <row r="91" spans="4:21" x14ac:dyDescent="0.3">
      <c r="D91" s="62"/>
      <c r="E91" s="53"/>
      <c r="F91" s="53"/>
      <c r="G91" s="53"/>
      <c r="H91" s="118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</row>
    <row r="92" spans="4:21" x14ac:dyDescent="0.3">
      <c r="D92" s="69"/>
      <c r="E92" s="54"/>
      <c r="F92" s="54"/>
      <c r="G92" s="54"/>
      <c r="H92" s="119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</row>
    <row r="93" spans="4:21" x14ac:dyDescent="0.3">
      <c r="D93" s="62"/>
      <c r="E93" s="53"/>
      <c r="F93" s="53"/>
      <c r="G93" s="53"/>
      <c r="H93" s="118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</row>
    <row r="94" spans="4:21" x14ac:dyDescent="0.3">
      <c r="D94" s="69"/>
      <c r="E94" s="54"/>
      <c r="F94" s="54"/>
      <c r="G94" s="54"/>
      <c r="H94" s="119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</row>
    <row r="95" spans="4:21" x14ac:dyDescent="0.3">
      <c r="D95" s="62"/>
      <c r="E95" s="53"/>
      <c r="F95" s="53"/>
      <c r="G95" s="53"/>
      <c r="H95" s="118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</row>
    <row r="96" spans="4:21" x14ac:dyDescent="0.3">
      <c r="D96" s="69"/>
      <c r="E96" s="54"/>
      <c r="F96" s="54"/>
      <c r="G96" s="54"/>
      <c r="H96" s="119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</row>
    <row r="97" spans="4:21" x14ac:dyDescent="0.3">
      <c r="D97" s="62"/>
      <c r="E97" s="53"/>
      <c r="F97" s="53"/>
      <c r="G97" s="53"/>
      <c r="H97" s="118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</row>
    <row r="98" spans="4:21" x14ac:dyDescent="0.3">
      <c r="D98" s="69"/>
      <c r="E98" s="54"/>
      <c r="F98" s="54"/>
      <c r="G98" s="54"/>
      <c r="H98" s="119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</row>
    <row r="99" spans="4:21" x14ac:dyDescent="0.3">
      <c r="D99" s="62"/>
      <c r="E99" s="53"/>
      <c r="F99" s="53"/>
      <c r="G99" s="53"/>
      <c r="H99" s="118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</row>
    <row r="100" spans="4:21" x14ac:dyDescent="0.3">
      <c r="D100" s="69"/>
      <c r="E100" s="54"/>
      <c r="F100" s="54"/>
      <c r="G100" s="54"/>
      <c r="H100" s="119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</row>
    <row r="101" spans="4:21" x14ac:dyDescent="0.3">
      <c r="D101" s="62"/>
      <c r="E101" s="53"/>
      <c r="F101" s="53"/>
      <c r="G101" s="53"/>
      <c r="H101" s="118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</row>
    <row r="102" spans="4:21" x14ac:dyDescent="0.3">
      <c r="D102" s="69"/>
      <c r="E102" s="54"/>
      <c r="F102" s="54"/>
      <c r="G102" s="54"/>
      <c r="H102" s="119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</row>
    <row r="103" spans="4:21" x14ac:dyDescent="0.3">
      <c r="D103" s="62"/>
      <c r="E103" s="53"/>
      <c r="F103" s="53"/>
      <c r="G103" s="53"/>
      <c r="H103" s="118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</row>
    <row r="104" spans="4:21" x14ac:dyDescent="0.3">
      <c r="D104" s="69"/>
      <c r="E104" s="54"/>
      <c r="F104" s="54"/>
      <c r="G104" s="54"/>
      <c r="H104" s="119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</row>
    <row r="105" spans="4:21" x14ac:dyDescent="0.3">
      <c r="D105" s="62"/>
      <c r="E105" s="53"/>
      <c r="F105" s="53"/>
      <c r="G105" s="53"/>
      <c r="H105" s="118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</row>
    <row r="106" spans="4:21" x14ac:dyDescent="0.3">
      <c r="D106" s="69"/>
      <c r="E106" s="54"/>
      <c r="F106" s="54"/>
      <c r="G106" s="54"/>
      <c r="H106" s="119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</row>
    <row r="107" spans="4:21" x14ac:dyDescent="0.3">
      <c r="D107" s="62"/>
      <c r="E107" s="53"/>
      <c r="F107" s="53"/>
      <c r="G107" s="53"/>
      <c r="H107" s="118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</row>
    <row r="108" spans="4:21" x14ac:dyDescent="0.3">
      <c r="D108" s="69"/>
      <c r="E108" s="54"/>
      <c r="F108" s="54"/>
      <c r="G108" s="54"/>
      <c r="H108" s="119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</row>
    <row r="109" spans="4:21" x14ac:dyDescent="0.3">
      <c r="D109" s="62"/>
      <c r="E109" s="53"/>
      <c r="F109" s="53"/>
      <c r="G109" s="53"/>
      <c r="H109" s="118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</row>
    <row r="110" spans="4:21" x14ac:dyDescent="0.3">
      <c r="D110" s="69"/>
      <c r="E110" s="54"/>
      <c r="F110" s="54"/>
      <c r="G110" s="54"/>
      <c r="H110" s="119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</row>
    <row r="111" spans="4:21" x14ac:dyDescent="0.3">
      <c r="D111" s="62"/>
      <c r="E111" s="53"/>
      <c r="F111" s="53"/>
      <c r="G111" s="53"/>
      <c r="H111" s="118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</row>
    <row r="112" spans="4:21" x14ac:dyDescent="0.3">
      <c r="D112" s="69"/>
      <c r="E112" s="54"/>
      <c r="F112" s="54"/>
      <c r="G112" s="54"/>
      <c r="H112" s="119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</row>
    <row r="113" spans="4:21" x14ac:dyDescent="0.3">
      <c r="D113" s="62"/>
      <c r="E113" s="53"/>
      <c r="F113" s="53"/>
      <c r="G113" s="53"/>
      <c r="H113" s="118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</row>
    <row r="114" spans="4:21" x14ac:dyDescent="0.3">
      <c r="D114" s="69"/>
      <c r="E114" s="54"/>
      <c r="F114" s="54"/>
      <c r="G114" s="54"/>
      <c r="H114" s="119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</row>
    <row r="115" spans="4:21" x14ac:dyDescent="0.3">
      <c r="D115" s="62"/>
      <c r="E115" s="53"/>
      <c r="F115" s="53"/>
      <c r="G115" s="53"/>
      <c r="H115" s="118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</row>
    <row r="116" spans="4:21" x14ac:dyDescent="0.3">
      <c r="D116" s="69"/>
      <c r="E116" s="54"/>
      <c r="F116" s="54"/>
      <c r="G116" s="54"/>
      <c r="H116" s="119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</row>
    <row r="117" spans="4:21" x14ac:dyDescent="0.3">
      <c r="D117" s="62"/>
      <c r="E117" s="53"/>
      <c r="F117" s="53"/>
      <c r="G117" s="53"/>
      <c r="H117" s="118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</row>
    <row r="118" spans="4:21" x14ac:dyDescent="0.3">
      <c r="D118" s="69"/>
      <c r="E118" s="54"/>
      <c r="F118" s="54"/>
      <c r="G118" s="54"/>
      <c r="H118" s="119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</row>
    <row r="119" spans="4:21" x14ac:dyDescent="0.3">
      <c r="D119" s="62"/>
      <c r="E119" s="53"/>
      <c r="F119" s="53"/>
      <c r="G119" s="53"/>
      <c r="H119" s="118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</row>
    <row r="120" spans="4:21" x14ac:dyDescent="0.3">
      <c r="D120" s="69"/>
      <c r="E120" s="54"/>
      <c r="F120" s="54"/>
      <c r="G120" s="54"/>
      <c r="H120" s="119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</row>
    <row r="121" spans="4:21" x14ac:dyDescent="0.3">
      <c r="D121" s="62"/>
      <c r="E121" s="53"/>
      <c r="F121" s="53"/>
      <c r="G121" s="53"/>
      <c r="H121" s="118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</row>
    <row r="122" spans="4:21" x14ac:dyDescent="0.3">
      <c r="D122" s="69"/>
      <c r="E122" s="54"/>
      <c r="F122" s="54"/>
      <c r="G122" s="54"/>
      <c r="H122" s="119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</row>
    <row r="123" spans="4:21" x14ac:dyDescent="0.3">
      <c r="D123" s="62"/>
      <c r="E123" s="53"/>
      <c r="F123" s="53"/>
      <c r="G123" s="53"/>
      <c r="H123" s="118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</row>
    <row r="124" spans="4:21" x14ac:dyDescent="0.3">
      <c r="D124" s="69"/>
      <c r="E124" s="54"/>
      <c r="F124" s="54"/>
      <c r="G124" s="54"/>
      <c r="H124" s="119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</row>
    <row r="125" spans="4:21" x14ac:dyDescent="0.3">
      <c r="D125" s="62"/>
      <c r="E125" s="53"/>
      <c r="F125" s="53"/>
      <c r="G125" s="53"/>
      <c r="H125" s="118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</row>
    <row r="126" spans="4:21" x14ac:dyDescent="0.3">
      <c r="D126" s="69"/>
      <c r="E126" s="54"/>
      <c r="F126" s="54"/>
      <c r="G126" s="54"/>
      <c r="H126" s="119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</row>
    <row r="127" spans="4:21" x14ac:dyDescent="0.3">
      <c r="D127" s="62"/>
      <c r="E127" s="53"/>
      <c r="F127" s="53"/>
      <c r="G127" s="53"/>
      <c r="H127" s="118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</row>
    <row r="128" spans="4:21" x14ac:dyDescent="0.3">
      <c r="D128" s="69"/>
      <c r="E128" s="54"/>
      <c r="F128" s="54"/>
      <c r="G128" s="54"/>
      <c r="H128" s="119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</row>
    <row r="129" spans="4:21" x14ac:dyDescent="0.3">
      <c r="D129" s="62"/>
      <c r="E129" s="53"/>
      <c r="F129" s="53"/>
      <c r="G129" s="53"/>
      <c r="H129" s="118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</row>
    <row r="130" spans="4:21" x14ac:dyDescent="0.3">
      <c r="D130" s="69"/>
      <c r="E130" s="54"/>
      <c r="F130" s="54"/>
      <c r="G130" s="54"/>
      <c r="H130" s="119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</row>
    <row r="131" spans="4:21" x14ac:dyDescent="0.3">
      <c r="D131" s="62"/>
      <c r="E131" s="53"/>
      <c r="F131" s="53"/>
      <c r="G131" s="53"/>
      <c r="H131" s="118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</row>
    <row r="132" spans="4:21" x14ac:dyDescent="0.3">
      <c r="D132" s="69"/>
      <c r="E132" s="54"/>
      <c r="F132" s="54"/>
      <c r="G132" s="54"/>
      <c r="H132" s="119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</row>
    <row r="133" spans="4:21" x14ac:dyDescent="0.3">
      <c r="D133" s="62"/>
      <c r="E133" s="53"/>
      <c r="F133" s="53"/>
      <c r="G133" s="53"/>
      <c r="H133" s="118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</row>
    <row r="134" spans="4:21" x14ac:dyDescent="0.3">
      <c r="D134" s="69"/>
      <c r="E134" s="54"/>
      <c r="F134" s="54"/>
      <c r="G134" s="54"/>
      <c r="H134" s="119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</row>
    <row r="135" spans="4:21" x14ac:dyDescent="0.3">
      <c r="D135" s="62"/>
      <c r="E135" s="53"/>
      <c r="F135" s="53"/>
      <c r="G135" s="53"/>
      <c r="H135" s="118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</row>
    <row r="136" spans="4:21" x14ac:dyDescent="0.3">
      <c r="D136" s="69"/>
      <c r="E136" s="54"/>
      <c r="F136" s="54"/>
      <c r="G136" s="54"/>
      <c r="H136" s="119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</row>
    <row r="137" spans="4:21" x14ac:dyDescent="0.3">
      <c r="D137" s="62"/>
      <c r="E137" s="53"/>
      <c r="F137" s="53"/>
      <c r="G137" s="53"/>
      <c r="H137" s="118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</row>
    <row r="138" spans="4:21" x14ac:dyDescent="0.3">
      <c r="D138" s="69"/>
      <c r="E138" s="54"/>
      <c r="F138" s="54"/>
      <c r="G138" s="54"/>
      <c r="H138" s="119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</row>
    <row r="139" spans="4:21" x14ac:dyDescent="0.3">
      <c r="D139" s="62"/>
      <c r="E139" s="53"/>
      <c r="F139" s="53"/>
      <c r="G139" s="53"/>
      <c r="H139" s="118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</row>
    <row r="140" spans="4:21" x14ac:dyDescent="0.3">
      <c r="D140" s="69"/>
      <c r="E140" s="54"/>
      <c r="F140" s="54"/>
      <c r="G140" s="54"/>
      <c r="H140" s="119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</row>
    <row r="141" spans="4:21" x14ac:dyDescent="0.3">
      <c r="D141" s="62"/>
      <c r="E141" s="53"/>
      <c r="F141" s="53"/>
      <c r="G141" s="53"/>
      <c r="H141" s="118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</row>
    <row r="142" spans="4:21" x14ac:dyDescent="0.3">
      <c r="D142" s="69"/>
      <c r="E142" s="54"/>
      <c r="F142" s="54"/>
      <c r="G142" s="54"/>
      <c r="H142" s="119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</row>
    <row r="143" spans="4:21" x14ac:dyDescent="0.3">
      <c r="D143" s="62"/>
      <c r="E143" s="53"/>
      <c r="F143" s="53"/>
      <c r="G143" s="53"/>
      <c r="H143" s="118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</row>
    <row r="144" spans="4:21" x14ac:dyDescent="0.3">
      <c r="D144" s="69"/>
      <c r="E144" s="54"/>
      <c r="F144" s="54"/>
      <c r="G144" s="54"/>
      <c r="H144" s="119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</row>
    <row r="145" spans="4:21" x14ac:dyDescent="0.3">
      <c r="D145" s="62"/>
      <c r="E145" s="53"/>
      <c r="F145" s="53"/>
      <c r="G145" s="53"/>
      <c r="H145" s="118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</row>
    <row r="146" spans="4:21" x14ac:dyDescent="0.3">
      <c r="D146" s="69"/>
      <c r="E146" s="54"/>
      <c r="F146" s="54"/>
      <c r="G146" s="54"/>
      <c r="H146" s="119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</row>
    <row r="147" spans="4:21" x14ac:dyDescent="0.3">
      <c r="D147" s="62"/>
      <c r="E147" s="53"/>
      <c r="F147" s="53"/>
      <c r="G147" s="53"/>
      <c r="H147" s="118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</row>
    <row r="148" spans="4:21" x14ac:dyDescent="0.3">
      <c r="D148" s="69"/>
      <c r="E148" s="54"/>
      <c r="F148" s="54"/>
      <c r="G148" s="54"/>
      <c r="H148" s="119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</row>
    <row r="149" spans="4:21" x14ac:dyDescent="0.3">
      <c r="D149" s="62"/>
      <c r="E149" s="53"/>
      <c r="F149" s="53"/>
      <c r="G149" s="53"/>
      <c r="H149" s="118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</row>
    <row r="150" spans="4:21" x14ac:dyDescent="0.3">
      <c r="D150" s="69"/>
      <c r="E150" s="54"/>
      <c r="F150" s="54"/>
      <c r="G150" s="54"/>
      <c r="H150" s="119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</row>
    <row r="151" spans="4:21" x14ac:dyDescent="0.3">
      <c r="D151" s="62"/>
      <c r="E151" s="53"/>
      <c r="F151" s="53"/>
      <c r="G151" s="53"/>
      <c r="H151" s="118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</row>
    <row r="152" spans="4:21" x14ac:dyDescent="0.3">
      <c r="D152" s="69"/>
      <c r="E152" s="54"/>
      <c r="F152" s="54"/>
      <c r="G152" s="54"/>
      <c r="H152" s="119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</row>
    <row r="153" spans="4:21" x14ac:dyDescent="0.3">
      <c r="D153" s="62"/>
      <c r="E153" s="53"/>
      <c r="F153" s="53"/>
      <c r="G153" s="53"/>
      <c r="H153" s="118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</row>
    <row r="154" spans="4:21" x14ac:dyDescent="0.3">
      <c r="D154" s="69"/>
      <c r="E154" s="54"/>
      <c r="F154" s="54"/>
      <c r="G154" s="54"/>
      <c r="H154" s="119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</row>
    <row r="155" spans="4:21" x14ac:dyDescent="0.3">
      <c r="D155" s="62"/>
      <c r="E155" s="53"/>
      <c r="F155" s="53"/>
      <c r="G155" s="53"/>
      <c r="H155" s="118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</row>
    <row r="156" spans="4:21" x14ac:dyDescent="0.3">
      <c r="D156" s="69"/>
      <c r="E156" s="54"/>
      <c r="F156" s="54"/>
      <c r="G156" s="54"/>
      <c r="H156" s="119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</row>
    <row r="157" spans="4:21" x14ac:dyDescent="0.3">
      <c r="D157" s="62"/>
      <c r="E157" s="53"/>
      <c r="F157" s="53"/>
      <c r="G157" s="53"/>
      <c r="H157" s="118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</row>
    <row r="158" spans="4:21" x14ac:dyDescent="0.3">
      <c r="D158" s="69"/>
      <c r="E158" s="54"/>
      <c r="F158" s="54"/>
      <c r="G158" s="54"/>
      <c r="H158" s="119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</row>
    <row r="159" spans="4:21" x14ac:dyDescent="0.3">
      <c r="D159" s="62"/>
      <c r="E159" s="53"/>
      <c r="F159" s="53"/>
      <c r="G159" s="53"/>
      <c r="H159" s="118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</row>
    <row r="160" spans="4:21" x14ac:dyDescent="0.3">
      <c r="D160" s="69"/>
      <c r="E160" s="54"/>
      <c r="F160" s="54"/>
      <c r="G160" s="54"/>
      <c r="H160" s="119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</row>
    <row r="161" spans="4:21" x14ac:dyDescent="0.3">
      <c r="D161" s="62"/>
      <c r="E161" s="53"/>
      <c r="F161" s="53"/>
      <c r="G161" s="53"/>
      <c r="H161" s="118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</row>
    <row r="162" spans="4:21" x14ac:dyDescent="0.3">
      <c r="D162" s="69"/>
      <c r="E162" s="54"/>
      <c r="F162" s="54"/>
      <c r="G162" s="54"/>
      <c r="H162" s="119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</row>
    <row r="163" spans="4:21" x14ac:dyDescent="0.3">
      <c r="D163" s="62"/>
      <c r="E163" s="53"/>
      <c r="F163" s="53"/>
      <c r="G163" s="53"/>
      <c r="H163" s="118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</row>
    <row r="164" spans="4:21" x14ac:dyDescent="0.3">
      <c r="D164" s="69"/>
      <c r="E164" s="54"/>
      <c r="F164" s="54"/>
      <c r="G164" s="54"/>
      <c r="H164" s="119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</row>
    <row r="165" spans="4:21" x14ac:dyDescent="0.3">
      <c r="D165" s="62"/>
      <c r="E165" s="53"/>
      <c r="F165" s="53"/>
      <c r="G165" s="53"/>
      <c r="H165" s="118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</row>
    <row r="166" spans="4:21" x14ac:dyDescent="0.3">
      <c r="D166" s="69"/>
      <c r="E166" s="54"/>
      <c r="F166" s="54"/>
      <c r="G166" s="54"/>
      <c r="H166" s="119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</row>
    <row r="167" spans="4:21" x14ac:dyDescent="0.3">
      <c r="D167" s="62"/>
      <c r="E167" s="53"/>
      <c r="F167" s="53"/>
      <c r="G167" s="53"/>
      <c r="H167" s="118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</row>
    <row r="168" spans="4:21" x14ac:dyDescent="0.3">
      <c r="D168" s="69"/>
      <c r="E168" s="54"/>
      <c r="F168" s="54"/>
      <c r="G168" s="54"/>
      <c r="H168" s="119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</row>
    <row r="169" spans="4:21" x14ac:dyDescent="0.3">
      <c r="D169" s="62"/>
      <c r="E169" s="53"/>
      <c r="F169" s="53"/>
      <c r="G169" s="53"/>
      <c r="H169" s="118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</row>
    <row r="170" spans="4:21" x14ac:dyDescent="0.3">
      <c r="D170" s="69"/>
      <c r="E170" s="54"/>
      <c r="F170" s="54"/>
      <c r="G170" s="54"/>
      <c r="H170" s="119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</row>
    <row r="171" spans="4:21" x14ac:dyDescent="0.3">
      <c r="D171" s="62"/>
      <c r="E171" s="53"/>
      <c r="F171" s="53"/>
      <c r="G171" s="53"/>
      <c r="H171" s="118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</row>
    <row r="172" spans="4:21" x14ac:dyDescent="0.3">
      <c r="D172" s="69"/>
      <c r="E172" s="54"/>
      <c r="F172" s="54"/>
      <c r="G172" s="54"/>
      <c r="H172" s="119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</row>
    <row r="173" spans="4:21" x14ac:dyDescent="0.3">
      <c r="D173" s="62"/>
      <c r="E173" s="53"/>
      <c r="F173" s="53"/>
      <c r="G173" s="53"/>
      <c r="H173" s="118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</row>
    <row r="174" spans="4:21" x14ac:dyDescent="0.3">
      <c r="D174" s="69"/>
      <c r="E174" s="54"/>
      <c r="F174" s="54"/>
      <c r="G174" s="54"/>
      <c r="H174" s="119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</row>
    <row r="175" spans="4:21" x14ac:dyDescent="0.3">
      <c r="D175" s="62"/>
      <c r="E175" s="53"/>
      <c r="F175" s="53"/>
      <c r="G175" s="53"/>
      <c r="H175" s="118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</row>
    <row r="176" spans="4:21" x14ac:dyDescent="0.3">
      <c r="D176" s="69"/>
      <c r="E176" s="54"/>
      <c r="F176" s="54"/>
      <c r="G176" s="54"/>
      <c r="H176" s="119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</row>
    <row r="177" spans="4:21" x14ac:dyDescent="0.3">
      <c r="D177" s="62"/>
      <c r="E177" s="53"/>
      <c r="F177" s="53"/>
      <c r="G177" s="53"/>
      <c r="H177" s="118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</row>
    <row r="178" spans="4:21" x14ac:dyDescent="0.3">
      <c r="D178" s="69"/>
      <c r="E178" s="54"/>
      <c r="F178" s="54"/>
      <c r="G178" s="54"/>
      <c r="H178" s="119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</row>
    <row r="179" spans="4:21" x14ac:dyDescent="0.3">
      <c r="D179" s="62"/>
      <c r="E179" s="53"/>
      <c r="F179" s="53"/>
      <c r="G179" s="53"/>
      <c r="H179" s="118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</row>
    <row r="180" spans="4:21" x14ac:dyDescent="0.3">
      <c r="D180" s="69"/>
      <c r="E180" s="54"/>
      <c r="F180" s="54"/>
      <c r="G180" s="54"/>
      <c r="H180" s="119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</row>
    <row r="181" spans="4:21" x14ac:dyDescent="0.3">
      <c r="D181" s="62"/>
      <c r="E181" s="53"/>
      <c r="F181" s="53"/>
      <c r="G181" s="53"/>
      <c r="H181" s="118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</row>
    <row r="182" spans="4:21" x14ac:dyDescent="0.3">
      <c r="D182" s="69"/>
      <c r="E182" s="54"/>
      <c r="F182" s="54"/>
      <c r="G182" s="54"/>
      <c r="H182" s="119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</row>
    <row r="183" spans="4:21" x14ac:dyDescent="0.3">
      <c r="D183" s="62"/>
      <c r="E183" s="53"/>
      <c r="F183" s="53"/>
      <c r="G183" s="53"/>
      <c r="H183" s="118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</row>
    <row r="184" spans="4:21" x14ac:dyDescent="0.3">
      <c r="D184" s="69"/>
      <c r="E184" s="54"/>
      <c r="F184" s="54"/>
      <c r="G184" s="54"/>
      <c r="H184" s="119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</row>
    <row r="185" spans="4:21" x14ac:dyDescent="0.3">
      <c r="D185" s="62"/>
      <c r="E185" s="53"/>
      <c r="F185" s="53"/>
      <c r="G185" s="53"/>
      <c r="H185" s="118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</row>
    <row r="186" spans="4:21" x14ac:dyDescent="0.3">
      <c r="D186" s="69"/>
      <c r="E186" s="54"/>
      <c r="F186" s="54"/>
      <c r="G186" s="54"/>
      <c r="H186" s="119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</row>
    <row r="187" spans="4:21" x14ac:dyDescent="0.3">
      <c r="D187" s="62"/>
      <c r="E187" s="53"/>
      <c r="F187" s="53"/>
      <c r="G187" s="53"/>
      <c r="H187" s="118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</row>
    <row r="188" spans="4:21" x14ac:dyDescent="0.3">
      <c r="D188" s="69"/>
      <c r="E188" s="54"/>
      <c r="F188" s="54"/>
      <c r="G188" s="54"/>
      <c r="H188" s="119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</row>
    <row r="189" spans="4:21" x14ac:dyDescent="0.3">
      <c r="D189" s="62"/>
      <c r="E189" s="53"/>
      <c r="F189" s="53"/>
      <c r="G189" s="53"/>
      <c r="H189" s="118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</row>
    <row r="190" spans="4:21" x14ac:dyDescent="0.3">
      <c r="D190" s="69"/>
      <c r="E190" s="54"/>
      <c r="F190" s="54"/>
      <c r="G190" s="54"/>
      <c r="H190" s="119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</row>
    <row r="191" spans="4:21" x14ac:dyDescent="0.3">
      <c r="D191" s="62"/>
      <c r="E191" s="53"/>
      <c r="F191" s="53"/>
      <c r="G191" s="53"/>
      <c r="H191" s="118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</row>
    <row r="192" spans="4:21" x14ac:dyDescent="0.3">
      <c r="D192" s="69"/>
      <c r="E192" s="54"/>
      <c r="F192" s="54"/>
      <c r="G192" s="54"/>
      <c r="H192" s="119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</row>
    <row r="193" spans="4:21" x14ac:dyDescent="0.3">
      <c r="D193" s="62"/>
      <c r="E193" s="53"/>
      <c r="F193" s="53"/>
      <c r="G193" s="53"/>
      <c r="H193" s="118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</row>
    <row r="194" spans="4:21" x14ac:dyDescent="0.3">
      <c r="D194" s="69"/>
      <c r="E194" s="54"/>
      <c r="F194" s="54"/>
      <c r="G194" s="54"/>
      <c r="H194" s="119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</row>
    <row r="195" spans="4:21" x14ac:dyDescent="0.3">
      <c r="D195" s="62"/>
      <c r="E195" s="53"/>
      <c r="F195" s="53"/>
      <c r="G195" s="53"/>
      <c r="H195" s="118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</row>
    <row r="196" spans="4:21" x14ac:dyDescent="0.3">
      <c r="D196" s="69"/>
      <c r="E196" s="54"/>
      <c r="F196" s="54"/>
      <c r="G196" s="54"/>
      <c r="H196" s="119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</row>
    <row r="197" spans="4:21" x14ac:dyDescent="0.3">
      <c r="D197" s="62"/>
      <c r="E197" s="53"/>
      <c r="F197" s="53"/>
      <c r="G197" s="53"/>
      <c r="H197" s="118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</row>
    <row r="198" spans="4:21" x14ac:dyDescent="0.3">
      <c r="D198" s="69"/>
      <c r="E198" s="54"/>
      <c r="F198" s="54"/>
      <c r="G198" s="54"/>
      <c r="H198" s="119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</row>
    <row r="199" spans="4:21" x14ac:dyDescent="0.3">
      <c r="D199" s="62"/>
      <c r="E199" s="53"/>
      <c r="F199" s="53"/>
      <c r="G199" s="53"/>
      <c r="H199" s="118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</row>
    <row r="200" spans="4:21" x14ac:dyDescent="0.3">
      <c r="D200" s="83"/>
      <c r="E200" s="52"/>
      <c r="F200" s="52"/>
      <c r="G200" s="52"/>
      <c r="H200" s="120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4:21" x14ac:dyDescent="0.3"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</row>
    <row r="202" spans="4:21" x14ac:dyDescent="0.3">
      <c r="D202" s="79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</row>
  </sheetData>
  <mergeCells count="13">
    <mergeCell ref="P1:R1"/>
    <mergeCell ref="A18:B18"/>
    <mergeCell ref="A12:B12"/>
    <mergeCell ref="A13:B13"/>
    <mergeCell ref="A14:B14"/>
    <mergeCell ref="A15:B15"/>
    <mergeCell ref="A16:B16"/>
    <mergeCell ref="A17:B17"/>
    <mergeCell ref="A6:B6"/>
    <mergeCell ref="A1:B1"/>
    <mergeCell ref="D1:F1"/>
    <mergeCell ref="H1:J1"/>
    <mergeCell ref="M1:O1"/>
  </mergeCells>
  <dataValidations count="2">
    <dataValidation type="list" allowBlank="1" showInputMessage="1" showErrorMessage="1" sqref="B7" xr:uid="{B820251D-9091-4BA0-BFD1-98BC9D610276}">
      <formula1>"All,January,February,March,April,May,June,July,August,September,October,November,December"</formula1>
    </dataValidation>
    <dataValidation type="custom" allowBlank="1" showInputMessage="1" showErrorMessage="1" errorTitle="invalid number entered" error="Please enter a number with 10 digits" sqref="I3:I14" xr:uid="{079DBF68-AF5B-44D6-ACB5-5928348D3593}">
      <formula1>AND(LEN(I3)=10,ISNUMBER(--I3))</formula1>
    </dataValidation>
  </dataValidations>
  <hyperlinks>
    <hyperlink ref="A13" location="Home!A1" display="Home" xr:uid="{60102BE0-08E0-4AA6-B69D-A71F80897D6E}"/>
    <hyperlink ref="A14:B14" location="Enrollment!A1" display="Enrollment" xr:uid="{FC5D9068-B4DE-4225-AE6E-CCF5B22059D3}"/>
    <hyperlink ref="A15:B15" location="Attendance!A1" display="Attendance" xr:uid="{70546FDD-B38B-4232-A089-E52FD883F16C}"/>
    <hyperlink ref="A16:B16" location="Teachers!A1" display="Teachers" xr:uid="{4B563862-A56D-4FB0-91B8-C663623D909D}"/>
    <hyperlink ref="A17:B17" location="Classes!A1" display="Classes" xr:uid="{72C0A319-98F7-4598-BFC0-1394B6E08A1C}"/>
    <hyperlink ref="A18:B18" location="Monthly_Report!A1" display="Monthly report" xr:uid="{A8CEABFF-0767-411B-A461-B52D2C8627E8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2960B3-3290-41CB-A0B1-AE59143A509B}">
          <x14:formula1>
            <xm:f>Classes!$A$3:$A$23</xm:f>
          </x14:formula1>
          <xm:sqref>F3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E7CD2-EA35-46B1-8E33-E64AFEDC6367}">
  <sheetPr codeName="Sheet21"/>
  <dimension ref="A1:BK2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7" sqref="E17"/>
    </sheetView>
  </sheetViews>
  <sheetFormatPr defaultRowHeight="14.4" x14ac:dyDescent="0.3"/>
  <cols>
    <col min="1" max="1" width="22.44140625" customWidth="1"/>
    <col min="2" max="2" width="16.33203125" customWidth="1"/>
    <col min="4" max="4" width="17.77734375" customWidth="1"/>
    <col min="5" max="5" width="16.21875" customWidth="1"/>
    <col min="6" max="7" width="14.5546875" customWidth="1"/>
    <col min="8" max="8" width="12.44140625" customWidth="1"/>
    <col min="9" max="9" width="16.6640625" customWidth="1"/>
    <col min="10" max="10" width="10.77734375" customWidth="1"/>
    <col min="11" max="11" width="18.109375" customWidth="1"/>
    <col min="12" max="12" width="13.77734375" customWidth="1"/>
    <col min="13" max="18" width="12.33203125" customWidth="1"/>
    <col min="19" max="19" width="18.88671875" customWidth="1"/>
    <col min="20" max="20" width="20.21875" customWidth="1"/>
    <col min="21" max="21" width="23.33203125" customWidth="1"/>
    <col min="22" max="60" width="12.33203125" customWidth="1"/>
  </cols>
  <sheetData>
    <row r="1" spans="1:63" ht="15.6" customHeight="1" x14ac:dyDescent="0.3">
      <c r="A1" s="310" t="s">
        <v>105</v>
      </c>
      <c r="B1" s="311"/>
      <c r="C1" s="25"/>
      <c r="D1" s="290"/>
      <c r="E1" s="291"/>
      <c r="F1" s="291"/>
      <c r="G1" s="51"/>
      <c r="H1" s="293"/>
      <c r="I1" s="293"/>
      <c r="J1" s="293"/>
      <c r="K1" s="40"/>
      <c r="L1" s="41"/>
      <c r="M1" s="290" t="s">
        <v>77</v>
      </c>
      <c r="N1" s="291"/>
      <c r="O1" s="291"/>
      <c r="P1" s="290" t="s">
        <v>78</v>
      </c>
      <c r="Q1" s="291"/>
      <c r="R1" s="291"/>
      <c r="S1" s="42"/>
      <c r="T1" s="40"/>
      <c r="U1" s="41"/>
      <c r="V1" s="39"/>
      <c r="W1" s="39"/>
      <c r="Y1" s="39"/>
      <c r="Z1" s="39"/>
      <c r="AA1" s="39"/>
      <c r="AB1" s="39"/>
      <c r="AD1" s="39"/>
      <c r="AE1" s="39"/>
      <c r="AF1" s="39"/>
      <c r="AG1" s="39"/>
      <c r="AI1" s="39"/>
      <c r="AJ1" s="39"/>
      <c r="AK1" s="39"/>
      <c r="AL1" s="39"/>
      <c r="AN1" s="39"/>
      <c r="AO1" s="39"/>
      <c r="AP1" s="39"/>
      <c r="AQ1" s="39"/>
      <c r="AS1" s="39"/>
      <c r="AT1" s="39"/>
      <c r="AU1" s="39"/>
      <c r="AV1" s="39"/>
      <c r="AX1" s="39"/>
      <c r="AY1" s="39"/>
      <c r="AZ1" s="39"/>
      <c r="BA1" s="39"/>
      <c r="BC1" s="39"/>
      <c r="BD1" s="39"/>
      <c r="BE1" s="39"/>
      <c r="BF1" s="39"/>
      <c r="BH1" s="39"/>
      <c r="BI1" s="39"/>
      <c r="BJ1" s="39"/>
      <c r="BK1" s="39"/>
    </row>
    <row r="2" spans="1:63" ht="15.6" customHeight="1" x14ac:dyDescent="0.3">
      <c r="A2" s="108" t="s">
        <v>147</v>
      </c>
      <c r="B2" s="19">
        <f>Teachers!A11</f>
        <v>0</v>
      </c>
      <c r="C2" s="3"/>
      <c r="D2" s="6" t="s">
        <v>36</v>
      </c>
      <c r="E2" s="32" t="s">
        <v>37</v>
      </c>
      <c r="F2" s="32" t="s">
        <v>27</v>
      </c>
      <c r="G2" s="74" t="s">
        <v>128</v>
      </c>
      <c r="H2" s="32" t="s">
        <v>38</v>
      </c>
      <c r="I2" s="32" t="s">
        <v>3</v>
      </c>
      <c r="J2" s="32" t="s">
        <v>40</v>
      </c>
      <c r="K2" s="32" t="s">
        <v>22</v>
      </c>
      <c r="L2" s="32" t="s">
        <v>26</v>
      </c>
      <c r="M2" s="46" t="s">
        <v>76</v>
      </c>
      <c r="N2" s="46" t="s">
        <v>75</v>
      </c>
      <c r="O2" s="46" t="s">
        <v>74</v>
      </c>
      <c r="P2" s="46" t="s">
        <v>81</v>
      </c>
      <c r="Q2" s="46" t="s">
        <v>80</v>
      </c>
      <c r="R2" s="46" t="s">
        <v>79</v>
      </c>
      <c r="S2" s="32" t="s">
        <v>41</v>
      </c>
      <c r="T2" s="32" t="s">
        <v>73</v>
      </c>
      <c r="U2" s="32" t="s">
        <v>7</v>
      </c>
      <c r="V2" s="38"/>
      <c r="W2" s="38"/>
      <c r="Y2" s="38"/>
      <c r="Z2" s="38"/>
      <c r="AA2" s="38"/>
      <c r="AB2" s="38"/>
      <c r="AD2" s="38"/>
      <c r="AE2" s="38"/>
      <c r="AF2" s="38"/>
      <c r="AG2" s="38"/>
      <c r="AI2" s="38"/>
      <c r="AJ2" s="38"/>
      <c r="AK2" s="38"/>
      <c r="AL2" s="38"/>
      <c r="AN2" s="38"/>
      <c r="AO2" s="38"/>
      <c r="AP2" s="38"/>
      <c r="AQ2" s="38"/>
      <c r="AS2" s="38"/>
      <c r="AT2" s="38"/>
      <c r="AU2" s="38"/>
      <c r="AV2" s="38"/>
      <c r="AX2" s="38"/>
      <c r="AY2" s="38"/>
      <c r="AZ2" s="38"/>
      <c r="BA2" s="38"/>
      <c r="BC2" s="38"/>
      <c r="BD2" s="38"/>
      <c r="BE2" s="38"/>
      <c r="BF2" s="38"/>
      <c r="BH2" s="38"/>
      <c r="BI2" s="38"/>
      <c r="BJ2" s="38"/>
      <c r="BK2" s="38"/>
    </row>
    <row r="3" spans="1:63" ht="15.6" customHeight="1" x14ac:dyDescent="0.3">
      <c r="A3" s="20" t="s">
        <v>22</v>
      </c>
      <c r="B3" s="21" t="e">
        <f>_xlfn.XLOOKUP(B2, teachers_table[*Teacher ID], teachers_table[*Teacher Name])</f>
        <v>#N/A</v>
      </c>
      <c r="C3" s="26"/>
      <c r="D3" s="62" t="e" cm="1">
        <f t="array" ref="D3">IF(B7 = "All", _xlfn._xlws.FILTER(enrollment_table[], enrollment_table[*Teacher Name] = T_Blank2!B3, "No Students Found"), _xlfn._xlws.FILTER(enrollment_table[], (enrollment_table[*Teacher Name] = T_Blank2!B3 ) * (enrollment_table[Enrollment Month] = B7), "No Students Found"))</f>
        <v>#N/A</v>
      </c>
      <c r="E3" s="53"/>
      <c r="F3" s="53"/>
      <c r="G3" s="82"/>
      <c r="H3" s="115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</row>
    <row r="4" spans="1:63" ht="15.6" customHeight="1" x14ac:dyDescent="0.3">
      <c r="A4" s="88" t="s">
        <v>29</v>
      </c>
      <c r="B4" s="87" t="e">
        <f>_xlfn.XLOOKUP(B2, teachers_table[*Teacher ID], teachers_table[*Income Rate])</f>
        <v>#N/A</v>
      </c>
      <c r="C4" s="27"/>
      <c r="D4" s="69"/>
      <c r="E4" s="54"/>
      <c r="F4" s="54"/>
      <c r="G4" s="70"/>
      <c r="H4" s="114"/>
      <c r="I4" s="71"/>
      <c r="J4" s="37"/>
      <c r="K4" s="54"/>
      <c r="L4" s="78"/>
      <c r="M4" s="54"/>
      <c r="N4" s="54"/>
      <c r="O4" s="54"/>
      <c r="P4" s="54"/>
      <c r="Q4" s="54"/>
      <c r="R4" s="54"/>
      <c r="S4" s="72"/>
      <c r="T4" s="72"/>
      <c r="U4" s="54"/>
    </row>
    <row r="5" spans="1:63" ht="15.6" customHeight="1" x14ac:dyDescent="0.3">
      <c r="C5" s="28"/>
      <c r="D5" s="62"/>
      <c r="E5" s="53"/>
      <c r="F5" s="53"/>
      <c r="G5" s="63"/>
      <c r="H5" s="115"/>
      <c r="I5" s="65"/>
      <c r="J5" s="66"/>
      <c r="K5" s="53"/>
      <c r="L5" s="53"/>
      <c r="M5" s="53"/>
      <c r="N5" s="53"/>
      <c r="O5" s="53"/>
      <c r="P5" s="53"/>
      <c r="Q5" s="53"/>
      <c r="R5" s="53"/>
      <c r="S5" s="68"/>
      <c r="T5" s="68"/>
      <c r="U5" s="53"/>
    </row>
    <row r="6" spans="1:63" ht="15.6" customHeight="1" x14ac:dyDescent="0.3">
      <c r="A6" s="310" t="s">
        <v>107</v>
      </c>
      <c r="B6" s="311"/>
      <c r="C6" s="29"/>
      <c r="D6" s="69"/>
      <c r="E6" s="54"/>
      <c r="F6" s="54"/>
      <c r="G6" s="70"/>
      <c r="H6" s="116"/>
      <c r="I6" s="71"/>
      <c r="J6" s="37"/>
      <c r="K6" s="54"/>
      <c r="L6" s="54"/>
      <c r="M6" s="54"/>
      <c r="N6" s="54"/>
      <c r="O6" s="54"/>
      <c r="P6" s="54"/>
      <c r="Q6" s="54"/>
      <c r="R6" s="54"/>
      <c r="S6" s="72"/>
      <c r="T6" s="72"/>
      <c r="U6" s="54"/>
    </row>
    <row r="7" spans="1:63" ht="15.6" customHeight="1" x14ac:dyDescent="0.3">
      <c r="A7" s="47" t="s">
        <v>157</v>
      </c>
      <c r="B7" s="24" t="s">
        <v>100</v>
      </c>
      <c r="D7" s="62"/>
      <c r="E7" s="53"/>
      <c r="F7" s="53"/>
      <c r="G7" s="63"/>
      <c r="H7" s="117"/>
      <c r="I7" s="65"/>
      <c r="J7" s="66"/>
      <c r="K7" s="53"/>
      <c r="L7" s="53"/>
      <c r="M7" s="53"/>
      <c r="N7" s="53"/>
      <c r="O7" s="53"/>
      <c r="P7" s="53"/>
      <c r="Q7" s="53"/>
      <c r="R7" s="53"/>
      <c r="S7" s="68"/>
      <c r="T7" s="68"/>
      <c r="U7" s="53"/>
    </row>
    <row r="8" spans="1:63" x14ac:dyDescent="0.3">
      <c r="A8" s="84" t="s">
        <v>52</v>
      </c>
      <c r="B8" s="86" t="e">
        <f>IF(D3 = "No Students Found", 0, COUNTA(D3:D200))</f>
        <v>#N/A</v>
      </c>
      <c r="C8" s="30"/>
      <c r="D8" s="69"/>
      <c r="E8" s="54"/>
      <c r="F8" s="54"/>
      <c r="G8" s="70"/>
      <c r="H8" s="116"/>
      <c r="I8" s="71"/>
      <c r="J8" s="37"/>
      <c r="K8" s="54"/>
      <c r="L8" s="54"/>
      <c r="M8" s="54"/>
      <c r="N8" s="54"/>
      <c r="O8" s="54"/>
      <c r="P8" s="54"/>
      <c r="Q8" s="54"/>
      <c r="R8" s="54"/>
      <c r="S8" s="72"/>
      <c r="T8" s="72"/>
      <c r="U8" s="54"/>
    </row>
    <row r="9" spans="1:63" ht="15.6" customHeight="1" x14ac:dyDescent="0.3">
      <c r="A9" s="47" t="s">
        <v>106</v>
      </c>
      <c r="B9" s="156">
        <f>SUM(H3:H200)</f>
        <v>0</v>
      </c>
      <c r="C9" s="31"/>
      <c r="D9" s="62"/>
      <c r="E9" s="53"/>
      <c r="F9" s="53"/>
      <c r="G9" s="63"/>
      <c r="H9" s="117"/>
      <c r="I9" s="65"/>
      <c r="J9" s="66"/>
      <c r="K9" s="53"/>
      <c r="L9" s="53"/>
      <c r="M9" s="53"/>
      <c r="N9" s="53"/>
      <c r="O9" s="53"/>
      <c r="P9" s="53"/>
      <c r="Q9" s="53"/>
      <c r="R9" s="53"/>
      <c r="S9" s="68"/>
      <c r="T9" s="68"/>
      <c r="U9" s="53"/>
    </row>
    <row r="10" spans="1:63" ht="15.6" customHeight="1" x14ac:dyDescent="0.3">
      <c r="A10" s="85" t="s">
        <v>44</v>
      </c>
      <c r="B10" s="155" t="e">
        <f>B9*B4</f>
        <v>#N/A</v>
      </c>
      <c r="C10" s="31"/>
      <c r="D10" s="69"/>
      <c r="E10" s="54"/>
      <c r="F10" s="54"/>
      <c r="G10" s="54"/>
      <c r="H10" s="116"/>
      <c r="I10" s="71"/>
      <c r="J10" s="37"/>
      <c r="K10" s="54"/>
      <c r="L10" s="54"/>
      <c r="M10" s="54"/>
      <c r="N10" s="54"/>
      <c r="O10" s="54"/>
      <c r="P10" s="54"/>
      <c r="Q10" s="54"/>
      <c r="R10" s="54"/>
      <c r="S10" s="72"/>
      <c r="T10" s="72"/>
      <c r="U10" s="54"/>
    </row>
    <row r="11" spans="1:63" ht="15.6" customHeight="1" x14ac:dyDescent="0.3">
      <c r="B11" s="7"/>
      <c r="C11" s="31"/>
      <c r="D11" s="62"/>
      <c r="E11" s="53"/>
      <c r="F11" s="53"/>
      <c r="G11" s="53"/>
      <c r="H11" s="117"/>
      <c r="I11" s="65"/>
      <c r="J11" s="66"/>
      <c r="K11" s="53"/>
      <c r="L11" s="53"/>
      <c r="M11" s="53"/>
      <c r="N11" s="53"/>
      <c r="O11" s="53"/>
      <c r="P11" s="53"/>
      <c r="Q11" s="53"/>
      <c r="R11" s="53"/>
      <c r="S11" s="68"/>
      <c r="T11" s="68"/>
      <c r="U11" s="53"/>
    </row>
    <row r="12" spans="1:63" ht="15.6" customHeight="1" x14ac:dyDescent="0.3">
      <c r="A12" s="312" t="s">
        <v>25</v>
      </c>
      <c r="B12" s="313"/>
      <c r="D12" s="69"/>
      <c r="E12" s="54"/>
      <c r="F12" s="54"/>
      <c r="G12" s="54"/>
      <c r="H12" s="116"/>
      <c r="I12" s="71"/>
      <c r="J12" s="37"/>
      <c r="K12" s="54"/>
      <c r="L12" s="54"/>
      <c r="M12" s="54"/>
      <c r="N12" s="54"/>
      <c r="O12" s="54"/>
      <c r="P12" s="54"/>
      <c r="Q12" s="54"/>
      <c r="R12" s="54"/>
      <c r="S12" s="72"/>
      <c r="T12" s="72"/>
      <c r="U12" s="54"/>
    </row>
    <row r="13" spans="1:63" ht="15.6" customHeight="1" x14ac:dyDescent="0.3">
      <c r="A13" s="314" t="s">
        <v>24</v>
      </c>
      <c r="B13" s="315"/>
      <c r="D13" s="62"/>
      <c r="E13" s="53"/>
      <c r="F13" s="53"/>
      <c r="G13" s="53"/>
      <c r="H13" s="117"/>
      <c r="I13" s="65"/>
      <c r="J13" s="66"/>
      <c r="K13" s="53"/>
      <c r="L13" s="53"/>
      <c r="M13" s="53"/>
      <c r="N13" s="53"/>
      <c r="O13" s="53"/>
      <c r="P13" s="53"/>
      <c r="Q13" s="53"/>
      <c r="R13" s="53"/>
      <c r="S13" s="68"/>
      <c r="T13" s="68"/>
      <c r="U13" s="53"/>
    </row>
    <row r="14" spans="1:63" ht="15.6" customHeight="1" x14ac:dyDescent="0.3">
      <c r="A14" s="307" t="s">
        <v>104</v>
      </c>
      <c r="B14" s="307"/>
      <c r="D14" s="69"/>
      <c r="E14" s="54"/>
      <c r="F14" s="54"/>
      <c r="G14" s="54"/>
      <c r="H14" s="116"/>
      <c r="I14" s="71"/>
      <c r="J14" s="37"/>
      <c r="K14" s="54"/>
      <c r="L14" s="54"/>
      <c r="M14" s="54"/>
      <c r="N14" s="54"/>
      <c r="O14" s="54"/>
      <c r="P14" s="54"/>
      <c r="Q14" s="54"/>
      <c r="R14" s="54"/>
      <c r="S14" s="72"/>
      <c r="T14" s="72"/>
      <c r="U14" s="54"/>
    </row>
    <row r="15" spans="1:63" ht="15.6" customHeight="1" x14ac:dyDescent="0.3">
      <c r="A15" s="316" t="s">
        <v>59</v>
      </c>
      <c r="B15" s="308"/>
      <c r="D15" s="62"/>
      <c r="E15" s="53"/>
      <c r="F15" s="53"/>
      <c r="G15" s="53"/>
      <c r="H15" s="118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</row>
    <row r="16" spans="1:63" ht="15.6" customHeight="1" x14ac:dyDescent="0.3">
      <c r="A16" s="307" t="s">
        <v>57</v>
      </c>
      <c r="B16" s="307"/>
      <c r="D16" s="69"/>
      <c r="E16" s="54"/>
      <c r="F16" s="54"/>
      <c r="G16" s="54"/>
      <c r="H16" s="119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15.6" customHeight="1" x14ac:dyDescent="0.3">
      <c r="A17" s="308" t="s">
        <v>58</v>
      </c>
      <c r="B17" s="308"/>
      <c r="D17" s="62"/>
      <c r="E17" s="53"/>
      <c r="F17" s="53"/>
      <c r="G17" s="53"/>
      <c r="H17" s="118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</row>
    <row r="18" spans="1:21" ht="15.6" customHeight="1" x14ac:dyDescent="0.3">
      <c r="A18" s="309" t="s">
        <v>124</v>
      </c>
      <c r="B18" s="309"/>
      <c r="D18" s="69"/>
      <c r="E18" s="54"/>
      <c r="F18" s="54"/>
      <c r="G18" s="54"/>
      <c r="H18" s="119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15.6" customHeight="1" x14ac:dyDescent="0.3">
      <c r="D19" s="62"/>
      <c r="E19" s="53"/>
      <c r="F19" s="53"/>
      <c r="G19" s="53"/>
      <c r="H19" s="118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</row>
    <row r="20" spans="1:21" ht="15.6" customHeight="1" x14ac:dyDescent="0.3">
      <c r="D20" s="69"/>
      <c r="E20" s="54"/>
      <c r="F20" s="54"/>
      <c r="G20" s="54"/>
      <c r="H20" s="119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ht="15.6" customHeight="1" x14ac:dyDescent="0.3">
      <c r="D21" s="62"/>
      <c r="E21" s="53"/>
      <c r="F21" s="53"/>
      <c r="G21" s="53"/>
      <c r="H21" s="118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</row>
    <row r="22" spans="1:21" ht="15.6" customHeight="1" x14ac:dyDescent="0.3">
      <c r="D22" s="69"/>
      <c r="E22" s="54"/>
      <c r="F22" s="54"/>
      <c r="G22" s="54"/>
      <c r="H22" s="119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</row>
    <row r="23" spans="1:21" ht="15.6" customHeight="1" x14ac:dyDescent="0.3">
      <c r="D23" s="62"/>
      <c r="E23" s="53"/>
      <c r="F23" s="53"/>
      <c r="G23" s="53"/>
      <c r="H23" s="118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</row>
    <row r="24" spans="1:21" ht="15.6" customHeight="1" x14ac:dyDescent="0.3">
      <c r="D24" s="69"/>
      <c r="E24" s="54"/>
      <c r="F24" s="54"/>
      <c r="G24" s="54"/>
      <c r="H24" s="119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</row>
    <row r="25" spans="1:21" x14ac:dyDescent="0.3">
      <c r="D25" s="62"/>
      <c r="E25" s="53"/>
      <c r="F25" s="53"/>
      <c r="G25" s="53"/>
      <c r="H25" s="118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</row>
    <row r="26" spans="1:21" x14ac:dyDescent="0.3">
      <c r="D26" s="69"/>
      <c r="E26" s="54"/>
      <c r="F26" s="54"/>
      <c r="G26" s="54"/>
      <c r="H26" s="119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</row>
    <row r="27" spans="1:21" x14ac:dyDescent="0.3">
      <c r="D27" s="62"/>
      <c r="E27" s="53"/>
      <c r="F27" s="53"/>
      <c r="G27" s="53"/>
      <c r="H27" s="118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</row>
    <row r="28" spans="1:21" x14ac:dyDescent="0.3">
      <c r="D28" s="69"/>
      <c r="E28" s="54"/>
      <c r="F28" s="54"/>
      <c r="G28" s="54"/>
      <c r="H28" s="119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</row>
    <row r="29" spans="1:21" x14ac:dyDescent="0.3">
      <c r="D29" s="62"/>
      <c r="E29" s="53"/>
      <c r="F29" s="53"/>
      <c r="G29" s="53"/>
      <c r="H29" s="118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</row>
    <row r="30" spans="1:21" x14ac:dyDescent="0.3">
      <c r="D30" s="69"/>
      <c r="E30" s="54"/>
      <c r="F30" s="54"/>
      <c r="G30" s="54"/>
      <c r="H30" s="119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</row>
    <row r="31" spans="1:21" x14ac:dyDescent="0.3">
      <c r="D31" s="62"/>
      <c r="E31" s="53"/>
      <c r="F31" s="53"/>
      <c r="G31" s="53"/>
      <c r="H31" s="118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</row>
    <row r="32" spans="1:21" x14ac:dyDescent="0.3">
      <c r="D32" s="69"/>
      <c r="E32" s="54"/>
      <c r="F32" s="54"/>
      <c r="G32" s="54"/>
      <c r="H32" s="119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</row>
    <row r="33" spans="4:21" x14ac:dyDescent="0.3">
      <c r="D33" s="62"/>
      <c r="E33" s="53"/>
      <c r="F33" s="53"/>
      <c r="G33" s="53"/>
      <c r="H33" s="118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</row>
    <row r="34" spans="4:21" x14ac:dyDescent="0.3">
      <c r="D34" s="69"/>
      <c r="E34" s="54"/>
      <c r="F34" s="54"/>
      <c r="G34" s="54"/>
      <c r="H34" s="119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</row>
    <row r="35" spans="4:21" x14ac:dyDescent="0.3">
      <c r="D35" s="62"/>
      <c r="E35" s="53"/>
      <c r="F35" s="53"/>
      <c r="G35" s="53"/>
      <c r="H35" s="118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4:21" x14ac:dyDescent="0.3">
      <c r="D36" s="69"/>
      <c r="E36" s="54"/>
      <c r="F36" s="54"/>
      <c r="G36" s="54"/>
      <c r="H36" s="119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</row>
    <row r="37" spans="4:21" x14ac:dyDescent="0.3">
      <c r="D37" s="62"/>
      <c r="E37" s="53"/>
      <c r="F37" s="53"/>
      <c r="G37" s="53"/>
      <c r="H37" s="118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</row>
    <row r="38" spans="4:21" x14ac:dyDescent="0.3">
      <c r="D38" s="69"/>
      <c r="E38" s="54"/>
      <c r="F38" s="54"/>
      <c r="G38" s="54"/>
      <c r="H38" s="119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</row>
    <row r="39" spans="4:21" x14ac:dyDescent="0.3">
      <c r="D39" s="62"/>
      <c r="E39" s="53"/>
      <c r="F39" s="53"/>
      <c r="G39" s="53"/>
      <c r="H39" s="118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</row>
    <row r="40" spans="4:21" x14ac:dyDescent="0.3">
      <c r="D40" s="69"/>
      <c r="E40" s="54"/>
      <c r="F40" s="54"/>
      <c r="G40" s="54"/>
      <c r="H40" s="119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</row>
    <row r="41" spans="4:21" x14ac:dyDescent="0.3">
      <c r="D41" s="62"/>
      <c r="E41" s="53"/>
      <c r="F41" s="53"/>
      <c r="G41" s="53"/>
      <c r="H41" s="118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</row>
    <row r="42" spans="4:21" x14ac:dyDescent="0.3">
      <c r="D42" s="69"/>
      <c r="E42" s="54"/>
      <c r="F42" s="54"/>
      <c r="G42" s="54"/>
      <c r="H42" s="119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</row>
    <row r="43" spans="4:21" x14ac:dyDescent="0.3">
      <c r="D43" s="62"/>
      <c r="E43" s="53"/>
      <c r="F43" s="53"/>
      <c r="G43" s="53"/>
      <c r="H43" s="118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</row>
    <row r="44" spans="4:21" x14ac:dyDescent="0.3">
      <c r="D44" s="69"/>
      <c r="E44" s="54"/>
      <c r="F44" s="54"/>
      <c r="G44" s="54"/>
      <c r="H44" s="119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</row>
    <row r="45" spans="4:21" x14ac:dyDescent="0.3">
      <c r="D45" s="62"/>
      <c r="E45" s="53"/>
      <c r="F45" s="53"/>
      <c r="G45" s="53"/>
      <c r="H45" s="118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</row>
    <row r="46" spans="4:21" x14ac:dyDescent="0.3">
      <c r="D46" s="69"/>
      <c r="E46" s="54"/>
      <c r="F46" s="54"/>
      <c r="G46" s="54"/>
      <c r="H46" s="119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</row>
    <row r="47" spans="4:21" x14ac:dyDescent="0.3">
      <c r="D47" s="62"/>
      <c r="E47" s="53"/>
      <c r="F47" s="53"/>
      <c r="G47" s="53"/>
      <c r="H47" s="118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4:21" x14ac:dyDescent="0.3">
      <c r="D48" s="69"/>
      <c r="E48" s="54"/>
      <c r="F48" s="54"/>
      <c r="G48" s="54"/>
      <c r="H48" s="119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</row>
    <row r="49" spans="4:21" x14ac:dyDescent="0.3">
      <c r="D49" s="62"/>
      <c r="E49" s="53"/>
      <c r="F49" s="53"/>
      <c r="G49" s="53"/>
      <c r="H49" s="118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</row>
    <row r="50" spans="4:21" x14ac:dyDescent="0.3">
      <c r="D50" s="69"/>
      <c r="E50" s="54"/>
      <c r="F50" s="54"/>
      <c r="G50" s="54"/>
      <c r="H50" s="119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</row>
    <row r="51" spans="4:21" x14ac:dyDescent="0.3">
      <c r="D51" s="62"/>
      <c r="E51" s="53"/>
      <c r="F51" s="53"/>
      <c r="G51" s="53"/>
      <c r="H51" s="118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</row>
    <row r="52" spans="4:21" x14ac:dyDescent="0.3">
      <c r="D52" s="69"/>
      <c r="E52" s="54"/>
      <c r="F52" s="54"/>
      <c r="G52" s="54"/>
      <c r="H52" s="119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</row>
    <row r="53" spans="4:21" x14ac:dyDescent="0.3">
      <c r="D53" s="62"/>
      <c r="E53" s="53"/>
      <c r="F53" s="53"/>
      <c r="G53" s="53"/>
      <c r="H53" s="118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</row>
    <row r="54" spans="4:21" x14ac:dyDescent="0.3">
      <c r="D54" s="69"/>
      <c r="E54" s="54"/>
      <c r="F54" s="54"/>
      <c r="G54" s="54"/>
      <c r="H54" s="119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4:21" x14ac:dyDescent="0.3">
      <c r="D55" s="62"/>
      <c r="E55" s="53"/>
      <c r="F55" s="53"/>
      <c r="G55" s="53"/>
      <c r="H55" s="118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</row>
    <row r="56" spans="4:21" x14ac:dyDescent="0.3">
      <c r="D56" s="69"/>
      <c r="E56" s="54"/>
      <c r="F56" s="54"/>
      <c r="G56" s="54"/>
      <c r="H56" s="119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4:21" x14ac:dyDescent="0.3">
      <c r="D57" s="62"/>
      <c r="E57" s="53"/>
      <c r="F57" s="53"/>
      <c r="G57" s="53"/>
      <c r="H57" s="118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</row>
    <row r="58" spans="4:21" x14ac:dyDescent="0.3">
      <c r="D58" s="69"/>
      <c r="E58" s="54"/>
      <c r="F58" s="54"/>
      <c r="G58" s="54"/>
      <c r="H58" s="119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4:21" x14ac:dyDescent="0.3">
      <c r="D59" s="62"/>
      <c r="E59" s="53"/>
      <c r="F59" s="53"/>
      <c r="G59" s="53"/>
      <c r="H59" s="118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4:21" x14ac:dyDescent="0.3">
      <c r="D60" s="69"/>
      <c r="E60" s="54"/>
      <c r="F60" s="54"/>
      <c r="G60" s="54"/>
      <c r="H60" s="119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4:21" x14ac:dyDescent="0.3">
      <c r="D61" s="62"/>
      <c r="E61" s="53"/>
      <c r="F61" s="53"/>
      <c r="G61" s="53"/>
      <c r="H61" s="118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</row>
    <row r="62" spans="4:21" x14ac:dyDescent="0.3">
      <c r="D62" s="69"/>
      <c r="E62" s="54"/>
      <c r="F62" s="54"/>
      <c r="G62" s="54"/>
      <c r="H62" s="119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4:21" x14ac:dyDescent="0.3">
      <c r="D63" s="62"/>
      <c r="E63" s="53"/>
      <c r="F63" s="53"/>
      <c r="G63" s="53"/>
      <c r="H63" s="118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</row>
    <row r="64" spans="4:21" x14ac:dyDescent="0.3">
      <c r="D64" s="69"/>
      <c r="E64" s="54"/>
      <c r="F64" s="54"/>
      <c r="G64" s="54"/>
      <c r="H64" s="119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</row>
    <row r="65" spans="4:21" x14ac:dyDescent="0.3">
      <c r="D65" s="62"/>
      <c r="E65" s="53"/>
      <c r="F65" s="53"/>
      <c r="G65" s="53"/>
      <c r="H65" s="118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</row>
    <row r="66" spans="4:21" x14ac:dyDescent="0.3">
      <c r="D66" s="69"/>
      <c r="E66" s="54"/>
      <c r="F66" s="54"/>
      <c r="G66" s="54"/>
      <c r="H66" s="119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</row>
    <row r="67" spans="4:21" x14ac:dyDescent="0.3">
      <c r="D67" s="62"/>
      <c r="E67" s="53"/>
      <c r="F67" s="53"/>
      <c r="G67" s="53"/>
      <c r="H67" s="118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</row>
    <row r="68" spans="4:21" x14ac:dyDescent="0.3">
      <c r="D68" s="69"/>
      <c r="E68" s="54"/>
      <c r="F68" s="54"/>
      <c r="G68" s="54"/>
      <c r="H68" s="119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</row>
    <row r="69" spans="4:21" x14ac:dyDescent="0.3">
      <c r="D69" s="62"/>
      <c r="E69" s="53"/>
      <c r="F69" s="53"/>
      <c r="G69" s="53"/>
      <c r="H69" s="118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</row>
    <row r="70" spans="4:21" x14ac:dyDescent="0.3">
      <c r="D70" s="69"/>
      <c r="E70" s="54"/>
      <c r="F70" s="54"/>
      <c r="G70" s="54"/>
      <c r="H70" s="119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</row>
    <row r="71" spans="4:21" x14ac:dyDescent="0.3">
      <c r="D71" s="62"/>
      <c r="E71" s="53"/>
      <c r="F71" s="53"/>
      <c r="G71" s="53"/>
      <c r="H71" s="118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4:21" x14ac:dyDescent="0.3">
      <c r="D72" s="69"/>
      <c r="E72" s="54"/>
      <c r="F72" s="54"/>
      <c r="G72" s="54"/>
      <c r="H72" s="119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</row>
    <row r="73" spans="4:21" x14ac:dyDescent="0.3">
      <c r="D73" s="62"/>
      <c r="E73" s="53"/>
      <c r="F73" s="53"/>
      <c r="G73" s="53"/>
      <c r="H73" s="118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</row>
    <row r="74" spans="4:21" x14ac:dyDescent="0.3">
      <c r="D74" s="69"/>
      <c r="E74" s="54"/>
      <c r="F74" s="54"/>
      <c r="G74" s="54"/>
      <c r="H74" s="119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</row>
    <row r="75" spans="4:21" x14ac:dyDescent="0.3">
      <c r="D75" s="62"/>
      <c r="E75" s="53"/>
      <c r="F75" s="53"/>
      <c r="G75" s="53"/>
      <c r="H75" s="118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</row>
    <row r="76" spans="4:21" x14ac:dyDescent="0.3">
      <c r="D76" s="69"/>
      <c r="E76" s="54"/>
      <c r="F76" s="54"/>
      <c r="G76" s="54"/>
      <c r="H76" s="119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</row>
    <row r="77" spans="4:21" x14ac:dyDescent="0.3">
      <c r="D77" s="62"/>
      <c r="E77" s="53"/>
      <c r="F77" s="53"/>
      <c r="G77" s="53"/>
      <c r="H77" s="118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</row>
    <row r="78" spans="4:21" x14ac:dyDescent="0.3">
      <c r="D78" s="69"/>
      <c r="E78" s="54"/>
      <c r="F78" s="54"/>
      <c r="G78" s="54"/>
      <c r="H78" s="119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</row>
    <row r="79" spans="4:21" x14ac:dyDescent="0.3">
      <c r="D79" s="62"/>
      <c r="E79" s="53"/>
      <c r="F79" s="53"/>
      <c r="G79" s="53"/>
      <c r="H79" s="118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</row>
    <row r="80" spans="4:21" x14ac:dyDescent="0.3">
      <c r="D80" s="69"/>
      <c r="E80" s="54"/>
      <c r="F80" s="54"/>
      <c r="G80" s="54"/>
      <c r="H80" s="119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</row>
    <row r="81" spans="4:21" x14ac:dyDescent="0.3">
      <c r="D81" s="62"/>
      <c r="E81" s="53"/>
      <c r="F81" s="53"/>
      <c r="G81" s="53"/>
      <c r="H81" s="118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</row>
    <row r="82" spans="4:21" x14ac:dyDescent="0.3">
      <c r="D82" s="69"/>
      <c r="E82" s="54"/>
      <c r="F82" s="54"/>
      <c r="G82" s="54"/>
      <c r="H82" s="119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</row>
    <row r="83" spans="4:21" x14ac:dyDescent="0.3">
      <c r="D83" s="62"/>
      <c r="E83" s="53"/>
      <c r="F83" s="53"/>
      <c r="G83" s="53"/>
      <c r="H83" s="118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</row>
    <row r="84" spans="4:21" x14ac:dyDescent="0.3">
      <c r="D84" s="69"/>
      <c r="E84" s="54"/>
      <c r="F84" s="54"/>
      <c r="G84" s="54"/>
      <c r="H84" s="119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</row>
    <row r="85" spans="4:21" x14ac:dyDescent="0.3">
      <c r="D85" s="62"/>
      <c r="E85" s="53"/>
      <c r="F85" s="53"/>
      <c r="G85" s="53"/>
      <c r="H85" s="118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</row>
    <row r="86" spans="4:21" x14ac:dyDescent="0.3">
      <c r="D86" s="69"/>
      <c r="E86" s="54"/>
      <c r="F86" s="54"/>
      <c r="G86" s="54"/>
      <c r="H86" s="119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</row>
    <row r="87" spans="4:21" x14ac:dyDescent="0.3">
      <c r="D87" s="62"/>
      <c r="E87" s="53"/>
      <c r="F87" s="53"/>
      <c r="G87" s="53"/>
      <c r="H87" s="118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</row>
    <row r="88" spans="4:21" x14ac:dyDescent="0.3">
      <c r="D88" s="69"/>
      <c r="E88" s="54"/>
      <c r="F88" s="54"/>
      <c r="G88" s="54"/>
      <c r="H88" s="119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</row>
    <row r="89" spans="4:21" x14ac:dyDescent="0.3">
      <c r="D89" s="62"/>
      <c r="E89" s="53"/>
      <c r="F89" s="53"/>
      <c r="G89" s="53"/>
      <c r="H89" s="118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</row>
    <row r="90" spans="4:21" x14ac:dyDescent="0.3">
      <c r="D90" s="69"/>
      <c r="E90" s="54"/>
      <c r="F90" s="54"/>
      <c r="G90" s="54"/>
      <c r="H90" s="119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</row>
    <row r="91" spans="4:21" x14ac:dyDescent="0.3">
      <c r="D91" s="62"/>
      <c r="E91" s="53"/>
      <c r="F91" s="53"/>
      <c r="G91" s="53"/>
      <c r="H91" s="118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</row>
    <row r="92" spans="4:21" x14ac:dyDescent="0.3">
      <c r="D92" s="69"/>
      <c r="E92" s="54"/>
      <c r="F92" s="54"/>
      <c r="G92" s="54"/>
      <c r="H92" s="119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</row>
    <row r="93" spans="4:21" x14ac:dyDescent="0.3">
      <c r="D93" s="62"/>
      <c r="E93" s="53"/>
      <c r="F93" s="53"/>
      <c r="G93" s="53"/>
      <c r="H93" s="118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</row>
    <row r="94" spans="4:21" x14ac:dyDescent="0.3">
      <c r="D94" s="69"/>
      <c r="E94" s="54"/>
      <c r="F94" s="54"/>
      <c r="G94" s="54"/>
      <c r="H94" s="119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</row>
    <row r="95" spans="4:21" x14ac:dyDescent="0.3">
      <c r="D95" s="62"/>
      <c r="E95" s="53"/>
      <c r="F95" s="53"/>
      <c r="G95" s="53"/>
      <c r="H95" s="118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</row>
    <row r="96" spans="4:21" x14ac:dyDescent="0.3">
      <c r="D96" s="69"/>
      <c r="E96" s="54"/>
      <c r="F96" s="54"/>
      <c r="G96" s="54"/>
      <c r="H96" s="119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</row>
    <row r="97" spans="4:21" x14ac:dyDescent="0.3">
      <c r="D97" s="62"/>
      <c r="E97" s="53"/>
      <c r="F97" s="53"/>
      <c r="G97" s="53"/>
      <c r="H97" s="118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</row>
    <row r="98" spans="4:21" x14ac:dyDescent="0.3">
      <c r="D98" s="69"/>
      <c r="E98" s="54"/>
      <c r="F98" s="54"/>
      <c r="G98" s="54"/>
      <c r="H98" s="119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</row>
    <row r="99" spans="4:21" x14ac:dyDescent="0.3">
      <c r="D99" s="62"/>
      <c r="E99" s="53"/>
      <c r="F99" s="53"/>
      <c r="G99" s="53"/>
      <c r="H99" s="118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</row>
    <row r="100" spans="4:21" x14ac:dyDescent="0.3">
      <c r="D100" s="69"/>
      <c r="E100" s="54"/>
      <c r="F100" s="54"/>
      <c r="G100" s="54"/>
      <c r="H100" s="119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</row>
    <row r="101" spans="4:21" x14ac:dyDescent="0.3">
      <c r="D101" s="62"/>
      <c r="E101" s="53"/>
      <c r="F101" s="53"/>
      <c r="G101" s="53"/>
      <c r="H101" s="118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</row>
    <row r="102" spans="4:21" x14ac:dyDescent="0.3">
      <c r="D102" s="69"/>
      <c r="E102" s="54"/>
      <c r="F102" s="54"/>
      <c r="G102" s="54"/>
      <c r="H102" s="119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</row>
    <row r="103" spans="4:21" x14ac:dyDescent="0.3">
      <c r="D103" s="62"/>
      <c r="E103" s="53"/>
      <c r="F103" s="53"/>
      <c r="G103" s="53"/>
      <c r="H103" s="118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</row>
    <row r="104" spans="4:21" x14ac:dyDescent="0.3">
      <c r="D104" s="69"/>
      <c r="E104" s="54"/>
      <c r="F104" s="54"/>
      <c r="G104" s="54"/>
      <c r="H104" s="119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</row>
    <row r="105" spans="4:21" x14ac:dyDescent="0.3">
      <c r="D105" s="62"/>
      <c r="E105" s="53"/>
      <c r="F105" s="53"/>
      <c r="G105" s="53"/>
      <c r="H105" s="118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</row>
    <row r="106" spans="4:21" x14ac:dyDescent="0.3">
      <c r="D106" s="69"/>
      <c r="E106" s="54"/>
      <c r="F106" s="54"/>
      <c r="G106" s="54"/>
      <c r="H106" s="119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</row>
    <row r="107" spans="4:21" x14ac:dyDescent="0.3">
      <c r="D107" s="62"/>
      <c r="E107" s="53"/>
      <c r="F107" s="53"/>
      <c r="G107" s="53"/>
      <c r="H107" s="118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</row>
    <row r="108" spans="4:21" x14ac:dyDescent="0.3">
      <c r="D108" s="69"/>
      <c r="E108" s="54"/>
      <c r="F108" s="54"/>
      <c r="G108" s="54"/>
      <c r="H108" s="119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</row>
    <row r="109" spans="4:21" x14ac:dyDescent="0.3">
      <c r="D109" s="62"/>
      <c r="E109" s="53"/>
      <c r="F109" s="53"/>
      <c r="G109" s="53"/>
      <c r="H109" s="118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</row>
    <row r="110" spans="4:21" x14ac:dyDescent="0.3">
      <c r="D110" s="69"/>
      <c r="E110" s="54"/>
      <c r="F110" s="54"/>
      <c r="G110" s="54"/>
      <c r="H110" s="119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</row>
    <row r="111" spans="4:21" x14ac:dyDescent="0.3">
      <c r="D111" s="62"/>
      <c r="E111" s="53"/>
      <c r="F111" s="53"/>
      <c r="G111" s="53"/>
      <c r="H111" s="118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</row>
    <row r="112" spans="4:21" x14ac:dyDescent="0.3">
      <c r="D112" s="69"/>
      <c r="E112" s="54"/>
      <c r="F112" s="54"/>
      <c r="G112" s="54"/>
      <c r="H112" s="119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</row>
    <row r="113" spans="4:21" x14ac:dyDescent="0.3">
      <c r="D113" s="62"/>
      <c r="E113" s="53"/>
      <c r="F113" s="53"/>
      <c r="G113" s="53"/>
      <c r="H113" s="118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</row>
    <row r="114" spans="4:21" x14ac:dyDescent="0.3">
      <c r="D114" s="69"/>
      <c r="E114" s="54"/>
      <c r="F114" s="54"/>
      <c r="G114" s="54"/>
      <c r="H114" s="119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</row>
    <row r="115" spans="4:21" x14ac:dyDescent="0.3">
      <c r="D115" s="62"/>
      <c r="E115" s="53"/>
      <c r="F115" s="53"/>
      <c r="G115" s="53"/>
      <c r="H115" s="118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</row>
    <row r="116" spans="4:21" x14ac:dyDescent="0.3">
      <c r="D116" s="69"/>
      <c r="E116" s="54"/>
      <c r="F116" s="54"/>
      <c r="G116" s="54"/>
      <c r="H116" s="119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</row>
    <row r="117" spans="4:21" x14ac:dyDescent="0.3">
      <c r="D117" s="62"/>
      <c r="E117" s="53"/>
      <c r="F117" s="53"/>
      <c r="G117" s="53"/>
      <c r="H117" s="118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</row>
    <row r="118" spans="4:21" x14ac:dyDescent="0.3">
      <c r="D118" s="69"/>
      <c r="E118" s="54"/>
      <c r="F118" s="54"/>
      <c r="G118" s="54"/>
      <c r="H118" s="119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</row>
    <row r="119" spans="4:21" x14ac:dyDescent="0.3">
      <c r="D119" s="62"/>
      <c r="E119" s="53"/>
      <c r="F119" s="53"/>
      <c r="G119" s="53"/>
      <c r="H119" s="118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</row>
    <row r="120" spans="4:21" x14ac:dyDescent="0.3">
      <c r="D120" s="69"/>
      <c r="E120" s="54"/>
      <c r="F120" s="54"/>
      <c r="G120" s="54"/>
      <c r="H120" s="119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</row>
    <row r="121" spans="4:21" x14ac:dyDescent="0.3">
      <c r="D121" s="62"/>
      <c r="E121" s="53"/>
      <c r="F121" s="53"/>
      <c r="G121" s="53"/>
      <c r="H121" s="118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</row>
    <row r="122" spans="4:21" x14ac:dyDescent="0.3">
      <c r="D122" s="69"/>
      <c r="E122" s="54"/>
      <c r="F122" s="54"/>
      <c r="G122" s="54"/>
      <c r="H122" s="119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</row>
    <row r="123" spans="4:21" x14ac:dyDescent="0.3">
      <c r="D123" s="62"/>
      <c r="E123" s="53"/>
      <c r="F123" s="53"/>
      <c r="G123" s="53"/>
      <c r="H123" s="118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</row>
    <row r="124" spans="4:21" x14ac:dyDescent="0.3">
      <c r="D124" s="69"/>
      <c r="E124" s="54"/>
      <c r="F124" s="54"/>
      <c r="G124" s="54"/>
      <c r="H124" s="119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</row>
    <row r="125" spans="4:21" x14ac:dyDescent="0.3">
      <c r="D125" s="62"/>
      <c r="E125" s="53"/>
      <c r="F125" s="53"/>
      <c r="G125" s="53"/>
      <c r="H125" s="118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</row>
    <row r="126" spans="4:21" x14ac:dyDescent="0.3">
      <c r="D126" s="69"/>
      <c r="E126" s="54"/>
      <c r="F126" s="54"/>
      <c r="G126" s="54"/>
      <c r="H126" s="119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</row>
    <row r="127" spans="4:21" x14ac:dyDescent="0.3">
      <c r="D127" s="62"/>
      <c r="E127" s="53"/>
      <c r="F127" s="53"/>
      <c r="G127" s="53"/>
      <c r="H127" s="118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</row>
    <row r="128" spans="4:21" x14ac:dyDescent="0.3">
      <c r="D128" s="69"/>
      <c r="E128" s="54"/>
      <c r="F128" s="54"/>
      <c r="G128" s="54"/>
      <c r="H128" s="119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</row>
    <row r="129" spans="4:21" x14ac:dyDescent="0.3">
      <c r="D129" s="62"/>
      <c r="E129" s="53"/>
      <c r="F129" s="53"/>
      <c r="G129" s="53"/>
      <c r="H129" s="118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</row>
    <row r="130" spans="4:21" x14ac:dyDescent="0.3">
      <c r="D130" s="69"/>
      <c r="E130" s="54"/>
      <c r="F130" s="54"/>
      <c r="G130" s="54"/>
      <c r="H130" s="119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</row>
    <row r="131" spans="4:21" x14ac:dyDescent="0.3">
      <c r="D131" s="62"/>
      <c r="E131" s="53"/>
      <c r="F131" s="53"/>
      <c r="G131" s="53"/>
      <c r="H131" s="118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</row>
    <row r="132" spans="4:21" x14ac:dyDescent="0.3">
      <c r="D132" s="69"/>
      <c r="E132" s="54"/>
      <c r="F132" s="54"/>
      <c r="G132" s="54"/>
      <c r="H132" s="119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</row>
    <row r="133" spans="4:21" x14ac:dyDescent="0.3">
      <c r="D133" s="62"/>
      <c r="E133" s="53"/>
      <c r="F133" s="53"/>
      <c r="G133" s="53"/>
      <c r="H133" s="118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</row>
    <row r="134" spans="4:21" x14ac:dyDescent="0.3">
      <c r="D134" s="69"/>
      <c r="E134" s="54"/>
      <c r="F134" s="54"/>
      <c r="G134" s="54"/>
      <c r="H134" s="119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</row>
    <row r="135" spans="4:21" x14ac:dyDescent="0.3">
      <c r="D135" s="62"/>
      <c r="E135" s="53"/>
      <c r="F135" s="53"/>
      <c r="G135" s="53"/>
      <c r="H135" s="118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</row>
    <row r="136" spans="4:21" x14ac:dyDescent="0.3">
      <c r="D136" s="69"/>
      <c r="E136" s="54"/>
      <c r="F136" s="54"/>
      <c r="G136" s="54"/>
      <c r="H136" s="119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</row>
    <row r="137" spans="4:21" x14ac:dyDescent="0.3">
      <c r="D137" s="62"/>
      <c r="E137" s="53"/>
      <c r="F137" s="53"/>
      <c r="G137" s="53"/>
      <c r="H137" s="118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</row>
    <row r="138" spans="4:21" x14ac:dyDescent="0.3">
      <c r="D138" s="69"/>
      <c r="E138" s="54"/>
      <c r="F138" s="54"/>
      <c r="G138" s="54"/>
      <c r="H138" s="119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</row>
    <row r="139" spans="4:21" x14ac:dyDescent="0.3">
      <c r="D139" s="62"/>
      <c r="E139" s="53"/>
      <c r="F139" s="53"/>
      <c r="G139" s="53"/>
      <c r="H139" s="118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</row>
    <row r="140" spans="4:21" x14ac:dyDescent="0.3">
      <c r="D140" s="69"/>
      <c r="E140" s="54"/>
      <c r="F140" s="54"/>
      <c r="G140" s="54"/>
      <c r="H140" s="119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</row>
    <row r="141" spans="4:21" x14ac:dyDescent="0.3">
      <c r="D141" s="62"/>
      <c r="E141" s="53"/>
      <c r="F141" s="53"/>
      <c r="G141" s="53"/>
      <c r="H141" s="118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</row>
    <row r="142" spans="4:21" x14ac:dyDescent="0.3">
      <c r="D142" s="69"/>
      <c r="E142" s="54"/>
      <c r="F142" s="54"/>
      <c r="G142" s="54"/>
      <c r="H142" s="119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</row>
    <row r="143" spans="4:21" x14ac:dyDescent="0.3">
      <c r="D143" s="62"/>
      <c r="E143" s="53"/>
      <c r="F143" s="53"/>
      <c r="G143" s="53"/>
      <c r="H143" s="118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</row>
    <row r="144" spans="4:21" x14ac:dyDescent="0.3">
      <c r="D144" s="69"/>
      <c r="E144" s="54"/>
      <c r="F144" s="54"/>
      <c r="G144" s="54"/>
      <c r="H144" s="119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</row>
    <row r="145" spans="4:21" x14ac:dyDescent="0.3">
      <c r="D145" s="62"/>
      <c r="E145" s="53"/>
      <c r="F145" s="53"/>
      <c r="G145" s="53"/>
      <c r="H145" s="118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</row>
    <row r="146" spans="4:21" x14ac:dyDescent="0.3">
      <c r="D146" s="69"/>
      <c r="E146" s="54"/>
      <c r="F146" s="54"/>
      <c r="G146" s="54"/>
      <c r="H146" s="119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</row>
    <row r="147" spans="4:21" x14ac:dyDescent="0.3">
      <c r="D147" s="62"/>
      <c r="E147" s="53"/>
      <c r="F147" s="53"/>
      <c r="G147" s="53"/>
      <c r="H147" s="118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</row>
    <row r="148" spans="4:21" x14ac:dyDescent="0.3">
      <c r="D148" s="69"/>
      <c r="E148" s="54"/>
      <c r="F148" s="54"/>
      <c r="G148" s="54"/>
      <c r="H148" s="119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</row>
    <row r="149" spans="4:21" x14ac:dyDescent="0.3">
      <c r="D149" s="62"/>
      <c r="E149" s="53"/>
      <c r="F149" s="53"/>
      <c r="G149" s="53"/>
      <c r="H149" s="118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</row>
    <row r="150" spans="4:21" x14ac:dyDescent="0.3">
      <c r="D150" s="69"/>
      <c r="E150" s="54"/>
      <c r="F150" s="54"/>
      <c r="G150" s="54"/>
      <c r="H150" s="119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</row>
    <row r="151" spans="4:21" x14ac:dyDescent="0.3">
      <c r="D151" s="62"/>
      <c r="E151" s="53"/>
      <c r="F151" s="53"/>
      <c r="G151" s="53"/>
      <c r="H151" s="118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</row>
    <row r="152" spans="4:21" x14ac:dyDescent="0.3">
      <c r="D152" s="69"/>
      <c r="E152" s="54"/>
      <c r="F152" s="54"/>
      <c r="G152" s="54"/>
      <c r="H152" s="119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</row>
    <row r="153" spans="4:21" x14ac:dyDescent="0.3">
      <c r="D153" s="62"/>
      <c r="E153" s="53"/>
      <c r="F153" s="53"/>
      <c r="G153" s="53"/>
      <c r="H153" s="118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</row>
    <row r="154" spans="4:21" x14ac:dyDescent="0.3">
      <c r="D154" s="69"/>
      <c r="E154" s="54"/>
      <c r="F154" s="54"/>
      <c r="G154" s="54"/>
      <c r="H154" s="119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</row>
    <row r="155" spans="4:21" x14ac:dyDescent="0.3">
      <c r="D155" s="62"/>
      <c r="E155" s="53"/>
      <c r="F155" s="53"/>
      <c r="G155" s="53"/>
      <c r="H155" s="118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</row>
    <row r="156" spans="4:21" x14ac:dyDescent="0.3">
      <c r="D156" s="69"/>
      <c r="E156" s="54"/>
      <c r="F156" s="54"/>
      <c r="G156" s="54"/>
      <c r="H156" s="119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</row>
    <row r="157" spans="4:21" x14ac:dyDescent="0.3">
      <c r="D157" s="62"/>
      <c r="E157" s="53"/>
      <c r="F157" s="53"/>
      <c r="G157" s="53"/>
      <c r="H157" s="118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</row>
    <row r="158" spans="4:21" x14ac:dyDescent="0.3">
      <c r="D158" s="69"/>
      <c r="E158" s="54"/>
      <c r="F158" s="54"/>
      <c r="G158" s="54"/>
      <c r="H158" s="119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</row>
    <row r="159" spans="4:21" x14ac:dyDescent="0.3">
      <c r="D159" s="62"/>
      <c r="E159" s="53"/>
      <c r="F159" s="53"/>
      <c r="G159" s="53"/>
      <c r="H159" s="118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</row>
    <row r="160" spans="4:21" x14ac:dyDescent="0.3">
      <c r="D160" s="69"/>
      <c r="E160" s="54"/>
      <c r="F160" s="54"/>
      <c r="G160" s="54"/>
      <c r="H160" s="119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</row>
    <row r="161" spans="4:21" x14ac:dyDescent="0.3">
      <c r="D161" s="62"/>
      <c r="E161" s="53"/>
      <c r="F161" s="53"/>
      <c r="G161" s="53"/>
      <c r="H161" s="118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</row>
    <row r="162" spans="4:21" x14ac:dyDescent="0.3">
      <c r="D162" s="69"/>
      <c r="E162" s="54"/>
      <c r="F162" s="54"/>
      <c r="G162" s="54"/>
      <c r="H162" s="119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</row>
    <row r="163" spans="4:21" x14ac:dyDescent="0.3">
      <c r="D163" s="62"/>
      <c r="E163" s="53"/>
      <c r="F163" s="53"/>
      <c r="G163" s="53"/>
      <c r="H163" s="118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</row>
    <row r="164" spans="4:21" x14ac:dyDescent="0.3">
      <c r="D164" s="69"/>
      <c r="E164" s="54"/>
      <c r="F164" s="54"/>
      <c r="G164" s="54"/>
      <c r="H164" s="119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</row>
    <row r="165" spans="4:21" x14ac:dyDescent="0.3">
      <c r="D165" s="62"/>
      <c r="E165" s="53"/>
      <c r="F165" s="53"/>
      <c r="G165" s="53"/>
      <c r="H165" s="118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</row>
    <row r="166" spans="4:21" x14ac:dyDescent="0.3">
      <c r="D166" s="69"/>
      <c r="E166" s="54"/>
      <c r="F166" s="54"/>
      <c r="G166" s="54"/>
      <c r="H166" s="119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</row>
    <row r="167" spans="4:21" x14ac:dyDescent="0.3">
      <c r="D167" s="62"/>
      <c r="E167" s="53"/>
      <c r="F167" s="53"/>
      <c r="G167" s="53"/>
      <c r="H167" s="118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</row>
    <row r="168" spans="4:21" x14ac:dyDescent="0.3">
      <c r="D168" s="69"/>
      <c r="E168" s="54"/>
      <c r="F168" s="54"/>
      <c r="G168" s="54"/>
      <c r="H168" s="119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</row>
    <row r="169" spans="4:21" x14ac:dyDescent="0.3">
      <c r="D169" s="62"/>
      <c r="E169" s="53"/>
      <c r="F169" s="53"/>
      <c r="G169" s="53"/>
      <c r="H169" s="118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</row>
    <row r="170" spans="4:21" x14ac:dyDescent="0.3">
      <c r="D170" s="69"/>
      <c r="E170" s="54"/>
      <c r="F170" s="54"/>
      <c r="G170" s="54"/>
      <c r="H170" s="119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</row>
    <row r="171" spans="4:21" x14ac:dyDescent="0.3">
      <c r="D171" s="62"/>
      <c r="E171" s="53"/>
      <c r="F171" s="53"/>
      <c r="G171" s="53"/>
      <c r="H171" s="118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</row>
    <row r="172" spans="4:21" x14ac:dyDescent="0.3">
      <c r="D172" s="69"/>
      <c r="E172" s="54"/>
      <c r="F172" s="54"/>
      <c r="G172" s="54"/>
      <c r="H172" s="119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</row>
    <row r="173" spans="4:21" x14ac:dyDescent="0.3">
      <c r="D173" s="62"/>
      <c r="E173" s="53"/>
      <c r="F173" s="53"/>
      <c r="G173" s="53"/>
      <c r="H173" s="118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</row>
    <row r="174" spans="4:21" x14ac:dyDescent="0.3">
      <c r="D174" s="69"/>
      <c r="E174" s="54"/>
      <c r="F174" s="54"/>
      <c r="G174" s="54"/>
      <c r="H174" s="119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</row>
    <row r="175" spans="4:21" x14ac:dyDescent="0.3">
      <c r="D175" s="62"/>
      <c r="E175" s="53"/>
      <c r="F175" s="53"/>
      <c r="G175" s="53"/>
      <c r="H175" s="118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</row>
    <row r="176" spans="4:21" x14ac:dyDescent="0.3">
      <c r="D176" s="69"/>
      <c r="E176" s="54"/>
      <c r="F176" s="54"/>
      <c r="G176" s="54"/>
      <c r="H176" s="119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</row>
    <row r="177" spans="4:21" x14ac:dyDescent="0.3">
      <c r="D177" s="62"/>
      <c r="E177" s="53"/>
      <c r="F177" s="53"/>
      <c r="G177" s="53"/>
      <c r="H177" s="118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</row>
    <row r="178" spans="4:21" x14ac:dyDescent="0.3">
      <c r="D178" s="69"/>
      <c r="E178" s="54"/>
      <c r="F178" s="54"/>
      <c r="G178" s="54"/>
      <c r="H178" s="119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</row>
    <row r="179" spans="4:21" x14ac:dyDescent="0.3">
      <c r="D179" s="62"/>
      <c r="E179" s="53"/>
      <c r="F179" s="53"/>
      <c r="G179" s="53"/>
      <c r="H179" s="118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</row>
    <row r="180" spans="4:21" x14ac:dyDescent="0.3">
      <c r="D180" s="69"/>
      <c r="E180" s="54"/>
      <c r="F180" s="54"/>
      <c r="G180" s="54"/>
      <c r="H180" s="119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</row>
    <row r="181" spans="4:21" x14ac:dyDescent="0.3">
      <c r="D181" s="62"/>
      <c r="E181" s="53"/>
      <c r="F181" s="53"/>
      <c r="G181" s="53"/>
      <c r="H181" s="118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</row>
    <row r="182" spans="4:21" x14ac:dyDescent="0.3">
      <c r="D182" s="69"/>
      <c r="E182" s="54"/>
      <c r="F182" s="54"/>
      <c r="G182" s="54"/>
      <c r="H182" s="119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</row>
    <row r="183" spans="4:21" x14ac:dyDescent="0.3">
      <c r="D183" s="62"/>
      <c r="E183" s="53"/>
      <c r="F183" s="53"/>
      <c r="G183" s="53"/>
      <c r="H183" s="118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</row>
    <row r="184" spans="4:21" x14ac:dyDescent="0.3">
      <c r="D184" s="69"/>
      <c r="E184" s="54"/>
      <c r="F184" s="54"/>
      <c r="G184" s="54"/>
      <c r="H184" s="119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</row>
    <row r="185" spans="4:21" x14ac:dyDescent="0.3">
      <c r="D185" s="62"/>
      <c r="E185" s="53"/>
      <c r="F185" s="53"/>
      <c r="G185" s="53"/>
      <c r="H185" s="118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</row>
    <row r="186" spans="4:21" x14ac:dyDescent="0.3">
      <c r="D186" s="69"/>
      <c r="E186" s="54"/>
      <c r="F186" s="54"/>
      <c r="G186" s="54"/>
      <c r="H186" s="119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</row>
    <row r="187" spans="4:21" x14ac:dyDescent="0.3">
      <c r="D187" s="62"/>
      <c r="E187" s="53"/>
      <c r="F187" s="53"/>
      <c r="G187" s="53"/>
      <c r="H187" s="118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</row>
    <row r="188" spans="4:21" x14ac:dyDescent="0.3">
      <c r="D188" s="69"/>
      <c r="E188" s="54"/>
      <c r="F188" s="54"/>
      <c r="G188" s="54"/>
      <c r="H188" s="119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</row>
    <row r="189" spans="4:21" x14ac:dyDescent="0.3">
      <c r="D189" s="62"/>
      <c r="E189" s="53"/>
      <c r="F189" s="53"/>
      <c r="G189" s="53"/>
      <c r="H189" s="118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</row>
    <row r="190" spans="4:21" x14ac:dyDescent="0.3">
      <c r="D190" s="69"/>
      <c r="E190" s="54"/>
      <c r="F190" s="54"/>
      <c r="G190" s="54"/>
      <c r="H190" s="119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</row>
    <row r="191" spans="4:21" x14ac:dyDescent="0.3">
      <c r="D191" s="62"/>
      <c r="E191" s="53"/>
      <c r="F191" s="53"/>
      <c r="G191" s="53"/>
      <c r="H191" s="118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</row>
    <row r="192" spans="4:21" x14ac:dyDescent="0.3">
      <c r="D192" s="69"/>
      <c r="E192" s="54"/>
      <c r="F192" s="54"/>
      <c r="G192" s="54"/>
      <c r="H192" s="119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</row>
    <row r="193" spans="4:21" x14ac:dyDescent="0.3">
      <c r="D193" s="62"/>
      <c r="E193" s="53"/>
      <c r="F193" s="53"/>
      <c r="G193" s="53"/>
      <c r="H193" s="118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</row>
    <row r="194" spans="4:21" x14ac:dyDescent="0.3">
      <c r="D194" s="69"/>
      <c r="E194" s="54"/>
      <c r="F194" s="54"/>
      <c r="G194" s="54"/>
      <c r="H194" s="119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</row>
    <row r="195" spans="4:21" x14ac:dyDescent="0.3">
      <c r="D195" s="62"/>
      <c r="E195" s="53"/>
      <c r="F195" s="53"/>
      <c r="G195" s="53"/>
      <c r="H195" s="118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</row>
    <row r="196" spans="4:21" x14ac:dyDescent="0.3">
      <c r="D196" s="69"/>
      <c r="E196" s="54"/>
      <c r="F196" s="54"/>
      <c r="G196" s="54"/>
      <c r="H196" s="119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</row>
    <row r="197" spans="4:21" x14ac:dyDescent="0.3">
      <c r="D197" s="62"/>
      <c r="E197" s="53"/>
      <c r="F197" s="53"/>
      <c r="G197" s="53"/>
      <c r="H197" s="118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</row>
    <row r="198" spans="4:21" x14ac:dyDescent="0.3">
      <c r="D198" s="69"/>
      <c r="E198" s="54"/>
      <c r="F198" s="54"/>
      <c r="G198" s="54"/>
      <c r="H198" s="119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</row>
    <row r="199" spans="4:21" x14ac:dyDescent="0.3">
      <c r="D199" s="62"/>
      <c r="E199" s="53"/>
      <c r="F199" s="53"/>
      <c r="G199" s="53"/>
      <c r="H199" s="118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</row>
    <row r="200" spans="4:21" x14ac:dyDescent="0.3">
      <c r="D200" s="83"/>
      <c r="E200" s="52"/>
      <c r="F200" s="52"/>
      <c r="G200" s="52"/>
      <c r="H200" s="120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4:21" x14ac:dyDescent="0.3"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</row>
    <row r="202" spans="4:21" x14ac:dyDescent="0.3">
      <c r="D202" s="79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</row>
  </sheetData>
  <mergeCells count="13">
    <mergeCell ref="P1:R1"/>
    <mergeCell ref="A18:B18"/>
    <mergeCell ref="A12:B12"/>
    <mergeCell ref="A13:B13"/>
    <mergeCell ref="A14:B14"/>
    <mergeCell ref="A15:B15"/>
    <mergeCell ref="A16:B16"/>
    <mergeCell ref="A17:B17"/>
    <mergeCell ref="A6:B6"/>
    <mergeCell ref="A1:B1"/>
    <mergeCell ref="D1:F1"/>
    <mergeCell ref="H1:J1"/>
    <mergeCell ref="M1:O1"/>
  </mergeCells>
  <dataValidations count="2">
    <dataValidation type="list" allowBlank="1" showInputMessage="1" showErrorMessage="1" sqref="B7" xr:uid="{77814C35-1EDC-4BFE-9D00-1620CEC47416}">
      <formula1>"All,January,February,March,April,May,June,July,August,September,October,November,December"</formula1>
    </dataValidation>
    <dataValidation type="custom" allowBlank="1" showInputMessage="1" showErrorMessage="1" errorTitle="invalid number entered" error="Please enter a number with 10 digits" sqref="I3:I14" xr:uid="{CDB0042C-790E-47A0-AF82-AB5683214B69}">
      <formula1>AND(LEN(I3)=10,ISNUMBER(--I3))</formula1>
    </dataValidation>
  </dataValidations>
  <hyperlinks>
    <hyperlink ref="A13" location="Home!A1" display="Home" xr:uid="{2FEEF086-13BC-46CE-9028-C42BA2950C80}"/>
    <hyperlink ref="A14:B14" location="Enrollment!A1" display="Enrollment" xr:uid="{0112C708-B0A8-40AF-981F-25EA4419285B}"/>
    <hyperlink ref="A15:B15" location="Attendance!A1" display="Attendance" xr:uid="{D37E0223-15CF-4FBC-8269-32C53567AA2E}"/>
    <hyperlink ref="A16:B16" location="Teachers!A1" display="Teachers" xr:uid="{A0623C98-A144-4D70-B50F-A66E6D1FA869}"/>
    <hyperlink ref="A17:B17" location="Classes!A1" display="Classes" xr:uid="{AACC37A0-CC15-4C88-B21E-E38E0E408E4C}"/>
    <hyperlink ref="A18:B18" location="Monthly_Report!A1" display="Monthly report" xr:uid="{79A58406-71AC-4108-A6DD-B0FDE3470BD2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1954896-3889-4293-BCD1-868CFA7F3F35}">
          <x14:formula1>
            <xm:f>Classes!$A$3:$A$23</xm:f>
          </x14:formula1>
          <xm:sqref>F3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3256B-294F-4420-88EC-3DDDE633DDDC}">
  <sheetPr codeName="Sheet14"/>
  <dimension ref="A1:H149"/>
  <sheetViews>
    <sheetView workbookViewId="0">
      <selection activeCell="E12" sqref="E12"/>
    </sheetView>
  </sheetViews>
  <sheetFormatPr defaultRowHeight="14.4" x14ac:dyDescent="0.3"/>
  <cols>
    <col min="1" max="1" width="15.44140625" customWidth="1"/>
    <col min="2" max="2" width="18.5546875" style="27" customWidth="1"/>
    <col min="3" max="3" width="19.6640625" customWidth="1"/>
    <col min="4" max="4" width="14.44140625" style="257" customWidth="1"/>
    <col min="5" max="5" width="17.44140625" customWidth="1"/>
    <col min="6" max="6" width="14.109375" customWidth="1"/>
    <col min="7" max="7" width="17.77734375" customWidth="1"/>
    <col min="8" max="8" width="31.33203125" customWidth="1"/>
    <col min="9" max="13" width="13.88671875" customWidth="1"/>
    <col min="14" max="14" width="24.88671875" customWidth="1"/>
  </cols>
  <sheetData>
    <row r="1" spans="1:8" ht="21" customHeight="1" x14ac:dyDescent="0.3">
      <c r="A1" s="306" t="str">
        <f>Teachers!B2</f>
        <v>Ramin Rezaiee</v>
      </c>
      <c r="B1" s="306"/>
      <c r="C1" s="306"/>
      <c r="D1" s="306"/>
      <c r="E1" s="306"/>
      <c r="F1" s="306"/>
      <c r="G1" s="306"/>
      <c r="H1" s="306"/>
    </row>
    <row r="2" spans="1:8" ht="17.399999999999999" customHeight="1" x14ac:dyDescent="0.3">
      <c r="A2" s="244" t="s">
        <v>42</v>
      </c>
      <c r="B2" s="260" t="s">
        <v>43</v>
      </c>
      <c r="C2" s="247" t="s">
        <v>263</v>
      </c>
      <c r="D2" s="258" t="s">
        <v>29</v>
      </c>
      <c r="E2" s="248" t="s">
        <v>44</v>
      </c>
      <c r="F2" s="248" t="s">
        <v>158</v>
      </c>
      <c r="G2" s="249" t="s">
        <v>159</v>
      </c>
      <c r="H2" s="245" t="s">
        <v>7</v>
      </c>
    </row>
    <row r="3" spans="1:8" ht="15.6" customHeight="1" x14ac:dyDescent="0.3">
      <c r="A3" s="190" t="s">
        <v>100</v>
      </c>
      <c r="B3" s="277">
        <f>COUNTIFS(enrollment_table[*Teacher Name], Teacher_Salary!$A$1, enrollment_table[Enrollment Month], raminSalary_table[[#This Row],[Month]])</f>
        <v>0</v>
      </c>
      <c r="C3" s="250">
        <f>SUMIFS(enrollment_table[Fee], enrollment_table[*Teacher Name], Teacher_Salary!$A$1, enrollment_table[Enrollment Month], raminSalary_table[[#This Row],[Month]])</f>
        <v>0</v>
      </c>
      <c r="D3" s="255">
        <f>_xlfn.XLOOKUP(Teacher_Salary!$A$1, teachers_table[*Teacher Name], teachers_table[*Income Rate])</f>
        <v>0.9</v>
      </c>
      <c r="E3" s="250">
        <f>raminSalary_table[[#This Row],[Income Rate]]*raminSalary_table[[#This Row],[Student Payments]]</f>
        <v>0</v>
      </c>
      <c r="F3" s="252" t="s">
        <v>51</v>
      </c>
      <c r="G3" s="252"/>
      <c r="H3" s="67"/>
    </row>
    <row r="4" spans="1:8" x14ac:dyDescent="0.3">
      <c r="A4" s="191" t="s">
        <v>108</v>
      </c>
      <c r="B4" s="278">
        <f>COUNTIFS(enrollment_table[*Teacher Name], Teacher_Salary!$A$1, enrollment_table[Enrollment Month], raminSalary_table[[#This Row],[Month]])</f>
        <v>0</v>
      </c>
      <c r="C4" s="246">
        <f>SUMIFS(enrollment_table[Fee], enrollment_table[*Teacher Name], Teacher_Salary!$A$1, enrollment_table[Enrollment Month], raminSalary_table[[#This Row],[Month]])</f>
        <v>0</v>
      </c>
      <c r="D4" s="256">
        <f>_xlfn.XLOOKUP(Teacher_Salary!$A$1, teachers_table[*Teacher Name], teachers_table[*Income Rate])</f>
        <v>0.9</v>
      </c>
      <c r="E4" s="171">
        <f>raminSalary_table[[#This Row],[Income Rate]]*raminSalary_table[[#This Row],[Student Payments]]</f>
        <v>0</v>
      </c>
      <c r="F4" s="174"/>
      <c r="G4" s="174"/>
      <c r="H4" s="92"/>
    </row>
    <row r="5" spans="1:8" x14ac:dyDescent="0.3">
      <c r="A5" s="109" t="s">
        <v>99</v>
      </c>
      <c r="B5" s="279">
        <f>COUNTIFS(enrollment_table[*Teacher Name], Teacher_Salary!$A$1, enrollment_table[Enrollment Month], raminSalary_table[[#This Row],[Month]])</f>
        <v>0</v>
      </c>
      <c r="C5" s="250">
        <f>SUMIFS(enrollment_table[Fee], enrollment_table[*Teacher Name], Teacher_Salary!$A$1, enrollment_table[Enrollment Month], raminSalary_table[[#This Row],[Month]])</f>
        <v>0</v>
      </c>
      <c r="D5" s="255">
        <f>_xlfn.XLOOKUP(Teacher_Salary!$A$1, teachers_table[*Teacher Name], teachers_table[*Income Rate])</f>
        <v>0.9</v>
      </c>
      <c r="E5" s="253">
        <f>raminSalary_table[[#This Row],[Income Rate]]*raminSalary_table[[#This Row],[Student Payments]]</f>
        <v>0</v>
      </c>
      <c r="F5" s="254"/>
      <c r="G5" s="254"/>
      <c r="H5" s="91"/>
    </row>
    <row r="6" spans="1:8" x14ac:dyDescent="0.3">
      <c r="A6" s="191" t="s">
        <v>109</v>
      </c>
      <c r="B6" s="278">
        <f>COUNTIFS(enrollment_table[*Teacher Name], Teacher_Salary!$A$1, enrollment_table[Enrollment Month], raminSalary_table[[#This Row],[Month]])</f>
        <v>0</v>
      </c>
      <c r="C6" s="246">
        <f>SUMIFS(enrollment_table[Fee], enrollment_table[*Teacher Name], Teacher_Salary!$A$1, enrollment_table[Enrollment Month], raminSalary_table[[#This Row],[Month]])</f>
        <v>0</v>
      </c>
      <c r="D6" s="256">
        <f>_xlfn.XLOOKUP(Teacher_Salary!$A$1, teachers_table[*Teacher Name], teachers_table[*Income Rate])</f>
        <v>0.9</v>
      </c>
      <c r="E6" s="171">
        <f>raminSalary_table[[#This Row],[Income Rate]]*raminSalary_table[[#This Row],[Student Payments]]</f>
        <v>0</v>
      </c>
      <c r="F6" s="174"/>
      <c r="G6" s="174"/>
      <c r="H6" s="92"/>
    </row>
    <row r="7" spans="1:8" x14ac:dyDescent="0.3">
      <c r="A7" s="109" t="s">
        <v>39</v>
      </c>
      <c r="B7" s="279">
        <f>COUNTIFS(enrollment_table[*Teacher Name], Teacher_Salary!$A$1, enrollment_table[Enrollment Month], raminSalary_table[[#This Row],[Month]])</f>
        <v>0</v>
      </c>
      <c r="C7" s="259">
        <f>SUMIFS(enrollment_table[Fee], enrollment_table[*Teacher Name], Teacher_Salary!$A$1, enrollment_table[Enrollment Month], raminSalary_table[[#This Row],[Month]])</f>
        <v>0</v>
      </c>
      <c r="D7" s="255">
        <f>_xlfn.XLOOKUP(Teacher_Salary!$A$1, teachers_table[*Teacher Name], teachers_table[*Income Rate])</f>
        <v>0.9</v>
      </c>
      <c r="E7" s="253">
        <f>raminSalary_table[[#This Row],[Income Rate]]*raminSalary_table[[#This Row],[Student Payments]]</f>
        <v>0</v>
      </c>
      <c r="F7" s="254"/>
      <c r="G7" s="254"/>
      <c r="H7" s="91"/>
    </row>
    <row r="8" spans="1:8" x14ac:dyDescent="0.3">
      <c r="A8" s="191" t="s">
        <v>110</v>
      </c>
      <c r="B8" s="278">
        <f>COUNTIFS(enrollment_table[*Teacher Name], Teacher_Salary!$A$1, enrollment_table[Enrollment Month], raminSalary_table[[#This Row],[Month]])</f>
        <v>0</v>
      </c>
      <c r="C8" s="246">
        <f>SUMIFS(enrollment_table[Fee], enrollment_table[*Teacher Name], Teacher_Salary!$A$1, enrollment_table[Enrollment Month], raminSalary_table[[#This Row],[Month]])</f>
        <v>0</v>
      </c>
      <c r="D8" s="256">
        <f>_xlfn.XLOOKUP(Teacher_Salary!$A$1, teachers_table[*Teacher Name], teachers_table[*Income Rate])</f>
        <v>0.9</v>
      </c>
      <c r="E8" s="171">
        <f>raminSalary_table[[#This Row],[Income Rate]]*raminSalary_table[[#This Row],[Student Payments]]</f>
        <v>0</v>
      </c>
      <c r="F8" s="174"/>
      <c r="G8" s="174"/>
      <c r="H8" s="92"/>
    </row>
    <row r="9" spans="1:8" x14ac:dyDescent="0.3">
      <c r="A9" s="109" t="s">
        <v>111</v>
      </c>
      <c r="B9" s="279">
        <f>COUNTIFS(enrollment_table[*Teacher Name], Teacher_Salary!$A$1, enrollment_table[Enrollment Month], raminSalary_table[[#This Row],[Month]])</f>
        <v>0</v>
      </c>
      <c r="C9" s="250">
        <f>SUMIFS(enrollment_table[Fee], enrollment_table[*Teacher Name], Teacher_Salary!$A$1, enrollment_table[Enrollment Month], raminSalary_table[[#This Row],[Month]])</f>
        <v>0</v>
      </c>
      <c r="D9" s="255">
        <f>_xlfn.XLOOKUP(Teacher_Salary!$A$1, teachers_table[*Teacher Name], teachers_table[*Income Rate])</f>
        <v>0.9</v>
      </c>
      <c r="E9" s="253">
        <f>raminSalary_table[[#This Row],[Income Rate]]*raminSalary_table[[#This Row],[Student Payments]]</f>
        <v>0</v>
      </c>
      <c r="F9" s="254"/>
      <c r="G9" s="254"/>
      <c r="H9" s="91"/>
    </row>
    <row r="10" spans="1:8" x14ac:dyDescent="0.3">
      <c r="A10" s="191" t="s">
        <v>112</v>
      </c>
      <c r="B10" s="278">
        <f>COUNTIFS(enrollment_table[*Teacher Name], Teacher_Salary!$A$1, enrollment_table[Enrollment Month], raminSalary_table[[#This Row],[Month]])</f>
        <v>0</v>
      </c>
      <c r="C10" s="246">
        <f>SUMIFS(enrollment_table[Fee], enrollment_table[*Teacher Name], Teacher_Salary!$A$1, enrollment_table[Enrollment Month], raminSalary_table[[#This Row],[Month]])</f>
        <v>0</v>
      </c>
      <c r="D10" s="256">
        <f>_xlfn.XLOOKUP(Teacher_Salary!$A$1, teachers_table[*Teacher Name], teachers_table[*Income Rate])</f>
        <v>0.9</v>
      </c>
      <c r="E10" s="171">
        <f>raminSalary_table[[#This Row],[Income Rate]]*raminSalary_table[[#This Row],[Student Payments]]</f>
        <v>0</v>
      </c>
      <c r="F10" s="174"/>
      <c r="G10" s="174"/>
      <c r="H10" s="92"/>
    </row>
    <row r="11" spans="1:8" x14ac:dyDescent="0.3">
      <c r="A11" s="109" t="s">
        <v>113</v>
      </c>
      <c r="B11" s="279">
        <f>COUNTIFS(enrollment_table[*Teacher Name], Teacher_Salary!$A$1, enrollment_table[Enrollment Month], raminSalary_table[[#This Row],[Month]])</f>
        <v>3</v>
      </c>
      <c r="C11" s="250">
        <f>SUMIFS(enrollment_table[Fee], enrollment_table[*Teacher Name], Teacher_Salary!$A$1, enrollment_table[Enrollment Month], raminSalary_table[[#This Row],[Month]])</f>
        <v>3000</v>
      </c>
      <c r="D11" s="255">
        <f>_xlfn.XLOOKUP(Teacher_Salary!$A$1, teachers_table[*Teacher Name], teachers_table[*Income Rate])</f>
        <v>0.9</v>
      </c>
      <c r="E11" s="253">
        <f>raminSalary_table[[#This Row],[Income Rate]]*raminSalary_table[[#This Row],[Student Payments]]</f>
        <v>2700</v>
      </c>
      <c r="F11" s="254"/>
      <c r="G11" s="254"/>
      <c r="H11" s="91"/>
    </row>
    <row r="12" spans="1:8" x14ac:dyDescent="0.3">
      <c r="A12" s="191" t="s">
        <v>114</v>
      </c>
      <c r="B12" s="278">
        <f>COUNTIFS(enrollment_table[*Teacher Name], Teacher_Salary!$A$1, enrollment_table[Enrollment Month], raminSalary_table[[#This Row],[Month]])</f>
        <v>0</v>
      </c>
      <c r="C12" s="246">
        <f>SUMIFS(enrollment_table[Fee], enrollment_table[*Teacher Name], Teacher_Salary!$A$1, enrollment_table[Enrollment Month], raminSalary_table[[#This Row],[Month]])</f>
        <v>0</v>
      </c>
      <c r="D12" s="256">
        <f>_xlfn.XLOOKUP(Teacher_Salary!$A$1, teachers_table[*Teacher Name], teachers_table[*Income Rate])</f>
        <v>0.9</v>
      </c>
      <c r="E12" s="171">
        <f>raminSalary_table[[#This Row],[Income Rate]]*raminSalary_table[[#This Row],[Student Payments]]</f>
        <v>0</v>
      </c>
      <c r="F12" s="174"/>
      <c r="G12" s="174"/>
      <c r="H12" s="92"/>
    </row>
    <row r="13" spans="1:8" x14ac:dyDescent="0.3">
      <c r="A13" s="109" t="s">
        <v>115</v>
      </c>
      <c r="B13" s="279">
        <f>COUNTIFS(enrollment_table[*Teacher Name], Teacher_Salary!$A$1, enrollment_table[Enrollment Month], raminSalary_table[[#This Row],[Month]])</f>
        <v>0</v>
      </c>
      <c r="C13" s="250">
        <f>SUMIFS(enrollment_table[Fee], enrollment_table[*Teacher Name], Teacher_Salary!$A$1, enrollment_table[Enrollment Month], raminSalary_table[[#This Row],[Month]])</f>
        <v>0</v>
      </c>
      <c r="D13" s="255">
        <f>_xlfn.XLOOKUP(Teacher_Salary!$A$1, teachers_table[*Teacher Name], teachers_table[*Income Rate])</f>
        <v>0.9</v>
      </c>
      <c r="E13" s="253">
        <f>raminSalary_table[[#This Row],[Income Rate]]*raminSalary_table[[#This Row],[Student Payments]]</f>
        <v>0</v>
      </c>
      <c r="F13" s="254"/>
      <c r="G13" s="254"/>
      <c r="H13" s="91"/>
    </row>
    <row r="14" spans="1:8" x14ac:dyDescent="0.3">
      <c r="A14" s="191" t="s">
        <v>116</v>
      </c>
      <c r="B14" s="278">
        <f>COUNTIFS(enrollment_table[*Teacher Name], Teacher_Salary!$A$1, enrollment_table[Enrollment Month], raminSalary_table[[#This Row],[Month]])</f>
        <v>0</v>
      </c>
      <c r="C14" s="246">
        <f>SUMIFS(enrollment_table[Fee], enrollment_table[*Teacher Name], Teacher_Salary!$A$1, enrollment_table[Enrollment Month], raminSalary_table[[#This Row],[Month]])</f>
        <v>0</v>
      </c>
      <c r="D14" s="256">
        <f>_xlfn.XLOOKUP(Teacher_Salary!$A$1, teachers_table[*Teacher Name], teachers_table[*Income Rate])</f>
        <v>0.9</v>
      </c>
      <c r="E14" s="171">
        <f>raminSalary_table[[#This Row],[Income Rate]]*raminSalary_table[[#This Row],[Student Payments]]</f>
        <v>0</v>
      </c>
      <c r="F14" s="174"/>
      <c r="G14" s="174"/>
      <c r="H14" s="92"/>
    </row>
    <row r="15" spans="1:8" ht="19.2" customHeight="1" x14ac:dyDescent="0.3"/>
    <row r="16" spans="1:8" ht="21.6" customHeight="1" x14ac:dyDescent="0.3">
      <c r="A16" s="306" t="str">
        <f>Teachers!B3</f>
        <v>Ali Reza Rezaiee</v>
      </c>
      <c r="B16" s="306"/>
      <c r="C16" s="306"/>
      <c r="D16" s="306"/>
      <c r="E16" s="306"/>
      <c r="F16" s="306"/>
      <c r="G16" s="306"/>
      <c r="H16" s="306"/>
    </row>
    <row r="17" spans="1:8" x14ac:dyDescent="0.3">
      <c r="A17" s="244" t="s">
        <v>42</v>
      </c>
      <c r="B17" s="260" t="s">
        <v>43</v>
      </c>
      <c r="C17" s="247" t="s">
        <v>263</v>
      </c>
      <c r="D17" s="258" t="s">
        <v>29</v>
      </c>
      <c r="E17" s="248" t="s">
        <v>44</v>
      </c>
      <c r="F17" s="248" t="s">
        <v>158</v>
      </c>
      <c r="G17" s="249" t="s">
        <v>159</v>
      </c>
      <c r="H17" s="245" t="s">
        <v>7</v>
      </c>
    </row>
    <row r="18" spans="1:8" x14ac:dyDescent="0.3">
      <c r="A18" s="190" t="s">
        <v>100</v>
      </c>
      <c r="B18" s="277">
        <f>COUNTIFS(enrollment_table[*Teacher Name], Teacher_Salary!$A$16, enrollment_table[Enrollment Month], aliRezaRezaieeSalary_table[[#This Row],[Month]])</f>
        <v>0</v>
      </c>
      <c r="C18" s="250">
        <f>SUMIFS(enrollment_table[Fee], enrollment_table[*Teacher Name], Teacher_Salary!$A$16, enrollment_table[Enrollment Month], aliRezaRezaieeSalary_table[[#This Row],[Month]])</f>
        <v>0</v>
      </c>
      <c r="D18" s="255">
        <f>_xlfn.XLOOKUP(Teacher_Salary!$A$16, teachers_table[*Teacher Name], teachers_table[*Income Rate])</f>
        <v>0.8</v>
      </c>
      <c r="E18" s="250">
        <f>aliRezaRezaieeSalary_table[[#This Row],[Income Rate]]*aliRezaRezaieeSalary_table[[#This Row],[Student Payments]]</f>
        <v>0</v>
      </c>
      <c r="F18" s="252" t="s">
        <v>51</v>
      </c>
      <c r="G18" s="252"/>
      <c r="H18" s="67"/>
    </row>
    <row r="19" spans="1:8" x14ac:dyDescent="0.3">
      <c r="A19" s="191" t="s">
        <v>108</v>
      </c>
      <c r="B19" s="278">
        <f>COUNTIFS(enrollment_table[*Teacher Name], Teacher_Salary!$A$16, enrollment_table[Enrollment Month], aliRezaRezaieeSalary_table[[#This Row],[Month]])</f>
        <v>0</v>
      </c>
      <c r="C19" s="246">
        <f>SUMIFS(enrollment_table[Fee], enrollment_table[*Teacher Name], Teacher_Salary!$A$16, enrollment_table[Enrollment Month], aliRezaRezaieeSalary_table[[#This Row],[Month]])</f>
        <v>0</v>
      </c>
      <c r="D19" s="256">
        <f>_xlfn.XLOOKUP(Teacher_Salary!$A$16, teachers_table[*Teacher Name], teachers_table[*Income Rate])</f>
        <v>0.8</v>
      </c>
      <c r="E19" s="171">
        <f>aliRezaRezaieeSalary_table[[#This Row],[Income Rate]]*aliRezaRezaieeSalary_table[[#This Row],[Student Payments]]</f>
        <v>0</v>
      </c>
      <c r="F19" s="174"/>
      <c r="G19" s="174"/>
      <c r="H19" s="92"/>
    </row>
    <row r="20" spans="1:8" x14ac:dyDescent="0.3">
      <c r="A20" s="109" t="s">
        <v>99</v>
      </c>
      <c r="B20" s="279">
        <f>COUNTIFS(enrollment_table[*Teacher Name], Teacher_Salary!$A$16, enrollment_table[Enrollment Month], aliRezaRezaieeSalary_table[[#This Row],[Month]])</f>
        <v>0</v>
      </c>
      <c r="C20" s="250">
        <f>SUMIFS(enrollment_table[Fee], enrollment_table[*Teacher Name], Teacher_Salary!$A$16, enrollment_table[Enrollment Month], aliRezaRezaieeSalary_table[[#This Row],[Month]])</f>
        <v>0</v>
      </c>
      <c r="D20" s="255">
        <f>_xlfn.XLOOKUP(Teacher_Salary!$A$16, teachers_table[*Teacher Name], teachers_table[*Income Rate])</f>
        <v>0.8</v>
      </c>
      <c r="E20" s="253">
        <f>aliRezaRezaieeSalary_table[[#This Row],[Income Rate]]*aliRezaRezaieeSalary_table[[#This Row],[Student Payments]]</f>
        <v>0</v>
      </c>
      <c r="F20" s="254"/>
      <c r="G20" s="254"/>
      <c r="H20" s="91"/>
    </row>
    <row r="21" spans="1:8" x14ac:dyDescent="0.3">
      <c r="A21" s="191" t="s">
        <v>109</v>
      </c>
      <c r="B21" s="278">
        <f>COUNTIFS(enrollment_table[*Teacher Name], Teacher_Salary!$A$16, enrollment_table[Enrollment Month], aliRezaRezaieeSalary_table[[#This Row],[Month]])</f>
        <v>0</v>
      </c>
      <c r="C21" s="246">
        <f>SUMIFS(enrollment_table[Fee], enrollment_table[*Teacher Name], Teacher_Salary!$A$16, enrollment_table[Enrollment Month], aliRezaRezaieeSalary_table[[#This Row],[Month]])</f>
        <v>0</v>
      </c>
      <c r="D21" s="256">
        <f>_xlfn.XLOOKUP(Teacher_Salary!$A$16, teachers_table[*Teacher Name], teachers_table[*Income Rate])</f>
        <v>0.8</v>
      </c>
      <c r="E21" s="171">
        <f>aliRezaRezaieeSalary_table[[#This Row],[Income Rate]]*aliRezaRezaieeSalary_table[[#This Row],[Student Payments]]</f>
        <v>0</v>
      </c>
      <c r="F21" s="174"/>
      <c r="G21" s="174"/>
      <c r="H21" s="92"/>
    </row>
    <row r="22" spans="1:8" x14ac:dyDescent="0.3">
      <c r="A22" s="109" t="s">
        <v>39</v>
      </c>
      <c r="B22" s="279">
        <f>COUNTIFS(enrollment_table[*Teacher Name], Teacher_Salary!$A$16, enrollment_table[Enrollment Month], aliRezaRezaieeSalary_table[[#This Row],[Month]])</f>
        <v>0</v>
      </c>
      <c r="C22" s="259">
        <f>SUMIFS(enrollment_table[Fee], enrollment_table[*Teacher Name], Teacher_Salary!$A$16, enrollment_table[Enrollment Month], aliRezaRezaieeSalary_table[[#This Row],[Month]])</f>
        <v>0</v>
      </c>
      <c r="D22" s="255">
        <f>_xlfn.XLOOKUP(Teacher_Salary!$A$16, teachers_table[*Teacher Name], teachers_table[*Income Rate])</f>
        <v>0.8</v>
      </c>
      <c r="E22" s="253">
        <f>aliRezaRezaieeSalary_table[[#This Row],[Income Rate]]*aliRezaRezaieeSalary_table[[#This Row],[Student Payments]]</f>
        <v>0</v>
      </c>
      <c r="F22" s="254"/>
      <c r="G22" s="254"/>
      <c r="H22" s="91"/>
    </row>
    <row r="23" spans="1:8" x14ac:dyDescent="0.3">
      <c r="A23" s="191" t="s">
        <v>110</v>
      </c>
      <c r="B23" s="278">
        <f>COUNTIFS(enrollment_table[*Teacher Name], Teacher_Salary!$A$16, enrollment_table[Enrollment Month], aliRezaRezaieeSalary_table[[#This Row],[Month]])</f>
        <v>0</v>
      </c>
      <c r="C23" s="246">
        <f>SUMIFS(enrollment_table[Fee], enrollment_table[*Teacher Name], Teacher_Salary!$A$16, enrollment_table[Enrollment Month], aliRezaRezaieeSalary_table[[#This Row],[Month]])</f>
        <v>0</v>
      </c>
      <c r="D23" s="256">
        <f>_xlfn.XLOOKUP(Teacher_Salary!$A$16, teachers_table[*Teacher Name], teachers_table[*Income Rate])</f>
        <v>0.8</v>
      </c>
      <c r="E23" s="171">
        <f>aliRezaRezaieeSalary_table[[#This Row],[Income Rate]]*aliRezaRezaieeSalary_table[[#This Row],[Student Payments]]</f>
        <v>0</v>
      </c>
      <c r="F23" s="174"/>
      <c r="G23" s="174"/>
      <c r="H23" s="92"/>
    </row>
    <row r="24" spans="1:8" x14ac:dyDescent="0.3">
      <c r="A24" s="109" t="s">
        <v>111</v>
      </c>
      <c r="B24" s="279">
        <f>COUNTIFS(enrollment_table[*Teacher Name], Teacher_Salary!$A$16, enrollment_table[Enrollment Month], aliRezaRezaieeSalary_table[[#This Row],[Month]])</f>
        <v>0</v>
      </c>
      <c r="C24" s="250">
        <f>SUMIFS(enrollment_table[Fee], enrollment_table[*Teacher Name], Teacher_Salary!$A$16, enrollment_table[Enrollment Month], aliRezaRezaieeSalary_table[[#This Row],[Month]])</f>
        <v>0</v>
      </c>
      <c r="D24" s="255">
        <f>_xlfn.XLOOKUP(Teacher_Salary!$A$16, teachers_table[*Teacher Name], teachers_table[*Income Rate])</f>
        <v>0.8</v>
      </c>
      <c r="E24" s="253">
        <f>aliRezaRezaieeSalary_table[[#This Row],[Income Rate]]*aliRezaRezaieeSalary_table[[#This Row],[Student Payments]]</f>
        <v>0</v>
      </c>
      <c r="F24" s="254"/>
      <c r="G24" s="254"/>
      <c r="H24" s="91"/>
    </row>
    <row r="25" spans="1:8" x14ac:dyDescent="0.3">
      <c r="A25" s="191" t="s">
        <v>112</v>
      </c>
      <c r="B25" s="278">
        <f>COUNTIFS(enrollment_table[*Teacher Name], Teacher_Salary!$A$16, enrollment_table[Enrollment Month], aliRezaRezaieeSalary_table[[#This Row],[Month]])</f>
        <v>0</v>
      </c>
      <c r="C25" s="246">
        <f>SUMIFS(enrollment_table[Fee], enrollment_table[*Teacher Name], Teacher_Salary!$A$16, enrollment_table[Enrollment Month], aliRezaRezaieeSalary_table[[#This Row],[Month]])</f>
        <v>0</v>
      </c>
      <c r="D25" s="256">
        <f>_xlfn.XLOOKUP(Teacher_Salary!$A$16, teachers_table[*Teacher Name], teachers_table[*Income Rate])</f>
        <v>0.8</v>
      </c>
      <c r="E25" s="171">
        <f>aliRezaRezaieeSalary_table[[#This Row],[Income Rate]]*aliRezaRezaieeSalary_table[[#This Row],[Student Payments]]</f>
        <v>0</v>
      </c>
      <c r="F25" s="174"/>
      <c r="G25" s="174"/>
      <c r="H25" s="92"/>
    </row>
    <row r="26" spans="1:8" x14ac:dyDescent="0.3">
      <c r="A26" s="109" t="s">
        <v>113</v>
      </c>
      <c r="B26" s="279">
        <f>COUNTIFS(enrollment_table[*Teacher Name], Teacher_Salary!$A$16, enrollment_table[Enrollment Month], aliRezaRezaieeSalary_table[[#This Row],[Month]])</f>
        <v>2</v>
      </c>
      <c r="C26" s="250">
        <f>SUMIFS(enrollment_table[Fee], enrollment_table[*Teacher Name], Teacher_Salary!$A$16, enrollment_table[Enrollment Month], aliRezaRezaieeSalary_table[[#This Row],[Month]])</f>
        <v>2000</v>
      </c>
      <c r="D26" s="255">
        <f>_xlfn.XLOOKUP(Teacher_Salary!$A$16, teachers_table[*Teacher Name], teachers_table[*Income Rate])</f>
        <v>0.8</v>
      </c>
      <c r="E26" s="253">
        <f>aliRezaRezaieeSalary_table[[#This Row],[Income Rate]]*aliRezaRezaieeSalary_table[[#This Row],[Student Payments]]</f>
        <v>1600</v>
      </c>
      <c r="F26" s="254"/>
      <c r="G26" s="254"/>
      <c r="H26" s="91"/>
    </row>
    <row r="27" spans="1:8" x14ac:dyDescent="0.3">
      <c r="A27" s="191" t="s">
        <v>114</v>
      </c>
      <c r="B27" s="278">
        <f>COUNTIFS(enrollment_table[*Teacher Name], Teacher_Salary!$A$16, enrollment_table[Enrollment Month], aliRezaRezaieeSalary_table[[#This Row],[Month]])</f>
        <v>0</v>
      </c>
      <c r="C27" s="246">
        <f>SUMIFS(enrollment_table[Fee], enrollment_table[*Teacher Name], Teacher_Salary!$A$16, enrollment_table[Enrollment Month], aliRezaRezaieeSalary_table[[#This Row],[Month]])</f>
        <v>0</v>
      </c>
      <c r="D27" s="256">
        <f>_xlfn.XLOOKUP(Teacher_Salary!$A$16, teachers_table[*Teacher Name], teachers_table[*Income Rate])</f>
        <v>0.8</v>
      </c>
      <c r="E27" s="171">
        <f>aliRezaRezaieeSalary_table[[#This Row],[Income Rate]]*aliRezaRezaieeSalary_table[[#This Row],[Student Payments]]</f>
        <v>0</v>
      </c>
      <c r="F27" s="174"/>
      <c r="G27" s="174"/>
      <c r="H27" s="92"/>
    </row>
    <row r="28" spans="1:8" x14ac:dyDescent="0.3">
      <c r="A28" s="109" t="s">
        <v>115</v>
      </c>
      <c r="B28" s="279">
        <f>COUNTIFS(enrollment_table[*Teacher Name], Teacher_Salary!$A$16, enrollment_table[Enrollment Month], aliRezaRezaieeSalary_table[[#This Row],[Month]])</f>
        <v>0</v>
      </c>
      <c r="C28" s="250">
        <f>SUMIFS(enrollment_table[Fee], enrollment_table[*Teacher Name], Teacher_Salary!$A$16, enrollment_table[Enrollment Month], aliRezaRezaieeSalary_table[[#This Row],[Month]])</f>
        <v>0</v>
      </c>
      <c r="D28" s="255">
        <f>_xlfn.XLOOKUP(Teacher_Salary!$A$16, teachers_table[*Teacher Name], teachers_table[*Income Rate])</f>
        <v>0.8</v>
      </c>
      <c r="E28" s="253">
        <f>aliRezaRezaieeSalary_table[[#This Row],[Income Rate]]*aliRezaRezaieeSalary_table[[#This Row],[Student Payments]]</f>
        <v>0</v>
      </c>
      <c r="F28" s="254"/>
      <c r="G28" s="254"/>
      <c r="H28" s="91"/>
    </row>
    <row r="29" spans="1:8" x14ac:dyDescent="0.3">
      <c r="A29" s="191" t="s">
        <v>116</v>
      </c>
      <c r="B29" s="278">
        <f>COUNTIFS(enrollment_table[*Teacher Name], Teacher_Salary!$A$16, enrollment_table[Enrollment Month], aliRezaRezaieeSalary_table[[#This Row],[Month]])</f>
        <v>0</v>
      </c>
      <c r="C29" s="246">
        <f>SUMIFS(enrollment_table[Fee], enrollment_table[*Teacher Name], Teacher_Salary!$A$16, enrollment_table[Enrollment Month], aliRezaRezaieeSalary_table[[#This Row],[Month]])</f>
        <v>0</v>
      </c>
      <c r="D29" s="256">
        <f>_xlfn.XLOOKUP(Teacher_Salary!$A$16, teachers_table[*Teacher Name], teachers_table[*Income Rate])</f>
        <v>0.8</v>
      </c>
      <c r="E29" s="171">
        <f>aliRezaRezaieeSalary_table[[#This Row],[Income Rate]]*aliRezaRezaieeSalary_table[[#This Row],[Student Payments]]</f>
        <v>0</v>
      </c>
      <c r="F29" s="174"/>
      <c r="G29" s="174"/>
      <c r="H29" s="92"/>
    </row>
    <row r="30" spans="1:8" ht="19.8" customHeight="1" x14ac:dyDescent="0.3"/>
    <row r="31" spans="1:8" ht="20.399999999999999" customHeight="1" x14ac:dyDescent="0.3">
      <c r="A31" s="306" t="str">
        <f>Teachers!B4</f>
        <v>Rashid Ahmadi</v>
      </c>
      <c r="B31" s="306"/>
      <c r="C31" s="306"/>
      <c r="D31" s="306"/>
      <c r="E31" s="306"/>
      <c r="F31" s="306"/>
      <c r="G31" s="306"/>
      <c r="H31" s="306"/>
    </row>
    <row r="32" spans="1:8" x14ac:dyDescent="0.3">
      <c r="A32" s="244" t="s">
        <v>42</v>
      </c>
      <c r="B32" s="260" t="s">
        <v>43</v>
      </c>
      <c r="C32" s="247" t="s">
        <v>263</v>
      </c>
      <c r="D32" s="258" t="s">
        <v>29</v>
      </c>
      <c r="E32" s="248" t="s">
        <v>44</v>
      </c>
      <c r="F32" s="248" t="s">
        <v>158</v>
      </c>
      <c r="G32" s="249" t="s">
        <v>159</v>
      </c>
      <c r="H32" s="245" t="s">
        <v>7</v>
      </c>
    </row>
    <row r="33" spans="1:8" x14ac:dyDescent="0.3">
      <c r="A33" s="190" t="s">
        <v>100</v>
      </c>
      <c r="B33" s="277">
        <f>COUNTIFS(enrollment_table[*Teacher Name], Teacher_Salary!$A$31, enrollment_table[Enrollment Month], rashidSalary_table[[#This Row],[Month]])</f>
        <v>0</v>
      </c>
      <c r="C33" s="250">
        <f>SUMIFS(enrollment_table[Fee], enrollment_table[*Teacher Name], Teacher_Salary!$A$31, enrollment_table[Enrollment Month], rashidSalary_table[[#This Row],[Month]])</f>
        <v>0</v>
      </c>
      <c r="D33" s="255">
        <f>_xlfn.XLOOKUP(Teacher_Salary!$A$31, teachers_table[*Teacher Name], teachers_table[*Income Rate])</f>
        <v>0.7</v>
      </c>
      <c r="E33" s="251">
        <f>rashidSalary_table[[#This Row],[Income Rate]]*rashidSalary_table[[#This Row],[Student Payments]]</f>
        <v>0</v>
      </c>
      <c r="F33" s="252" t="s">
        <v>51</v>
      </c>
      <c r="G33" s="252"/>
      <c r="H33" s="67"/>
    </row>
    <row r="34" spans="1:8" x14ac:dyDescent="0.3">
      <c r="A34" s="191" t="s">
        <v>108</v>
      </c>
      <c r="B34" s="278">
        <f>COUNTIFS(enrollment_table[*Teacher Name], Teacher_Salary!$A$31, enrollment_table[Enrollment Month], rashidSalary_table[[#This Row],[Month]])</f>
        <v>0</v>
      </c>
      <c r="C34" s="246">
        <f>SUMIFS(enrollment_table[Fee], enrollment_table[*Teacher Name], Teacher_Salary!$A$31, enrollment_table[Enrollment Month], rashidSalary_table[[#This Row],[Month]])</f>
        <v>0</v>
      </c>
      <c r="D34" s="256">
        <f>_xlfn.XLOOKUP(Teacher_Salary!$A$31, teachers_table[*Teacher Name], teachers_table[*Income Rate])</f>
        <v>0.7</v>
      </c>
      <c r="E34" s="171">
        <f>rashidSalary_table[[#This Row],[Income Rate]]*rashidSalary_table[[#This Row],[Student Payments]]</f>
        <v>0</v>
      </c>
      <c r="F34" s="174"/>
      <c r="G34" s="174"/>
      <c r="H34" s="92"/>
    </row>
    <row r="35" spans="1:8" x14ac:dyDescent="0.3">
      <c r="A35" s="109" t="s">
        <v>99</v>
      </c>
      <c r="B35" s="279">
        <f>COUNTIFS(enrollment_table[*Teacher Name], Teacher_Salary!$A$31, enrollment_table[Enrollment Month], rashidSalary_table[[#This Row],[Month]])</f>
        <v>0</v>
      </c>
      <c r="C35" s="250">
        <f>SUMIFS(enrollment_table[Fee], enrollment_table[*Teacher Name], Teacher_Salary!$A$31, enrollment_table[Enrollment Month], rashidSalary_table[[#This Row],[Month]])</f>
        <v>0</v>
      </c>
      <c r="D35" s="255">
        <f>_xlfn.XLOOKUP(Teacher_Salary!$A$31, teachers_table[*Teacher Name], teachers_table[*Income Rate])</f>
        <v>0.7</v>
      </c>
      <c r="E35" s="253">
        <f>rashidSalary_table[[#This Row],[Income Rate]]*rashidSalary_table[[#This Row],[Student Payments]]</f>
        <v>0</v>
      </c>
      <c r="F35" s="254"/>
      <c r="G35" s="254"/>
      <c r="H35" s="91"/>
    </row>
    <row r="36" spans="1:8" x14ac:dyDescent="0.3">
      <c r="A36" s="191" t="s">
        <v>109</v>
      </c>
      <c r="B36" s="278">
        <f>COUNTIFS(enrollment_table[*Teacher Name], Teacher_Salary!$A$31, enrollment_table[Enrollment Month], rashidSalary_table[[#This Row],[Month]])</f>
        <v>0</v>
      </c>
      <c r="C36" s="246">
        <f>SUMIFS(enrollment_table[Fee], enrollment_table[*Teacher Name], Teacher_Salary!$A$31, enrollment_table[Enrollment Month], rashidSalary_table[[#This Row],[Month]])</f>
        <v>0</v>
      </c>
      <c r="D36" s="256">
        <f>_xlfn.XLOOKUP(Teacher_Salary!$A$31, teachers_table[*Teacher Name], teachers_table[*Income Rate])</f>
        <v>0.7</v>
      </c>
      <c r="E36" s="171">
        <f>rashidSalary_table[[#This Row],[Income Rate]]*rashidSalary_table[[#This Row],[Student Payments]]</f>
        <v>0</v>
      </c>
      <c r="F36" s="174"/>
      <c r="G36" s="174"/>
      <c r="H36" s="92"/>
    </row>
    <row r="37" spans="1:8" x14ac:dyDescent="0.3">
      <c r="A37" s="109" t="s">
        <v>39</v>
      </c>
      <c r="B37" s="279">
        <f>COUNTIFS(enrollment_table[*Teacher Name], Teacher_Salary!$A$31, enrollment_table[Enrollment Month], rashidSalary_table[[#This Row],[Month]])</f>
        <v>0</v>
      </c>
      <c r="C37" s="259">
        <f>SUMIFS(enrollment_table[Fee], enrollment_table[*Teacher Name], Teacher_Salary!$A$31, enrollment_table[Enrollment Month], rashidSalary_table[[#This Row],[Month]])</f>
        <v>0</v>
      </c>
      <c r="D37" s="255">
        <f>_xlfn.XLOOKUP(Teacher_Salary!$A$31, teachers_table[*Teacher Name], teachers_table[*Income Rate])</f>
        <v>0.7</v>
      </c>
      <c r="E37" s="253">
        <f>rashidSalary_table[[#This Row],[Income Rate]]*rashidSalary_table[[#This Row],[Student Payments]]</f>
        <v>0</v>
      </c>
      <c r="F37" s="254"/>
      <c r="G37" s="254"/>
      <c r="H37" s="91"/>
    </row>
    <row r="38" spans="1:8" x14ac:dyDescent="0.3">
      <c r="A38" s="191" t="s">
        <v>110</v>
      </c>
      <c r="B38" s="278">
        <f>COUNTIFS(enrollment_table[*Teacher Name], Teacher_Salary!$A$31, enrollment_table[Enrollment Month], rashidSalary_table[[#This Row],[Month]])</f>
        <v>0</v>
      </c>
      <c r="C38" s="246">
        <f>SUMIFS(enrollment_table[Fee], enrollment_table[*Teacher Name], Teacher_Salary!$A$31, enrollment_table[Enrollment Month], rashidSalary_table[[#This Row],[Month]])</f>
        <v>0</v>
      </c>
      <c r="D38" s="256">
        <f>_xlfn.XLOOKUP(Teacher_Salary!$A$31, teachers_table[*Teacher Name], teachers_table[*Income Rate])</f>
        <v>0.7</v>
      </c>
      <c r="E38" s="171">
        <f>rashidSalary_table[[#This Row],[Income Rate]]*rashidSalary_table[[#This Row],[Student Payments]]</f>
        <v>0</v>
      </c>
      <c r="F38" s="174"/>
      <c r="G38" s="174"/>
      <c r="H38" s="92"/>
    </row>
    <row r="39" spans="1:8" x14ac:dyDescent="0.3">
      <c r="A39" s="109" t="s">
        <v>111</v>
      </c>
      <c r="B39" s="279">
        <f>COUNTIFS(enrollment_table[*Teacher Name], Teacher_Salary!$A$31, enrollment_table[Enrollment Month], rashidSalary_table[[#This Row],[Month]])</f>
        <v>0</v>
      </c>
      <c r="C39" s="250">
        <f>SUMIFS(enrollment_table[Fee], enrollment_table[*Teacher Name], Teacher_Salary!$A$31, enrollment_table[Enrollment Month], rashidSalary_table[[#This Row],[Month]])</f>
        <v>0</v>
      </c>
      <c r="D39" s="255">
        <f>_xlfn.XLOOKUP(Teacher_Salary!$A$31, teachers_table[*Teacher Name], teachers_table[*Income Rate])</f>
        <v>0.7</v>
      </c>
      <c r="E39" s="253">
        <f>rashidSalary_table[[#This Row],[Income Rate]]*rashidSalary_table[[#This Row],[Student Payments]]</f>
        <v>0</v>
      </c>
      <c r="F39" s="254"/>
      <c r="G39" s="254"/>
      <c r="H39" s="91"/>
    </row>
    <row r="40" spans="1:8" x14ac:dyDescent="0.3">
      <c r="A40" s="191" t="s">
        <v>112</v>
      </c>
      <c r="B40" s="278">
        <f>COUNTIFS(enrollment_table[*Teacher Name], Teacher_Salary!$A$31, enrollment_table[Enrollment Month], rashidSalary_table[[#This Row],[Month]])</f>
        <v>0</v>
      </c>
      <c r="C40" s="246">
        <f>SUMIFS(enrollment_table[Fee], enrollment_table[*Teacher Name], Teacher_Salary!$A$31, enrollment_table[Enrollment Month], rashidSalary_table[[#This Row],[Month]])</f>
        <v>0</v>
      </c>
      <c r="D40" s="256">
        <f>_xlfn.XLOOKUP(Teacher_Salary!$A$31, teachers_table[*Teacher Name], teachers_table[*Income Rate])</f>
        <v>0.7</v>
      </c>
      <c r="E40" s="171">
        <f>rashidSalary_table[[#This Row],[Income Rate]]*rashidSalary_table[[#This Row],[Student Payments]]</f>
        <v>0</v>
      </c>
      <c r="F40" s="174"/>
      <c r="G40" s="174"/>
      <c r="H40" s="92"/>
    </row>
    <row r="41" spans="1:8" x14ac:dyDescent="0.3">
      <c r="A41" s="109" t="s">
        <v>113</v>
      </c>
      <c r="B41" s="279">
        <f>COUNTIFS(enrollment_table[*Teacher Name], Teacher_Salary!$A$31, enrollment_table[Enrollment Month], rashidSalary_table[[#This Row],[Month]])</f>
        <v>0</v>
      </c>
      <c r="C41" s="250">
        <f>SUMIFS(enrollment_table[Fee], enrollment_table[*Teacher Name], Teacher_Salary!$A$31, enrollment_table[Enrollment Month], rashidSalary_table[[#This Row],[Month]])</f>
        <v>0</v>
      </c>
      <c r="D41" s="255">
        <f>_xlfn.XLOOKUP(Teacher_Salary!$A$31, teachers_table[*Teacher Name], teachers_table[*Income Rate])</f>
        <v>0.7</v>
      </c>
      <c r="E41" s="253">
        <f>rashidSalary_table[[#This Row],[Income Rate]]*rashidSalary_table[[#This Row],[Student Payments]]</f>
        <v>0</v>
      </c>
      <c r="F41" s="254"/>
      <c r="G41" s="254"/>
      <c r="H41" s="91"/>
    </row>
    <row r="42" spans="1:8" x14ac:dyDescent="0.3">
      <c r="A42" s="191" t="s">
        <v>114</v>
      </c>
      <c r="B42" s="278">
        <f>COUNTIFS(enrollment_table[*Teacher Name], Teacher_Salary!$A$31, enrollment_table[Enrollment Month], rashidSalary_table[[#This Row],[Month]])</f>
        <v>0</v>
      </c>
      <c r="C42" s="246">
        <f>SUMIFS(enrollment_table[Fee], enrollment_table[*Teacher Name], Teacher_Salary!$A$31, enrollment_table[Enrollment Month], rashidSalary_table[[#This Row],[Month]])</f>
        <v>0</v>
      </c>
      <c r="D42" s="256">
        <f>_xlfn.XLOOKUP(Teacher_Salary!$A$31, teachers_table[*Teacher Name], teachers_table[*Income Rate])</f>
        <v>0.7</v>
      </c>
      <c r="E42" s="171">
        <f>rashidSalary_table[[#This Row],[Income Rate]]*rashidSalary_table[[#This Row],[Student Payments]]</f>
        <v>0</v>
      </c>
      <c r="F42" s="174"/>
      <c r="G42" s="174"/>
      <c r="H42" s="92"/>
    </row>
    <row r="43" spans="1:8" x14ac:dyDescent="0.3">
      <c r="A43" s="109" t="s">
        <v>115</v>
      </c>
      <c r="B43" s="279">
        <f>COUNTIFS(enrollment_table[*Teacher Name], Teacher_Salary!$A$31, enrollment_table[Enrollment Month], rashidSalary_table[[#This Row],[Month]])</f>
        <v>0</v>
      </c>
      <c r="C43" s="250">
        <f>SUMIFS(enrollment_table[Fee], enrollment_table[*Teacher Name], Teacher_Salary!$A$31, enrollment_table[Enrollment Month], rashidSalary_table[[#This Row],[Month]])</f>
        <v>0</v>
      </c>
      <c r="D43" s="255">
        <f>_xlfn.XLOOKUP(Teacher_Salary!$A$31, teachers_table[*Teacher Name], teachers_table[*Income Rate])</f>
        <v>0.7</v>
      </c>
      <c r="E43" s="253">
        <f>rashidSalary_table[[#This Row],[Income Rate]]*rashidSalary_table[[#This Row],[Student Payments]]</f>
        <v>0</v>
      </c>
      <c r="F43" s="254"/>
      <c r="G43" s="254"/>
      <c r="H43" s="91"/>
    </row>
    <row r="44" spans="1:8" x14ac:dyDescent="0.3">
      <c r="A44" s="191" t="s">
        <v>116</v>
      </c>
      <c r="B44" s="278">
        <f>COUNTIFS(enrollment_table[*Teacher Name], Teacher_Salary!$A$31, enrollment_table[Enrollment Month], rashidSalary_table[[#This Row],[Month]])</f>
        <v>0</v>
      </c>
      <c r="C44" s="246">
        <f>SUMIFS(enrollment_table[Fee], enrollment_table[*Teacher Name], Teacher_Salary!$A$31, enrollment_table[Enrollment Month], rashidSalary_table[[#This Row],[Month]])</f>
        <v>0</v>
      </c>
      <c r="D44" s="256">
        <f>_xlfn.XLOOKUP(Teacher_Salary!$A$31, teachers_table[*Teacher Name], teachers_table[*Income Rate])</f>
        <v>0.7</v>
      </c>
      <c r="E44" s="171">
        <f>rashidSalary_table[[#This Row],[Income Rate]]*rashidSalary_table[[#This Row],[Student Payments]]</f>
        <v>0</v>
      </c>
      <c r="F44" s="174"/>
      <c r="G44" s="174"/>
      <c r="H44" s="92"/>
    </row>
    <row r="46" spans="1:8" ht="20.399999999999999" customHeight="1" x14ac:dyDescent="0.3">
      <c r="A46" s="306" t="str">
        <f>Teachers!B5</f>
        <v>Rahmatullah Yawari</v>
      </c>
      <c r="B46" s="306"/>
      <c r="C46" s="306"/>
      <c r="D46" s="306"/>
      <c r="E46" s="306"/>
      <c r="F46" s="306"/>
      <c r="G46" s="306"/>
      <c r="H46" s="306"/>
    </row>
    <row r="47" spans="1:8" x14ac:dyDescent="0.3">
      <c r="A47" s="244" t="s">
        <v>42</v>
      </c>
      <c r="B47" s="260" t="s">
        <v>43</v>
      </c>
      <c r="C47" s="247" t="s">
        <v>263</v>
      </c>
      <c r="D47" s="258" t="s">
        <v>29</v>
      </c>
      <c r="E47" s="248" t="s">
        <v>44</v>
      </c>
      <c r="F47" s="248" t="s">
        <v>158</v>
      </c>
      <c r="G47" s="249" t="s">
        <v>159</v>
      </c>
      <c r="H47" s="245" t="s">
        <v>7</v>
      </c>
    </row>
    <row r="48" spans="1:8" x14ac:dyDescent="0.3">
      <c r="A48" s="190" t="s">
        <v>100</v>
      </c>
      <c r="B48" s="277">
        <f>COUNTIFS(enrollment_table[*Teacher Name], Teacher_Salary!$A$46, enrollment_table[Enrollment Month], rahmatullahSalary_table[[#This Row],[Month]])</f>
        <v>0</v>
      </c>
      <c r="C48" s="250">
        <f>SUMIFS(enrollment_table[Fee], enrollment_table[*Teacher Name], Teacher_Salary!$A$46, enrollment_table[Enrollment Month], rahmatullahSalary_table[[#This Row],[Month]])</f>
        <v>0</v>
      </c>
      <c r="D48" s="255">
        <f>_xlfn.XLOOKUP(Teacher_Salary!$A$46, teachers_table[*Teacher Name], teachers_table[*Income Rate])</f>
        <v>0.6</v>
      </c>
      <c r="E48" s="250">
        <f>rahmatullahSalary_table[[#This Row],[Income Rate]]*rahmatullahSalary_table[[#This Row],[Student Payments]]</f>
        <v>0</v>
      </c>
      <c r="F48" s="252" t="s">
        <v>51</v>
      </c>
      <c r="G48" s="252"/>
      <c r="H48" s="67"/>
    </row>
    <row r="49" spans="1:8" x14ac:dyDescent="0.3">
      <c r="A49" s="191" t="s">
        <v>108</v>
      </c>
      <c r="B49" s="278">
        <f>COUNTIFS(enrollment_table[*Teacher Name], Teacher_Salary!$A$46, enrollment_table[Enrollment Month], rahmatullahSalary_table[[#This Row],[Month]])</f>
        <v>0</v>
      </c>
      <c r="C49" s="246">
        <f>SUMIFS(enrollment_table[Fee], enrollment_table[*Teacher Name], Teacher_Salary!$A$46, enrollment_table[Enrollment Month], rahmatullahSalary_table[[#This Row],[Month]])</f>
        <v>0</v>
      </c>
      <c r="D49" s="256">
        <f>_xlfn.XLOOKUP(Teacher_Salary!$A$46, teachers_table[*Teacher Name], teachers_table[*Income Rate])</f>
        <v>0.6</v>
      </c>
      <c r="E49" s="171">
        <f>rahmatullahSalary_table[[#This Row],[Income Rate]]*rahmatullahSalary_table[[#This Row],[Student Payments]]</f>
        <v>0</v>
      </c>
      <c r="F49" s="174"/>
      <c r="G49" s="174"/>
      <c r="H49" s="92"/>
    </row>
    <row r="50" spans="1:8" x14ac:dyDescent="0.3">
      <c r="A50" s="109" t="s">
        <v>99</v>
      </c>
      <c r="B50" s="279">
        <f>COUNTIFS(enrollment_table[*Teacher Name], Teacher_Salary!$A$46, enrollment_table[Enrollment Month], rahmatullahSalary_table[[#This Row],[Month]])</f>
        <v>0</v>
      </c>
      <c r="C50" s="250">
        <f>SUMIFS(enrollment_table[Fee], enrollment_table[*Teacher Name], Teacher_Salary!$A$46, enrollment_table[Enrollment Month], rahmatullahSalary_table[[#This Row],[Month]])</f>
        <v>0</v>
      </c>
      <c r="D50" s="255">
        <f>_xlfn.XLOOKUP(Teacher_Salary!$A$46, teachers_table[*Teacher Name], teachers_table[*Income Rate])</f>
        <v>0.6</v>
      </c>
      <c r="E50" s="253">
        <f>rahmatullahSalary_table[[#This Row],[Income Rate]]*rahmatullahSalary_table[[#This Row],[Student Payments]]</f>
        <v>0</v>
      </c>
      <c r="F50" s="254"/>
      <c r="G50" s="254"/>
      <c r="H50" s="91"/>
    </row>
    <row r="51" spans="1:8" x14ac:dyDescent="0.3">
      <c r="A51" s="191" t="s">
        <v>109</v>
      </c>
      <c r="B51" s="278">
        <f>COUNTIFS(enrollment_table[*Teacher Name], Teacher_Salary!$A$46, enrollment_table[Enrollment Month], rahmatullahSalary_table[[#This Row],[Month]])</f>
        <v>0</v>
      </c>
      <c r="C51" s="246">
        <f>SUMIFS(enrollment_table[Fee], enrollment_table[*Teacher Name], Teacher_Salary!$A$46, enrollment_table[Enrollment Month], rahmatullahSalary_table[[#This Row],[Month]])</f>
        <v>0</v>
      </c>
      <c r="D51" s="256">
        <f>_xlfn.XLOOKUP(Teacher_Salary!$A$46, teachers_table[*Teacher Name], teachers_table[*Income Rate])</f>
        <v>0.6</v>
      </c>
      <c r="E51" s="171">
        <f>rahmatullahSalary_table[[#This Row],[Income Rate]]*rahmatullahSalary_table[[#This Row],[Student Payments]]</f>
        <v>0</v>
      </c>
      <c r="F51" s="174"/>
      <c r="G51" s="174"/>
      <c r="H51" s="92"/>
    </row>
    <row r="52" spans="1:8" x14ac:dyDescent="0.3">
      <c r="A52" s="109" t="s">
        <v>39</v>
      </c>
      <c r="B52" s="279">
        <f>COUNTIFS(enrollment_table[*Teacher Name], Teacher_Salary!$A$46, enrollment_table[Enrollment Month], rahmatullahSalary_table[[#This Row],[Month]])</f>
        <v>0</v>
      </c>
      <c r="C52" s="259">
        <f>SUMIFS(enrollment_table[Fee], enrollment_table[*Teacher Name], Teacher_Salary!$A$46, enrollment_table[Enrollment Month], rahmatullahSalary_table[[#This Row],[Month]])</f>
        <v>0</v>
      </c>
      <c r="D52" s="255">
        <f>_xlfn.XLOOKUP(Teacher_Salary!$A$46, teachers_table[*Teacher Name], teachers_table[*Income Rate])</f>
        <v>0.6</v>
      </c>
      <c r="E52" s="253">
        <f>rahmatullahSalary_table[[#This Row],[Income Rate]]*rahmatullahSalary_table[[#This Row],[Student Payments]]</f>
        <v>0</v>
      </c>
      <c r="F52" s="254"/>
      <c r="G52" s="254"/>
      <c r="H52" s="91"/>
    </row>
    <row r="53" spans="1:8" x14ac:dyDescent="0.3">
      <c r="A53" s="191" t="s">
        <v>110</v>
      </c>
      <c r="B53" s="278">
        <f>COUNTIFS(enrollment_table[*Teacher Name], Teacher_Salary!$A$46, enrollment_table[Enrollment Month], rahmatullahSalary_table[[#This Row],[Month]])</f>
        <v>0</v>
      </c>
      <c r="C53" s="246">
        <f>SUMIFS(enrollment_table[Fee], enrollment_table[*Teacher Name], Teacher_Salary!$A$46, enrollment_table[Enrollment Month], rahmatullahSalary_table[[#This Row],[Month]])</f>
        <v>0</v>
      </c>
      <c r="D53" s="256">
        <f>_xlfn.XLOOKUP(Teacher_Salary!$A$46, teachers_table[*Teacher Name], teachers_table[*Income Rate])</f>
        <v>0.6</v>
      </c>
      <c r="E53" s="171">
        <f>rahmatullahSalary_table[[#This Row],[Income Rate]]*rahmatullahSalary_table[[#This Row],[Student Payments]]</f>
        <v>0</v>
      </c>
      <c r="F53" s="174"/>
      <c r="G53" s="174"/>
      <c r="H53" s="92"/>
    </row>
    <row r="54" spans="1:8" x14ac:dyDescent="0.3">
      <c r="A54" s="109" t="s">
        <v>111</v>
      </c>
      <c r="B54" s="279">
        <f>COUNTIFS(enrollment_table[*Teacher Name], Teacher_Salary!$A$46, enrollment_table[Enrollment Month], rahmatullahSalary_table[[#This Row],[Month]])</f>
        <v>0</v>
      </c>
      <c r="C54" s="250">
        <f>SUMIFS(enrollment_table[Fee], enrollment_table[*Teacher Name], Teacher_Salary!$A$46, enrollment_table[Enrollment Month], rahmatullahSalary_table[[#This Row],[Month]])</f>
        <v>0</v>
      </c>
      <c r="D54" s="255">
        <f>_xlfn.XLOOKUP(Teacher_Salary!$A$46, teachers_table[*Teacher Name], teachers_table[*Income Rate])</f>
        <v>0.6</v>
      </c>
      <c r="E54" s="253">
        <f>rahmatullahSalary_table[[#This Row],[Income Rate]]*rahmatullahSalary_table[[#This Row],[Student Payments]]</f>
        <v>0</v>
      </c>
      <c r="F54" s="254"/>
      <c r="G54" s="254"/>
      <c r="H54" s="91"/>
    </row>
    <row r="55" spans="1:8" x14ac:dyDescent="0.3">
      <c r="A55" s="191" t="s">
        <v>112</v>
      </c>
      <c r="B55" s="278">
        <f>COUNTIFS(enrollment_table[*Teacher Name], Teacher_Salary!$A$46, enrollment_table[Enrollment Month], rahmatullahSalary_table[[#This Row],[Month]])</f>
        <v>0</v>
      </c>
      <c r="C55" s="246">
        <f>SUMIFS(enrollment_table[Fee], enrollment_table[*Teacher Name], Teacher_Salary!$A$46, enrollment_table[Enrollment Month], rahmatullahSalary_table[[#This Row],[Month]])</f>
        <v>0</v>
      </c>
      <c r="D55" s="256">
        <f>_xlfn.XLOOKUP(Teacher_Salary!$A$46, teachers_table[*Teacher Name], teachers_table[*Income Rate])</f>
        <v>0.6</v>
      </c>
      <c r="E55" s="171">
        <f>rahmatullahSalary_table[[#This Row],[Income Rate]]*rahmatullahSalary_table[[#This Row],[Student Payments]]</f>
        <v>0</v>
      </c>
      <c r="F55" s="174"/>
      <c r="G55" s="174"/>
      <c r="H55" s="92"/>
    </row>
    <row r="56" spans="1:8" x14ac:dyDescent="0.3">
      <c r="A56" s="109" t="s">
        <v>113</v>
      </c>
      <c r="B56" s="279">
        <f>COUNTIFS(enrollment_table[*Teacher Name], Teacher_Salary!$A$46, enrollment_table[Enrollment Month], rahmatullahSalary_table[[#This Row],[Month]])</f>
        <v>0</v>
      </c>
      <c r="C56" s="250">
        <f>SUMIFS(enrollment_table[Fee], enrollment_table[*Teacher Name], Teacher_Salary!$A$46, enrollment_table[Enrollment Month], rahmatullahSalary_table[[#This Row],[Month]])</f>
        <v>0</v>
      </c>
      <c r="D56" s="255">
        <f>_xlfn.XLOOKUP(Teacher_Salary!$A$46, teachers_table[*Teacher Name], teachers_table[*Income Rate])</f>
        <v>0.6</v>
      </c>
      <c r="E56" s="253">
        <f>rahmatullahSalary_table[[#This Row],[Income Rate]]*rahmatullahSalary_table[[#This Row],[Student Payments]]</f>
        <v>0</v>
      </c>
      <c r="F56" s="254"/>
      <c r="G56" s="254"/>
      <c r="H56" s="91"/>
    </row>
    <row r="57" spans="1:8" x14ac:dyDescent="0.3">
      <c r="A57" s="191" t="s">
        <v>114</v>
      </c>
      <c r="B57" s="278">
        <f>COUNTIFS(enrollment_table[*Teacher Name], Teacher_Salary!$A$46, enrollment_table[Enrollment Month], rahmatullahSalary_table[[#This Row],[Month]])</f>
        <v>0</v>
      </c>
      <c r="C57" s="246">
        <f>SUMIFS(enrollment_table[Fee], enrollment_table[*Teacher Name], Teacher_Salary!$A$46, enrollment_table[Enrollment Month], rahmatullahSalary_table[[#This Row],[Month]])</f>
        <v>0</v>
      </c>
      <c r="D57" s="256">
        <f>_xlfn.XLOOKUP(Teacher_Salary!$A$46, teachers_table[*Teacher Name], teachers_table[*Income Rate])</f>
        <v>0.6</v>
      </c>
      <c r="E57" s="171">
        <f>rahmatullahSalary_table[[#This Row],[Income Rate]]*rahmatullahSalary_table[[#This Row],[Student Payments]]</f>
        <v>0</v>
      </c>
      <c r="F57" s="174"/>
      <c r="G57" s="174"/>
      <c r="H57" s="92"/>
    </row>
    <row r="58" spans="1:8" x14ac:dyDescent="0.3">
      <c r="A58" s="109" t="s">
        <v>115</v>
      </c>
      <c r="B58" s="279">
        <f>COUNTIFS(enrollment_table[*Teacher Name], Teacher_Salary!$A$46, enrollment_table[Enrollment Month], rahmatullahSalary_table[[#This Row],[Month]])</f>
        <v>0</v>
      </c>
      <c r="C58" s="250">
        <f>SUMIFS(enrollment_table[Fee], enrollment_table[*Teacher Name], Teacher_Salary!$A$46, enrollment_table[Enrollment Month], rahmatullahSalary_table[[#This Row],[Month]])</f>
        <v>0</v>
      </c>
      <c r="D58" s="255">
        <f>_xlfn.XLOOKUP(Teacher_Salary!$A$46, teachers_table[*Teacher Name], teachers_table[*Income Rate])</f>
        <v>0.6</v>
      </c>
      <c r="E58" s="253">
        <f>rahmatullahSalary_table[[#This Row],[Income Rate]]*rahmatullahSalary_table[[#This Row],[Student Payments]]</f>
        <v>0</v>
      </c>
      <c r="F58" s="254"/>
      <c r="G58" s="254"/>
      <c r="H58" s="91"/>
    </row>
    <row r="59" spans="1:8" x14ac:dyDescent="0.3">
      <c r="A59" s="191" t="s">
        <v>116</v>
      </c>
      <c r="B59" s="278">
        <f>COUNTIFS(enrollment_table[*Teacher Name], Teacher_Salary!$A$46, enrollment_table[Enrollment Month], rahmatullahSalary_table[[#This Row],[Month]])</f>
        <v>0</v>
      </c>
      <c r="C59" s="246">
        <f>SUMIFS(enrollment_table[Fee], enrollment_table[*Teacher Name], Teacher_Salary!$A$46, enrollment_table[Enrollment Month], rahmatullahSalary_table[[#This Row],[Month]])</f>
        <v>0</v>
      </c>
      <c r="D59" s="256">
        <f>_xlfn.XLOOKUP(Teacher_Salary!$A$46, teachers_table[*Teacher Name], teachers_table[*Income Rate])</f>
        <v>0.6</v>
      </c>
      <c r="E59" s="171">
        <f>rahmatullahSalary_table[[#This Row],[Income Rate]]*rahmatullahSalary_table[[#This Row],[Student Payments]]</f>
        <v>0</v>
      </c>
      <c r="F59" s="174"/>
      <c r="G59" s="174"/>
      <c r="H59" s="92"/>
    </row>
    <row r="61" spans="1:8" ht="20.399999999999999" customHeight="1" x14ac:dyDescent="0.3">
      <c r="A61" s="306" t="str">
        <f>Teachers!B6</f>
        <v>Moeen Shayagan</v>
      </c>
      <c r="B61" s="306"/>
      <c r="C61" s="306"/>
      <c r="D61" s="306"/>
      <c r="E61" s="306"/>
      <c r="F61" s="306"/>
      <c r="G61" s="306"/>
      <c r="H61" s="306"/>
    </row>
    <row r="62" spans="1:8" x14ac:dyDescent="0.3">
      <c r="A62" s="244" t="s">
        <v>42</v>
      </c>
      <c r="B62" s="260" t="s">
        <v>43</v>
      </c>
      <c r="C62" s="247" t="s">
        <v>263</v>
      </c>
      <c r="D62" s="258" t="s">
        <v>29</v>
      </c>
      <c r="E62" s="248" t="s">
        <v>44</v>
      </c>
      <c r="F62" s="248" t="s">
        <v>158</v>
      </c>
      <c r="G62" s="249" t="s">
        <v>159</v>
      </c>
      <c r="H62" s="245" t="s">
        <v>7</v>
      </c>
    </row>
    <row r="63" spans="1:8" x14ac:dyDescent="0.3">
      <c r="A63" s="190" t="s">
        <v>100</v>
      </c>
      <c r="B63" s="277">
        <f>COUNTIFS(enrollment_table[*Teacher Name], Teacher_Salary!$A$61, enrollment_table[Enrollment Month], moeenSalary_table[[#This Row],[Month]])</f>
        <v>0</v>
      </c>
      <c r="C63" s="250">
        <f>SUMIFS(enrollment_table[Fee], enrollment_table[*Teacher Name], Teacher_Salary!$A$61, enrollment_table[Enrollment Month], moeenSalary_table[[#This Row],[Month]])</f>
        <v>0</v>
      </c>
      <c r="D63" s="255">
        <f>_xlfn.XLOOKUP(Teacher_Salary!$A$61, teachers_table[*Teacher Name], teachers_table[*Income Rate])</f>
        <v>0.5</v>
      </c>
      <c r="E63" s="250">
        <f>moeenSalary_table[[#This Row],[Income Rate]]*moeenSalary_table[[#This Row],[Student Payments]]</f>
        <v>0</v>
      </c>
      <c r="F63" s="252" t="s">
        <v>51</v>
      </c>
      <c r="G63" s="252"/>
      <c r="H63" s="67"/>
    </row>
    <row r="64" spans="1:8" x14ac:dyDescent="0.3">
      <c r="A64" s="191" t="s">
        <v>108</v>
      </c>
      <c r="B64" s="278">
        <f>COUNTIFS(enrollment_table[*Teacher Name], Teacher_Salary!$A$61, enrollment_table[Enrollment Month], moeenSalary_table[[#This Row],[Month]])</f>
        <v>0</v>
      </c>
      <c r="C64" s="246">
        <f>SUMIFS(enrollment_table[Fee], enrollment_table[*Teacher Name], Teacher_Salary!$A$61, enrollment_table[Enrollment Month], moeenSalary_table[[#This Row],[Month]])</f>
        <v>0</v>
      </c>
      <c r="D64" s="256">
        <f>_xlfn.XLOOKUP(Teacher_Salary!$A$61, teachers_table[*Teacher Name], teachers_table[*Income Rate])</f>
        <v>0.5</v>
      </c>
      <c r="E64" s="171">
        <f>moeenSalary_table[[#This Row],[Income Rate]]*moeenSalary_table[[#This Row],[Student Payments]]</f>
        <v>0</v>
      </c>
      <c r="F64" s="174"/>
      <c r="G64" s="174"/>
      <c r="H64" s="92"/>
    </row>
    <row r="65" spans="1:8" x14ac:dyDescent="0.3">
      <c r="A65" s="109" t="s">
        <v>99</v>
      </c>
      <c r="B65" s="279">
        <f>COUNTIFS(enrollment_table[*Teacher Name], Teacher_Salary!$A$61, enrollment_table[Enrollment Month], moeenSalary_table[[#This Row],[Month]])</f>
        <v>0</v>
      </c>
      <c r="C65" s="250">
        <f>SUMIFS(enrollment_table[Fee], enrollment_table[*Teacher Name], Teacher_Salary!$A$61, enrollment_table[Enrollment Month], moeenSalary_table[[#This Row],[Month]])</f>
        <v>0</v>
      </c>
      <c r="D65" s="255">
        <f>_xlfn.XLOOKUP(Teacher_Salary!$A$61, teachers_table[*Teacher Name], teachers_table[*Income Rate])</f>
        <v>0.5</v>
      </c>
      <c r="E65" s="253">
        <f>moeenSalary_table[[#This Row],[Income Rate]]*moeenSalary_table[[#This Row],[Student Payments]]</f>
        <v>0</v>
      </c>
      <c r="F65" s="254"/>
      <c r="G65" s="254"/>
      <c r="H65" s="91"/>
    </row>
    <row r="66" spans="1:8" x14ac:dyDescent="0.3">
      <c r="A66" s="191" t="s">
        <v>109</v>
      </c>
      <c r="B66" s="278">
        <f>COUNTIFS(enrollment_table[*Teacher Name], Teacher_Salary!$A$61, enrollment_table[Enrollment Month], moeenSalary_table[[#This Row],[Month]])</f>
        <v>0</v>
      </c>
      <c r="C66" s="246">
        <f>SUMIFS(enrollment_table[Fee], enrollment_table[*Teacher Name], Teacher_Salary!$A$61, enrollment_table[Enrollment Month], moeenSalary_table[[#This Row],[Month]])</f>
        <v>0</v>
      </c>
      <c r="D66" s="256">
        <f>_xlfn.XLOOKUP(Teacher_Salary!$A$61, teachers_table[*Teacher Name], teachers_table[*Income Rate])</f>
        <v>0.5</v>
      </c>
      <c r="E66" s="171">
        <f>moeenSalary_table[[#This Row],[Income Rate]]*moeenSalary_table[[#This Row],[Student Payments]]</f>
        <v>0</v>
      </c>
      <c r="F66" s="174"/>
      <c r="G66" s="174"/>
      <c r="H66" s="92"/>
    </row>
    <row r="67" spans="1:8" x14ac:dyDescent="0.3">
      <c r="A67" s="109" t="s">
        <v>39</v>
      </c>
      <c r="B67" s="279">
        <f>COUNTIFS(enrollment_table[*Teacher Name], Teacher_Salary!$A$61, enrollment_table[Enrollment Month], moeenSalary_table[[#This Row],[Month]])</f>
        <v>0</v>
      </c>
      <c r="C67" s="259">
        <f>SUMIFS(enrollment_table[Fee], enrollment_table[*Teacher Name], Teacher_Salary!$A$61, enrollment_table[Enrollment Month], moeenSalary_table[[#This Row],[Month]])</f>
        <v>0</v>
      </c>
      <c r="D67" s="255">
        <f>_xlfn.XLOOKUP(Teacher_Salary!$A$61, teachers_table[*Teacher Name], teachers_table[*Income Rate])</f>
        <v>0.5</v>
      </c>
      <c r="E67" s="253">
        <f>moeenSalary_table[[#This Row],[Income Rate]]*moeenSalary_table[[#This Row],[Student Payments]]</f>
        <v>0</v>
      </c>
      <c r="F67" s="254"/>
      <c r="G67" s="254"/>
      <c r="H67" s="91"/>
    </row>
    <row r="68" spans="1:8" x14ac:dyDescent="0.3">
      <c r="A68" s="191" t="s">
        <v>110</v>
      </c>
      <c r="B68" s="278">
        <f>COUNTIFS(enrollment_table[*Teacher Name], Teacher_Salary!$A$61, enrollment_table[Enrollment Month], moeenSalary_table[[#This Row],[Month]])</f>
        <v>0</v>
      </c>
      <c r="C68" s="246">
        <f>SUMIFS(enrollment_table[Fee], enrollment_table[*Teacher Name], Teacher_Salary!$A$61, enrollment_table[Enrollment Month], moeenSalary_table[[#This Row],[Month]])</f>
        <v>0</v>
      </c>
      <c r="D68" s="256">
        <f>_xlfn.XLOOKUP(Teacher_Salary!$A$61, teachers_table[*Teacher Name], teachers_table[*Income Rate])</f>
        <v>0.5</v>
      </c>
      <c r="E68" s="171">
        <f>moeenSalary_table[[#This Row],[Income Rate]]*moeenSalary_table[[#This Row],[Student Payments]]</f>
        <v>0</v>
      </c>
      <c r="F68" s="174"/>
      <c r="G68" s="174"/>
      <c r="H68" s="92"/>
    </row>
    <row r="69" spans="1:8" x14ac:dyDescent="0.3">
      <c r="A69" s="109" t="s">
        <v>111</v>
      </c>
      <c r="B69" s="279">
        <f>COUNTIFS(enrollment_table[*Teacher Name], Teacher_Salary!$A$61, enrollment_table[Enrollment Month], moeenSalary_table[[#This Row],[Month]])</f>
        <v>0</v>
      </c>
      <c r="C69" s="250">
        <f>SUMIFS(enrollment_table[Fee], enrollment_table[*Teacher Name], Teacher_Salary!$A$61, enrollment_table[Enrollment Month], moeenSalary_table[[#This Row],[Month]])</f>
        <v>0</v>
      </c>
      <c r="D69" s="255">
        <f>_xlfn.XLOOKUP(Teacher_Salary!$A$61, teachers_table[*Teacher Name], teachers_table[*Income Rate])</f>
        <v>0.5</v>
      </c>
      <c r="E69" s="253">
        <f>moeenSalary_table[[#This Row],[Income Rate]]*moeenSalary_table[[#This Row],[Student Payments]]</f>
        <v>0</v>
      </c>
      <c r="F69" s="254"/>
      <c r="G69" s="254"/>
      <c r="H69" s="91"/>
    </row>
    <row r="70" spans="1:8" x14ac:dyDescent="0.3">
      <c r="A70" s="191" t="s">
        <v>112</v>
      </c>
      <c r="B70" s="278">
        <f>COUNTIFS(enrollment_table[*Teacher Name], Teacher_Salary!$A$61, enrollment_table[Enrollment Month], moeenSalary_table[[#This Row],[Month]])</f>
        <v>0</v>
      </c>
      <c r="C70" s="246">
        <f>SUMIFS(enrollment_table[Fee], enrollment_table[*Teacher Name], Teacher_Salary!$A$61, enrollment_table[Enrollment Month], moeenSalary_table[[#This Row],[Month]])</f>
        <v>0</v>
      </c>
      <c r="D70" s="256">
        <f>_xlfn.XLOOKUP(Teacher_Salary!$A$61, teachers_table[*Teacher Name], teachers_table[*Income Rate])</f>
        <v>0.5</v>
      </c>
      <c r="E70" s="171">
        <f>moeenSalary_table[[#This Row],[Income Rate]]*moeenSalary_table[[#This Row],[Student Payments]]</f>
        <v>0</v>
      </c>
      <c r="F70" s="174"/>
      <c r="G70" s="174"/>
      <c r="H70" s="92"/>
    </row>
    <row r="71" spans="1:8" x14ac:dyDescent="0.3">
      <c r="A71" s="109" t="s">
        <v>113</v>
      </c>
      <c r="B71" s="279">
        <f>COUNTIFS(enrollment_table[*Teacher Name], Teacher_Salary!$A$61, enrollment_table[Enrollment Month], moeenSalary_table[[#This Row],[Month]])</f>
        <v>1</v>
      </c>
      <c r="C71" s="250">
        <f>SUMIFS(enrollment_table[Fee], enrollment_table[*Teacher Name], Teacher_Salary!$A$61, enrollment_table[Enrollment Month], moeenSalary_table[[#This Row],[Month]])</f>
        <v>1000</v>
      </c>
      <c r="D71" s="255">
        <f>_xlfn.XLOOKUP(Teacher_Salary!$A$61, teachers_table[*Teacher Name], teachers_table[*Income Rate])</f>
        <v>0.5</v>
      </c>
      <c r="E71" s="253">
        <f>moeenSalary_table[[#This Row],[Income Rate]]*moeenSalary_table[[#This Row],[Student Payments]]</f>
        <v>500</v>
      </c>
      <c r="F71" s="254"/>
      <c r="G71" s="254"/>
      <c r="H71" s="91"/>
    </row>
    <row r="72" spans="1:8" x14ac:dyDescent="0.3">
      <c r="A72" s="191" t="s">
        <v>114</v>
      </c>
      <c r="B72" s="278">
        <f>COUNTIFS(enrollment_table[*Teacher Name], Teacher_Salary!$A$61, enrollment_table[Enrollment Month], moeenSalary_table[[#This Row],[Month]])</f>
        <v>0</v>
      </c>
      <c r="C72" s="246">
        <f>SUMIFS(enrollment_table[Fee], enrollment_table[*Teacher Name], Teacher_Salary!$A$61, enrollment_table[Enrollment Month], moeenSalary_table[[#This Row],[Month]])</f>
        <v>0</v>
      </c>
      <c r="D72" s="256">
        <f>_xlfn.XLOOKUP(Teacher_Salary!$A$61, teachers_table[*Teacher Name], teachers_table[*Income Rate])</f>
        <v>0.5</v>
      </c>
      <c r="E72" s="171">
        <f>moeenSalary_table[[#This Row],[Income Rate]]*moeenSalary_table[[#This Row],[Student Payments]]</f>
        <v>0</v>
      </c>
      <c r="F72" s="174"/>
      <c r="G72" s="174"/>
      <c r="H72" s="92"/>
    </row>
    <row r="73" spans="1:8" x14ac:dyDescent="0.3">
      <c r="A73" s="109" t="s">
        <v>115</v>
      </c>
      <c r="B73" s="279">
        <f>COUNTIFS(enrollment_table[*Teacher Name], Teacher_Salary!$A$61, enrollment_table[Enrollment Month], moeenSalary_table[[#This Row],[Month]])</f>
        <v>0</v>
      </c>
      <c r="C73" s="250">
        <f>SUMIFS(enrollment_table[Fee], enrollment_table[*Teacher Name], Teacher_Salary!$A$61, enrollment_table[Enrollment Month], moeenSalary_table[[#This Row],[Month]])</f>
        <v>0</v>
      </c>
      <c r="D73" s="255">
        <f>_xlfn.XLOOKUP(Teacher_Salary!$A$61, teachers_table[*Teacher Name], teachers_table[*Income Rate])</f>
        <v>0.5</v>
      </c>
      <c r="E73" s="253">
        <f>moeenSalary_table[[#This Row],[Income Rate]]*moeenSalary_table[[#This Row],[Student Payments]]</f>
        <v>0</v>
      </c>
      <c r="F73" s="254"/>
      <c r="G73" s="254"/>
      <c r="H73" s="91"/>
    </row>
    <row r="74" spans="1:8" x14ac:dyDescent="0.3">
      <c r="A74" s="191" t="s">
        <v>116</v>
      </c>
      <c r="B74" s="278">
        <f>COUNTIFS(enrollment_table[*Teacher Name], Teacher_Salary!$A$61, enrollment_table[Enrollment Month], moeenSalary_table[[#This Row],[Month]])</f>
        <v>0</v>
      </c>
      <c r="C74" s="246">
        <f>SUMIFS(enrollment_table[Fee], enrollment_table[*Teacher Name], Teacher_Salary!$A$61, enrollment_table[Enrollment Month], moeenSalary_table[[#This Row],[Month]])</f>
        <v>0</v>
      </c>
      <c r="D74" s="256">
        <f>_xlfn.XLOOKUP(Teacher_Salary!$A$61, teachers_table[*Teacher Name], teachers_table[*Income Rate])</f>
        <v>0.5</v>
      </c>
      <c r="E74" s="171">
        <f>moeenSalary_table[[#This Row],[Income Rate]]*moeenSalary_table[[#This Row],[Student Payments]]</f>
        <v>0</v>
      </c>
      <c r="F74" s="174"/>
      <c r="G74" s="174"/>
      <c r="H74" s="92"/>
    </row>
    <row r="76" spans="1:8" ht="19.2" customHeight="1" x14ac:dyDescent="0.3">
      <c r="A76" s="306" t="str">
        <f>Teachers!B7</f>
        <v>Ali Ashori</v>
      </c>
      <c r="B76" s="306"/>
      <c r="C76" s="306"/>
      <c r="D76" s="306"/>
      <c r="E76" s="306"/>
      <c r="F76" s="306"/>
      <c r="G76" s="306"/>
      <c r="H76" s="306"/>
    </row>
    <row r="77" spans="1:8" x14ac:dyDescent="0.3">
      <c r="A77" s="244" t="s">
        <v>42</v>
      </c>
      <c r="B77" s="260" t="s">
        <v>43</v>
      </c>
      <c r="C77" s="247" t="s">
        <v>263</v>
      </c>
      <c r="D77" s="258" t="s">
        <v>29</v>
      </c>
      <c r="E77" s="248" t="s">
        <v>44</v>
      </c>
      <c r="F77" s="248" t="s">
        <v>158</v>
      </c>
      <c r="G77" s="249" t="s">
        <v>159</v>
      </c>
      <c r="H77" s="245" t="s">
        <v>7</v>
      </c>
    </row>
    <row r="78" spans="1:8" x14ac:dyDescent="0.3">
      <c r="A78" s="190" t="s">
        <v>100</v>
      </c>
      <c r="B78" s="277">
        <f>COUNTIFS(enrollment_table[*Teacher Name], Teacher_Salary!$A$76, enrollment_table[Enrollment Month], aliAshoriSalary_table[[#This Row],[Month]])</f>
        <v>0</v>
      </c>
      <c r="C78" s="250">
        <f>SUMIFS(enrollment_table[Fee], enrollment_table[*Teacher Name], Teacher_Salary!$A$76, enrollment_table[Enrollment Month], aliAshoriSalary_table[[#This Row],[Month]])</f>
        <v>0</v>
      </c>
      <c r="D78" s="255">
        <f>_xlfn.XLOOKUP(Teacher_Salary!$A$76, teachers_table[*Teacher Name], teachers_table[*Income Rate])</f>
        <v>0.4</v>
      </c>
      <c r="E78" s="250">
        <f>aliAshoriSalary_table[[#This Row],[Income Rate]]*aliAshoriSalary_table[[#This Row],[Student Payments]]</f>
        <v>0</v>
      </c>
      <c r="F78" s="252" t="s">
        <v>51</v>
      </c>
      <c r="G78" s="252"/>
      <c r="H78" s="67"/>
    </row>
    <row r="79" spans="1:8" x14ac:dyDescent="0.3">
      <c r="A79" s="191" t="s">
        <v>108</v>
      </c>
      <c r="B79" s="278">
        <f>COUNTIFS(enrollment_table[*Teacher Name], Teacher_Salary!$A$76, enrollment_table[Enrollment Month], aliAshoriSalary_table[[#This Row],[Month]])</f>
        <v>0</v>
      </c>
      <c r="C79" s="246">
        <f>SUMIFS(enrollment_table[Fee], enrollment_table[*Teacher Name], Teacher_Salary!$A$76, enrollment_table[Enrollment Month], aliAshoriSalary_table[[#This Row],[Month]])</f>
        <v>0</v>
      </c>
      <c r="D79" s="256">
        <f>_xlfn.XLOOKUP(Teacher_Salary!$A$76, teachers_table[*Teacher Name], teachers_table[*Income Rate])</f>
        <v>0.4</v>
      </c>
      <c r="E79" s="171">
        <f>aliAshoriSalary_table[[#This Row],[Income Rate]]*aliAshoriSalary_table[[#This Row],[Student Payments]]</f>
        <v>0</v>
      </c>
      <c r="F79" s="174"/>
      <c r="G79" s="174"/>
      <c r="H79" s="92"/>
    </row>
    <row r="80" spans="1:8" x14ac:dyDescent="0.3">
      <c r="A80" s="109" t="s">
        <v>99</v>
      </c>
      <c r="B80" s="279">
        <f>COUNTIFS(enrollment_table[*Teacher Name], Teacher_Salary!$A$76, enrollment_table[Enrollment Month], aliAshoriSalary_table[[#This Row],[Month]])</f>
        <v>0</v>
      </c>
      <c r="C80" s="250">
        <f>SUMIFS(enrollment_table[Fee], enrollment_table[*Teacher Name], Teacher_Salary!$A$76, enrollment_table[Enrollment Month], aliAshoriSalary_table[[#This Row],[Month]])</f>
        <v>0</v>
      </c>
      <c r="D80" s="255">
        <f>_xlfn.XLOOKUP(Teacher_Salary!$A$76, teachers_table[*Teacher Name], teachers_table[*Income Rate])</f>
        <v>0.4</v>
      </c>
      <c r="E80" s="253">
        <f>aliAshoriSalary_table[[#This Row],[Income Rate]]*aliAshoriSalary_table[[#This Row],[Student Payments]]</f>
        <v>0</v>
      </c>
      <c r="F80" s="254"/>
      <c r="G80" s="254"/>
      <c r="H80" s="91"/>
    </row>
    <row r="81" spans="1:8" x14ac:dyDescent="0.3">
      <c r="A81" s="191" t="s">
        <v>109</v>
      </c>
      <c r="B81" s="278">
        <f>COUNTIFS(enrollment_table[*Teacher Name], Teacher_Salary!$A$76, enrollment_table[Enrollment Month], aliAshoriSalary_table[[#This Row],[Month]])</f>
        <v>0</v>
      </c>
      <c r="C81" s="246">
        <f>SUMIFS(enrollment_table[Fee], enrollment_table[*Teacher Name], Teacher_Salary!$A$76, enrollment_table[Enrollment Month], aliAshoriSalary_table[[#This Row],[Month]])</f>
        <v>0</v>
      </c>
      <c r="D81" s="256">
        <f>_xlfn.XLOOKUP(Teacher_Salary!$A$76, teachers_table[*Teacher Name], teachers_table[*Income Rate])</f>
        <v>0.4</v>
      </c>
      <c r="E81" s="171">
        <f>aliAshoriSalary_table[[#This Row],[Income Rate]]*aliAshoriSalary_table[[#This Row],[Student Payments]]</f>
        <v>0</v>
      </c>
      <c r="F81" s="174"/>
      <c r="G81" s="174"/>
      <c r="H81" s="92"/>
    </row>
    <row r="82" spans="1:8" x14ac:dyDescent="0.3">
      <c r="A82" s="109" t="s">
        <v>39</v>
      </c>
      <c r="B82" s="279">
        <f>COUNTIFS(enrollment_table[*Teacher Name], Teacher_Salary!$A$76, enrollment_table[Enrollment Month], aliAshoriSalary_table[[#This Row],[Month]])</f>
        <v>0</v>
      </c>
      <c r="C82" s="259">
        <f>SUMIFS(enrollment_table[Fee], enrollment_table[*Teacher Name], Teacher_Salary!$A$76, enrollment_table[Enrollment Month], aliAshoriSalary_table[[#This Row],[Month]])</f>
        <v>0</v>
      </c>
      <c r="D82" s="255">
        <f>_xlfn.XLOOKUP(Teacher_Salary!$A$76, teachers_table[*Teacher Name], teachers_table[*Income Rate])</f>
        <v>0.4</v>
      </c>
      <c r="E82" s="253">
        <f>aliAshoriSalary_table[[#This Row],[Income Rate]]*aliAshoriSalary_table[[#This Row],[Student Payments]]</f>
        <v>0</v>
      </c>
      <c r="F82" s="254"/>
      <c r="G82" s="254"/>
      <c r="H82" s="91"/>
    </row>
    <row r="83" spans="1:8" x14ac:dyDescent="0.3">
      <c r="A83" s="191" t="s">
        <v>110</v>
      </c>
      <c r="B83" s="278">
        <f>COUNTIFS(enrollment_table[*Teacher Name], Teacher_Salary!$A$76, enrollment_table[Enrollment Month], aliAshoriSalary_table[[#This Row],[Month]])</f>
        <v>0</v>
      </c>
      <c r="C83" s="246">
        <f>SUMIFS(enrollment_table[Fee], enrollment_table[*Teacher Name], Teacher_Salary!$A$76, enrollment_table[Enrollment Month], aliAshoriSalary_table[[#This Row],[Month]])</f>
        <v>0</v>
      </c>
      <c r="D83" s="256">
        <f>_xlfn.XLOOKUP(Teacher_Salary!$A$76, teachers_table[*Teacher Name], teachers_table[*Income Rate])</f>
        <v>0.4</v>
      </c>
      <c r="E83" s="171">
        <f>aliAshoriSalary_table[[#This Row],[Income Rate]]*aliAshoriSalary_table[[#This Row],[Student Payments]]</f>
        <v>0</v>
      </c>
      <c r="F83" s="174"/>
      <c r="G83" s="174"/>
      <c r="H83" s="92"/>
    </row>
    <row r="84" spans="1:8" x14ac:dyDescent="0.3">
      <c r="A84" s="109" t="s">
        <v>111</v>
      </c>
      <c r="B84" s="279">
        <f>COUNTIFS(enrollment_table[*Teacher Name], Teacher_Salary!$A$76, enrollment_table[Enrollment Month], aliAshoriSalary_table[[#This Row],[Month]])</f>
        <v>0</v>
      </c>
      <c r="C84" s="250">
        <f>SUMIFS(enrollment_table[Fee], enrollment_table[*Teacher Name], Teacher_Salary!$A$76, enrollment_table[Enrollment Month], aliAshoriSalary_table[[#This Row],[Month]])</f>
        <v>0</v>
      </c>
      <c r="D84" s="255">
        <f>_xlfn.XLOOKUP(Teacher_Salary!$A$76, teachers_table[*Teacher Name], teachers_table[*Income Rate])</f>
        <v>0.4</v>
      </c>
      <c r="E84" s="253">
        <f>aliAshoriSalary_table[[#This Row],[Income Rate]]*aliAshoriSalary_table[[#This Row],[Student Payments]]</f>
        <v>0</v>
      </c>
      <c r="F84" s="254"/>
      <c r="G84" s="254"/>
      <c r="H84" s="91"/>
    </row>
    <row r="85" spans="1:8" x14ac:dyDescent="0.3">
      <c r="A85" s="191" t="s">
        <v>112</v>
      </c>
      <c r="B85" s="278">
        <f>COUNTIFS(enrollment_table[*Teacher Name], Teacher_Salary!$A$76, enrollment_table[Enrollment Month], aliAshoriSalary_table[[#This Row],[Month]])</f>
        <v>0</v>
      </c>
      <c r="C85" s="246">
        <f>SUMIFS(enrollment_table[Fee], enrollment_table[*Teacher Name], Teacher_Salary!$A$76, enrollment_table[Enrollment Month], aliAshoriSalary_table[[#This Row],[Month]])</f>
        <v>0</v>
      </c>
      <c r="D85" s="256">
        <f>_xlfn.XLOOKUP(Teacher_Salary!$A$76, teachers_table[*Teacher Name], teachers_table[*Income Rate])</f>
        <v>0.4</v>
      </c>
      <c r="E85" s="171">
        <f>aliAshoriSalary_table[[#This Row],[Income Rate]]*aliAshoriSalary_table[[#This Row],[Student Payments]]</f>
        <v>0</v>
      </c>
      <c r="F85" s="174"/>
      <c r="G85" s="174"/>
      <c r="H85" s="92"/>
    </row>
    <row r="86" spans="1:8" x14ac:dyDescent="0.3">
      <c r="A86" s="109" t="s">
        <v>113</v>
      </c>
      <c r="B86" s="279">
        <f>COUNTIFS(enrollment_table[*Teacher Name], Teacher_Salary!$A$76, enrollment_table[Enrollment Month], aliAshoriSalary_table[[#This Row],[Month]])</f>
        <v>1</v>
      </c>
      <c r="C86" s="250">
        <f>SUMIFS(enrollment_table[Fee], enrollment_table[*Teacher Name], Teacher_Salary!$A$76, enrollment_table[Enrollment Month], aliAshoriSalary_table[[#This Row],[Month]])</f>
        <v>1000</v>
      </c>
      <c r="D86" s="255">
        <f>_xlfn.XLOOKUP(Teacher_Salary!$A$76, teachers_table[*Teacher Name], teachers_table[*Income Rate])</f>
        <v>0.4</v>
      </c>
      <c r="E86" s="253">
        <f>aliAshoriSalary_table[[#This Row],[Income Rate]]*aliAshoriSalary_table[[#This Row],[Student Payments]]</f>
        <v>400</v>
      </c>
      <c r="F86" s="254"/>
      <c r="G86" s="254"/>
      <c r="H86" s="91"/>
    </row>
    <row r="87" spans="1:8" x14ac:dyDescent="0.3">
      <c r="A87" s="191" t="s">
        <v>114</v>
      </c>
      <c r="B87" s="278">
        <f>COUNTIFS(enrollment_table[*Teacher Name], Teacher_Salary!$A$76, enrollment_table[Enrollment Month], aliAshoriSalary_table[[#This Row],[Month]])</f>
        <v>0</v>
      </c>
      <c r="C87" s="246">
        <f>SUMIFS(enrollment_table[Fee], enrollment_table[*Teacher Name], Teacher_Salary!$A$76, enrollment_table[Enrollment Month], aliAshoriSalary_table[[#This Row],[Month]])</f>
        <v>0</v>
      </c>
      <c r="D87" s="256">
        <f>_xlfn.XLOOKUP(Teacher_Salary!$A$76, teachers_table[*Teacher Name], teachers_table[*Income Rate])</f>
        <v>0.4</v>
      </c>
      <c r="E87" s="171">
        <f>aliAshoriSalary_table[[#This Row],[Income Rate]]*aliAshoriSalary_table[[#This Row],[Student Payments]]</f>
        <v>0</v>
      </c>
      <c r="F87" s="174"/>
      <c r="G87" s="174"/>
      <c r="H87" s="92"/>
    </row>
    <row r="88" spans="1:8" x14ac:dyDescent="0.3">
      <c r="A88" s="109" t="s">
        <v>115</v>
      </c>
      <c r="B88" s="279">
        <f>COUNTIFS(enrollment_table[*Teacher Name], Teacher_Salary!$A$76, enrollment_table[Enrollment Month], aliAshoriSalary_table[[#This Row],[Month]])</f>
        <v>0</v>
      </c>
      <c r="C88" s="250">
        <f>SUMIFS(enrollment_table[Fee], enrollment_table[*Teacher Name], Teacher_Salary!$A$76, enrollment_table[Enrollment Month], aliAshoriSalary_table[[#This Row],[Month]])</f>
        <v>0</v>
      </c>
      <c r="D88" s="255">
        <f>_xlfn.XLOOKUP(Teacher_Salary!$A$76, teachers_table[*Teacher Name], teachers_table[*Income Rate])</f>
        <v>0.4</v>
      </c>
      <c r="E88" s="253">
        <f>aliAshoriSalary_table[[#This Row],[Income Rate]]*aliAshoriSalary_table[[#This Row],[Student Payments]]</f>
        <v>0</v>
      </c>
      <c r="F88" s="254"/>
      <c r="G88" s="254"/>
      <c r="H88" s="91"/>
    </row>
    <row r="89" spans="1:8" x14ac:dyDescent="0.3">
      <c r="A89" s="191" t="s">
        <v>116</v>
      </c>
      <c r="B89" s="278">
        <f>COUNTIFS(enrollment_table[*Teacher Name], Teacher_Salary!$A$76, enrollment_table[Enrollment Month], aliAshoriSalary_table[[#This Row],[Month]])</f>
        <v>0</v>
      </c>
      <c r="C89" s="246">
        <f>SUMIFS(enrollment_table[Fee], enrollment_table[*Teacher Name], Teacher_Salary!$A$76, enrollment_table[Enrollment Month], aliAshoriSalary_table[[#This Row],[Month]])</f>
        <v>0</v>
      </c>
      <c r="D89" s="256">
        <f>_xlfn.XLOOKUP(Teacher_Salary!$A$76, teachers_table[*Teacher Name], teachers_table[*Income Rate])</f>
        <v>0.4</v>
      </c>
      <c r="E89" s="171">
        <f>aliAshoriSalary_table[[#This Row],[Income Rate]]*aliAshoriSalary_table[[#This Row],[Student Payments]]</f>
        <v>0</v>
      </c>
      <c r="F89" s="174"/>
      <c r="G89" s="174"/>
      <c r="H89" s="92"/>
    </row>
    <row r="91" spans="1:8" ht="18.600000000000001" customHeight="1" x14ac:dyDescent="0.3">
      <c r="A91" s="306" t="str">
        <f>Teachers!B8</f>
        <v>Ali Sina Nayab</v>
      </c>
      <c r="B91" s="306"/>
      <c r="C91" s="306"/>
      <c r="D91" s="306"/>
      <c r="E91" s="306"/>
      <c r="F91" s="306"/>
      <c r="G91" s="306"/>
      <c r="H91" s="306"/>
    </row>
    <row r="92" spans="1:8" x14ac:dyDescent="0.3">
      <c r="A92" s="244" t="s">
        <v>42</v>
      </c>
      <c r="B92" s="260" t="s">
        <v>43</v>
      </c>
      <c r="C92" s="247" t="s">
        <v>263</v>
      </c>
      <c r="D92" s="258" t="s">
        <v>29</v>
      </c>
      <c r="E92" s="248" t="s">
        <v>44</v>
      </c>
      <c r="F92" s="248" t="s">
        <v>158</v>
      </c>
      <c r="G92" s="249" t="s">
        <v>159</v>
      </c>
      <c r="H92" s="245" t="s">
        <v>7</v>
      </c>
    </row>
    <row r="93" spans="1:8" x14ac:dyDescent="0.3">
      <c r="A93" s="190" t="s">
        <v>100</v>
      </c>
      <c r="B93" s="277">
        <f>COUNTIFS(enrollment_table[*Teacher Name], Teacher_Salary!$A$91, enrollment_table[Enrollment Month], aliSinaSalary_table[[#This Row],[Month]])</f>
        <v>0</v>
      </c>
      <c r="C93" s="250">
        <f>SUMIFS(enrollment_table[Fee], enrollment_table[*Teacher Name], Teacher_Salary!$A$91, enrollment_table[Enrollment Month], aliSinaSalary_table[[#This Row],[Month]])</f>
        <v>0</v>
      </c>
      <c r="D93" s="255">
        <f>_xlfn.XLOOKUP(Teacher_Salary!$A$91, teachers_table[*Teacher Name], teachers_table[*Income Rate])</f>
        <v>0.3</v>
      </c>
      <c r="E93" s="250">
        <f>aliSinaSalary_table[[#This Row],[Income Rate]]*aliSinaSalary_table[[#This Row],[Student Payments]]</f>
        <v>0</v>
      </c>
      <c r="F93" s="252" t="s">
        <v>51</v>
      </c>
      <c r="G93" s="252"/>
      <c r="H93" s="67"/>
    </row>
    <row r="94" spans="1:8" x14ac:dyDescent="0.3">
      <c r="A94" s="191" t="s">
        <v>108</v>
      </c>
      <c r="B94" s="278">
        <f>COUNTIFS(enrollment_table[*Teacher Name], Teacher_Salary!$A$91, enrollment_table[Enrollment Month], aliSinaSalary_table[[#This Row],[Month]])</f>
        <v>0</v>
      </c>
      <c r="C94" s="246">
        <f>SUMIFS(enrollment_table[Fee], enrollment_table[*Teacher Name], Teacher_Salary!$A$91, enrollment_table[Enrollment Month], aliSinaSalary_table[[#This Row],[Month]])</f>
        <v>0</v>
      </c>
      <c r="D94" s="256">
        <f>_xlfn.XLOOKUP(Teacher_Salary!$A$91, teachers_table[*Teacher Name], teachers_table[*Income Rate])</f>
        <v>0.3</v>
      </c>
      <c r="E94" s="171">
        <f>aliSinaSalary_table[[#This Row],[Income Rate]]*aliSinaSalary_table[[#This Row],[Student Payments]]</f>
        <v>0</v>
      </c>
      <c r="F94" s="174"/>
      <c r="G94" s="174"/>
      <c r="H94" s="92"/>
    </row>
    <row r="95" spans="1:8" x14ac:dyDescent="0.3">
      <c r="A95" s="109" t="s">
        <v>99</v>
      </c>
      <c r="B95" s="279">
        <f>COUNTIFS(enrollment_table[*Teacher Name], Teacher_Salary!$A$91, enrollment_table[Enrollment Month], aliSinaSalary_table[[#This Row],[Month]])</f>
        <v>0</v>
      </c>
      <c r="C95" s="250">
        <f>SUMIFS(enrollment_table[Fee], enrollment_table[*Teacher Name], Teacher_Salary!$A$91, enrollment_table[Enrollment Month], aliSinaSalary_table[[#This Row],[Month]])</f>
        <v>0</v>
      </c>
      <c r="D95" s="255">
        <f>_xlfn.XLOOKUP(Teacher_Salary!$A$91, teachers_table[*Teacher Name], teachers_table[*Income Rate])</f>
        <v>0.3</v>
      </c>
      <c r="E95" s="253">
        <f>aliSinaSalary_table[[#This Row],[Income Rate]]*aliSinaSalary_table[[#This Row],[Student Payments]]</f>
        <v>0</v>
      </c>
      <c r="F95" s="254"/>
      <c r="G95" s="254"/>
      <c r="H95" s="91"/>
    </row>
    <row r="96" spans="1:8" x14ac:dyDescent="0.3">
      <c r="A96" s="191" t="s">
        <v>109</v>
      </c>
      <c r="B96" s="278">
        <f>COUNTIFS(enrollment_table[*Teacher Name], Teacher_Salary!$A$91, enrollment_table[Enrollment Month], aliSinaSalary_table[[#This Row],[Month]])</f>
        <v>0</v>
      </c>
      <c r="C96" s="246">
        <f>SUMIFS(enrollment_table[Fee], enrollment_table[*Teacher Name], Teacher_Salary!$A$91, enrollment_table[Enrollment Month], aliSinaSalary_table[[#This Row],[Month]])</f>
        <v>0</v>
      </c>
      <c r="D96" s="256">
        <f>_xlfn.XLOOKUP(Teacher_Salary!$A$91, teachers_table[*Teacher Name], teachers_table[*Income Rate])</f>
        <v>0.3</v>
      </c>
      <c r="E96" s="171">
        <f>aliSinaSalary_table[[#This Row],[Income Rate]]*aliSinaSalary_table[[#This Row],[Student Payments]]</f>
        <v>0</v>
      </c>
      <c r="F96" s="174"/>
      <c r="G96" s="174"/>
      <c r="H96" s="92"/>
    </row>
    <row r="97" spans="1:8" x14ac:dyDescent="0.3">
      <c r="A97" s="109" t="s">
        <v>39</v>
      </c>
      <c r="B97" s="279">
        <f>COUNTIFS(enrollment_table[*Teacher Name], Teacher_Salary!$A$91, enrollment_table[Enrollment Month], aliSinaSalary_table[[#This Row],[Month]])</f>
        <v>0</v>
      </c>
      <c r="C97" s="259">
        <f>SUMIFS(enrollment_table[Fee], enrollment_table[*Teacher Name], Teacher_Salary!$A$91, enrollment_table[Enrollment Month], aliSinaSalary_table[[#This Row],[Month]])</f>
        <v>0</v>
      </c>
      <c r="D97" s="255">
        <f>_xlfn.XLOOKUP(Teacher_Salary!$A$91, teachers_table[*Teacher Name], teachers_table[*Income Rate])</f>
        <v>0.3</v>
      </c>
      <c r="E97" s="253">
        <f>aliSinaSalary_table[[#This Row],[Income Rate]]*aliSinaSalary_table[[#This Row],[Student Payments]]</f>
        <v>0</v>
      </c>
      <c r="F97" s="254"/>
      <c r="G97" s="254"/>
      <c r="H97" s="91"/>
    </row>
    <row r="98" spans="1:8" x14ac:dyDescent="0.3">
      <c r="A98" s="191" t="s">
        <v>110</v>
      </c>
      <c r="B98" s="278">
        <f>COUNTIFS(enrollment_table[*Teacher Name], Teacher_Salary!$A$91, enrollment_table[Enrollment Month], aliSinaSalary_table[[#This Row],[Month]])</f>
        <v>0</v>
      </c>
      <c r="C98" s="246">
        <f>SUMIFS(enrollment_table[Fee], enrollment_table[*Teacher Name], Teacher_Salary!$A$91, enrollment_table[Enrollment Month], aliSinaSalary_table[[#This Row],[Month]])</f>
        <v>0</v>
      </c>
      <c r="D98" s="256">
        <f>_xlfn.XLOOKUP(Teacher_Salary!$A$91, teachers_table[*Teacher Name], teachers_table[*Income Rate])</f>
        <v>0.3</v>
      </c>
      <c r="E98" s="171">
        <f>aliSinaSalary_table[[#This Row],[Income Rate]]*aliSinaSalary_table[[#This Row],[Student Payments]]</f>
        <v>0</v>
      </c>
      <c r="F98" s="174"/>
      <c r="G98" s="174"/>
      <c r="H98" s="92"/>
    </row>
    <row r="99" spans="1:8" x14ac:dyDescent="0.3">
      <c r="A99" s="109" t="s">
        <v>111</v>
      </c>
      <c r="B99" s="279">
        <f>COUNTIFS(enrollment_table[*Teacher Name], Teacher_Salary!$A$91, enrollment_table[Enrollment Month], aliSinaSalary_table[[#This Row],[Month]])</f>
        <v>0</v>
      </c>
      <c r="C99" s="250">
        <f>SUMIFS(enrollment_table[Fee], enrollment_table[*Teacher Name], Teacher_Salary!$A$91, enrollment_table[Enrollment Month], aliSinaSalary_table[[#This Row],[Month]])</f>
        <v>0</v>
      </c>
      <c r="D99" s="255">
        <f>_xlfn.XLOOKUP(Teacher_Salary!$A$91, teachers_table[*Teacher Name], teachers_table[*Income Rate])</f>
        <v>0.3</v>
      </c>
      <c r="E99" s="253">
        <f>aliSinaSalary_table[[#This Row],[Income Rate]]*aliSinaSalary_table[[#This Row],[Student Payments]]</f>
        <v>0</v>
      </c>
      <c r="F99" s="254"/>
      <c r="G99" s="254"/>
      <c r="H99" s="91"/>
    </row>
    <row r="100" spans="1:8" x14ac:dyDescent="0.3">
      <c r="A100" s="191" t="s">
        <v>112</v>
      </c>
      <c r="B100" s="278">
        <f>COUNTIFS(enrollment_table[*Teacher Name], Teacher_Salary!$A$91, enrollment_table[Enrollment Month], aliSinaSalary_table[[#This Row],[Month]])</f>
        <v>0</v>
      </c>
      <c r="C100" s="246">
        <f>SUMIFS(enrollment_table[Fee], enrollment_table[*Teacher Name], Teacher_Salary!$A$91, enrollment_table[Enrollment Month], aliSinaSalary_table[[#This Row],[Month]])</f>
        <v>0</v>
      </c>
      <c r="D100" s="256">
        <f>_xlfn.XLOOKUP(Teacher_Salary!$A$91, teachers_table[*Teacher Name], teachers_table[*Income Rate])</f>
        <v>0.3</v>
      </c>
      <c r="E100" s="171">
        <f>aliSinaSalary_table[[#This Row],[Income Rate]]*aliSinaSalary_table[[#This Row],[Student Payments]]</f>
        <v>0</v>
      </c>
      <c r="F100" s="174"/>
      <c r="G100" s="174"/>
      <c r="H100" s="92"/>
    </row>
    <row r="101" spans="1:8" x14ac:dyDescent="0.3">
      <c r="A101" s="109" t="s">
        <v>113</v>
      </c>
      <c r="B101" s="279">
        <f>COUNTIFS(enrollment_table[*Teacher Name], Teacher_Salary!$A$91, enrollment_table[Enrollment Month], aliSinaSalary_table[[#This Row],[Month]])</f>
        <v>1</v>
      </c>
      <c r="C101" s="250">
        <f>SUMIFS(enrollment_table[Fee], enrollment_table[*Teacher Name], Teacher_Salary!$A$91, enrollment_table[Enrollment Month], aliSinaSalary_table[[#This Row],[Month]])</f>
        <v>1500</v>
      </c>
      <c r="D101" s="255">
        <f>_xlfn.XLOOKUP(Teacher_Salary!$A$91, teachers_table[*Teacher Name], teachers_table[*Income Rate])</f>
        <v>0.3</v>
      </c>
      <c r="E101" s="253">
        <f>aliSinaSalary_table[[#This Row],[Income Rate]]*aliSinaSalary_table[[#This Row],[Student Payments]]</f>
        <v>450</v>
      </c>
      <c r="F101" s="254"/>
      <c r="G101" s="254"/>
      <c r="H101" s="91"/>
    </row>
    <row r="102" spans="1:8" x14ac:dyDescent="0.3">
      <c r="A102" s="191" t="s">
        <v>114</v>
      </c>
      <c r="B102" s="278">
        <f>COUNTIFS(enrollment_table[*Teacher Name], Teacher_Salary!$A$91, enrollment_table[Enrollment Month], aliSinaSalary_table[[#This Row],[Month]])</f>
        <v>0</v>
      </c>
      <c r="C102" s="246">
        <f>SUMIFS(enrollment_table[Fee], enrollment_table[*Teacher Name], Teacher_Salary!$A$91, enrollment_table[Enrollment Month], aliSinaSalary_table[[#This Row],[Month]])</f>
        <v>0</v>
      </c>
      <c r="D102" s="256">
        <f>_xlfn.XLOOKUP(Teacher_Salary!$A$91, teachers_table[*Teacher Name], teachers_table[*Income Rate])</f>
        <v>0.3</v>
      </c>
      <c r="E102" s="171">
        <f>aliSinaSalary_table[[#This Row],[Income Rate]]*aliSinaSalary_table[[#This Row],[Student Payments]]</f>
        <v>0</v>
      </c>
      <c r="F102" s="174"/>
      <c r="G102" s="174"/>
      <c r="H102" s="92"/>
    </row>
    <row r="103" spans="1:8" x14ac:dyDescent="0.3">
      <c r="A103" s="109" t="s">
        <v>115</v>
      </c>
      <c r="B103" s="279">
        <f>COUNTIFS(enrollment_table[*Teacher Name], Teacher_Salary!$A$91, enrollment_table[Enrollment Month], aliSinaSalary_table[[#This Row],[Month]])</f>
        <v>0</v>
      </c>
      <c r="C103" s="250">
        <f>SUMIFS(enrollment_table[Fee], enrollment_table[*Teacher Name], Teacher_Salary!$A$91, enrollment_table[Enrollment Month], aliSinaSalary_table[[#This Row],[Month]])</f>
        <v>0</v>
      </c>
      <c r="D103" s="255">
        <f>_xlfn.XLOOKUP(Teacher_Salary!$A$91, teachers_table[*Teacher Name], teachers_table[*Income Rate])</f>
        <v>0.3</v>
      </c>
      <c r="E103" s="253">
        <f>aliSinaSalary_table[[#This Row],[Income Rate]]*aliSinaSalary_table[[#This Row],[Student Payments]]</f>
        <v>0</v>
      </c>
      <c r="F103" s="254"/>
      <c r="G103" s="254"/>
      <c r="H103" s="91"/>
    </row>
    <row r="104" spans="1:8" x14ac:dyDescent="0.3">
      <c r="A104" s="191" t="s">
        <v>116</v>
      </c>
      <c r="B104" s="278">
        <f>COUNTIFS(enrollment_table[*Teacher Name], Teacher_Salary!$A$91, enrollment_table[Enrollment Month], aliSinaSalary_table[[#This Row],[Month]])</f>
        <v>0</v>
      </c>
      <c r="C104" s="246">
        <f>SUMIFS(enrollment_table[Fee], enrollment_table[*Teacher Name], Teacher_Salary!$A$91, enrollment_table[Enrollment Month], aliSinaSalary_table[[#This Row],[Month]])</f>
        <v>0</v>
      </c>
      <c r="D104" s="256">
        <f>_xlfn.XLOOKUP(Teacher_Salary!$A$91, teachers_table[*Teacher Name], teachers_table[*Income Rate])</f>
        <v>0.3</v>
      </c>
      <c r="E104" s="171">
        <f>aliSinaSalary_table[[#This Row],[Income Rate]]*aliSinaSalary_table[[#This Row],[Student Payments]]</f>
        <v>0</v>
      </c>
      <c r="F104" s="174"/>
      <c r="G104" s="174"/>
      <c r="H104" s="92"/>
    </row>
    <row r="106" spans="1:8" ht="19.2" customHeight="1" x14ac:dyDescent="0.3">
      <c r="A106" s="306" t="str">
        <f>Teachers!B9</f>
        <v>Sayed Reza Mobarez</v>
      </c>
      <c r="B106" s="306"/>
      <c r="C106" s="306"/>
      <c r="D106" s="306"/>
      <c r="E106" s="306"/>
      <c r="F106" s="306"/>
      <c r="G106" s="306"/>
      <c r="H106" s="306"/>
    </row>
    <row r="107" spans="1:8" x14ac:dyDescent="0.3">
      <c r="A107" s="244" t="s">
        <v>42</v>
      </c>
      <c r="B107" s="260" t="s">
        <v>43</v>
      </c>
      <c r="C107" s="247" t="s">
        <v>263</v>
      </c>
      <c r="D107" s="258" t="s">
        <v>29</v>
      </c>
      <c r="E107" s="248" t="s">
        <v>44</v>
      </c>
      <c r="F107" s="248" t="s">
        <v>158</v>
      </c>
      <c r="G107" s="249" t="s">
        <v>159</v>
      </c>
      <c r="H107" s="245" t="s">
        <v>7</v>
      </c>
    </row>
    <row r="108" spans="1:8" x14ac:dyDescent="0.3">
      <c r="A108" s="190" t="s">
        <v>100</v>
      </c>
      <c r="B108" s="277">
        <f>COUNTIFS(enrollment_table[*Teacher Name], Teacher_Salary!$A$106, enrollment_table[Enrollment Month], sayedRezaSalary_table[[#This Row],[Month]])</f>
        <v>0</v>
      </c>
      <c r="C108" s="250">
        <f>SUMIFS(enrollment_table[Fee], enrollment_table[*Teacher Name], Teacher_Salary!$A$106, enrollment_table[Enrollment Month], sayedRezaSalary_table[[#This Row],[Month]])</f>
        <v>0</v>
      </c>
      <c r="D108" s="255">
        <f>_xlfn.XLOOKUP(Teacher_Salary!$A$106, teachers_table[*Teacher Name], teachers_table[*Income Rate])</f>
        <v>0.2</v>
      </c>
      <c r="E108" s="250">
        <f>sayedRezaSalary_table[[#This Row],[Income Rate]]*sayedRezaSalary_table[[#This Row],[Student Payments]]</f>
        <v>0</v>
      </c>
      <c r="F108" s="252" t="s">
        <v>51</v>
      </c>
      <c r="G108" s="252"/>
      <c r="H108" s="67"/>
    </row>
    <row r="109" spans="1:8" x14ac:dyDescent="0.3">
      <c r="A109" s="191" t="s">
        <v>108</v>
      </c>
      <c r="B109" s="278">
        <f>COUNTIFS(enrollment_table[*Teacher Name], Teacher_Salary!$A$106, enrollment_table[Enrollment Month], sayedRezaSalary_table[[#This Row],[Month]])</f>
        <v>0</v>
      </c>
      <c r="C109" s="246">
        <f>SUMIFS(enrollment_table[Fee], enrollment_table[*Teacher Name], Teacher_Salary!$A$106, enrollment_table[Enrollment Month], sayedRezaSalary_table[[#This Row],[Month]])</f>
        <v>0</v>
      </c>
      <c r="D109" s="256">
        <f>_xlfn.XLOOKUP(Teacher_Salary!$A$106, teachers_table[*Teacher Name], teachers_table[*Income Rate])</f>
        <v>0.2</v>
      </c>
      <c r="E109" s="171">
        <f>sayedRezaSalary_table[[#This Row],[Income Rate]]*sayedRezaSalary_table[[#This Row],[Student Payments]]</f>
        <v>0</v>
      </c>
      <c r="F109" s="174"/>
      <c r="G109" s="174"/>
      <c r="H109" s="92"/>
    </row>
    <row r="110" spans="1:8" x14ac:dyDescent="0.3">
      <c r="A110" s="109" t="s">
        <v>99</v>
      </c>
      <c r="B110" s="279">
        <f>COUNTIFS(enrollment_table[*Teacher Name], Teacher_Salary!$A$106, enrollment_table[Enrollment Month], sayedRezaSalary_table[[#This Row],[Month]])</f>
        <v>0</v>
      </c>
      <c r="C110" s="250">
        <f>SUMIFS(enrollment_table[Fee], enrollment_table[*Teacher Name], Teacher_Salary!$A$106, enrollment_table[Enrollment Month], sayedRezaSalary_table[[#This Row],[Month]])</f>
        <v>0</v>
      </c>
      <c r="D110" s="255">
        <f>_xlfn.XLOOKUP(Teacher_Salary!$A$106, teachers_table[*Teacher Name], teachers_table[*Income Rate])</f>
        <v>0.2</v>
      </c>
      <c r="E110" s="253">
        <f>sayedRezaSalary_table[[#This Row],[Income Rate]]*sayedRezaSalary_table[[#This Row],[Student Payments]]</f>
        <v>0</v>
      </c>
      <c r="F110" s="254"/>
      <c r="G110" s="254"/>
      <c r="H110" s="91"/>
    </row>
    <row r="111" spans="1:8" x14ac:dyDescent="0.3">
      <c r="A111" s="191" t="s">
        <v>109</v>
      </c>
      <c r="B111" s="278">
        <f>COUNTIFS(enrollment_table[*Teacher Name], Teacher_Salary!$A$106, enrollment_table[Enrollment Month], sayedRezaSalary_table[[#This Row],[Month]])</f>
        <v>0</v>
      </c>
      <c r="C111" s="246">
        <f>SUMIFS(enrollment_table[Fee], enrollment_table[*Teacher Name], Teacher_Salary!$A$106, enrollment_table[Enrollment Month], sayedRezaSalary_table[[#This Row],[Month]])</f>
        <v>0</v>
      </c>
      <c r="D111" s="256">
        <f>_xlfn.XLOOKUP(Teacher_Salary!$A$106, teachers_table[*Teacher Name], teachers_table[*Income Rate])</f>
        <v>0.2</v>
      </c>
      <c r="E111" s="171">
        <f>sayedRezaSalary_table[[#This Row],[Income Rate]]*sayedRezaSalary_table[[#This Row],[Student Payments]]</f>
        <v>0</v>
      </c>
      <c r="F111" s="174"/>
      <c r="G111" s="174"/>
      <c r="H111" s="92"/>
    </row>
    <row r="112" spans="1:8" x14ac:dyDescent="0.3">
      <c r="A112" s="109" t="s">
        <v>39</v>
      </c>
      <c r="B112" s="279">
        <f>COUNTIFS(enrollment_table[*Teacher Name], Teacher_Salary!$A$106, enrollment_table[Enrollment Month], sayedRezaSalary_table[[#This Row],[Month]])</f>
        <v>0</v>
      </c>
      <c r="C112" s="259">
        <f>SUMIFS(enrollment_table[Fee], enrollment_table[*Teacher Name], Teacher_Salary!$A$106, enrollment_table[Enrollment Month], sayedRezaSalary_table[[#This Row],[Month]])</f>
        <v>0</v>
      </c>
      <c r="D112" s="255">
        <f>_xlfn.XLOOKUP(Teacher_Salary!$A$106, teachers_table[*Teacher Name], teachers_table[*Income Rate])</f>
        <v>0.2</v>
      </c>
      <c r="E112" s="253">
        <f>sayedRezaSalary_table[[#This Row],[Income Rate]]*sayedRezaSalary_table[[#This Row],[Student Payments]]</f>
        <v>0</v>
      </c>
      <c r="F112" s="254"/>
      <c r="G112" s="254"/>
      <c r="H112" s="91"/>
    </row>
    <row r="113" spans="1:8" x14ac:dyDescent="0.3">
      <c r="A113" s="191" t="s">
        <v>110</v>
      </c>
      <c r="B113" s="278">
        <f>COUNTIFS(enrollment_table[*Teacher Name], Teacher_Salary!$A$106, enrollment_table[Enrollment Month], sayedRezaSalary_table[[#This Row],[Month]])</f>
        <v>0</v>
      </c>
      <c r="C113" s="246">
        <f>SUMIFS(enrollment_table[Fee], enrollment_table[*Teacher Name], Teacher_Salary!$A$106, enrollment_table[Enrollment Month], sayedRezaSalary_table[[#This Row],[Month]])</f>
        <v>0</v>
      </c>
      <c r="D113" s="256">
        <f>_xlfn.XLOOKUP(Teacher_Salary!$A$106, teachers_table[*Teacher Name], teachers_table[*Income Rate])</f>
        <v>0.2</v>
      </c>
      <c r="E113" s="171">
        <f>sayedRezaSalary_table[[#This Row],[Income Rate]]*sayedRezaSalary_table[[#This Row],[Student Payments]]</f>
        <v>0</v>
      </c>
      <c r="F113" s="174"/>
      <c r="G113" s="174"/>
      <c r="H113" s="92"/>
    </row>
    <row r="114" spans="1:8" x14ac:dyDescent="0.3">
      <c r="A114" s="109" t="s">
        <v>111</v>
      </c>
      <c r="B114" s="279">
        <f>COUNTIFS(enrollment_table[*Teacher Name], Teacher_Salary!$A$106, enrollment_table[Enrollment Month], sayedRezaSalary_table[[#This Row],[Month]])</f>
        <v>0</v>
      </c>
      <c r="C114" s="250">
        <f>SUMIFS(enrollment_table[Fee], enrollment_table[*Teacher Name], Teacher_Salary!$A$106, enrollment_table[Enrollment Month], sayedRezaSalary_table[[#This Row],[Month]])</f>
        <v>0</v>
      </c>
      <c r="D114" s="255">
        <f>_xlfn.XLOOKUP(Teacher_Salary!$A$106, teachers_table[*Teacher Name], teachers_table[*Income Rate])</f>
        <v>0.2</v>
      </c>
      <c r="E114" s="253">
        <f>sayedRezaSalary_table[[#This Row],[Income Rate]]*sayedRezaSalary_table[[#This Row],[Student Payments]]</f>
        <v>0</v>
      </c>
      <c r="F114" s="254"/>
      <c r="G114" s="254"/>
      <c r="H114" s="91"/>
    </row>
    <row r="115" spans="1:8" x14ac:dyDescent="0.3">
      <c r="A115" s="191" t="s">
        <v>112</v>
      </c>
      <c r="B115" s="278">
        <f>COUNTIFS(enrollment_table[*Teacher Name], Teacher_Salary!$A$106, enrollment_table[Enrollment Month], sayedRezaSalary_table[[#This Row],[Month]])</f>
        <v>0</v>
      </c>
      <c r="C115" s="246">
        <f>SUMIFS(enrollment_table[Fee], enrollment_table[*Teacher Name], Teacher_Salary!$A$106, enrollment_table[Enrollment Month], sayedRezaSalary_table[[#This Row],[Month]])</f>
        <v>0</v>
      </c>
      <c r="D115" s="256">
        <f>_xlfn.XLOOKUP(Teacher_Salary!$A$106, teachers_table[*Teacher Name], teachers_table[*Income Rate])</f>
        <v>0.2</v>
      </c>
      <c r="E115" s="171">
        <f>sayedRezaSalary_table[[#This Row],[Income Rate]]*sayedRezaSalary_table[[#This Row],[Student Payments]]</f>
        <v>0</v>
      </c>
      <c r="F115" s="174"/>
      <c r="G115" s="174"/>
      <c r="H115" s="92"/>
    </row>
    <row r="116" spans="1:8" x14ac:dyDescent="0.3">
      <c r="A116" s="109" t="s">
        <v>113</v>
      </c>
      <c r="B116" s="279">
        <f>COUNTIFS(enrollment_table[*Teacher Name], Teacher_Salary!$A$106, enrollment_table[Enrollment Month], sayedRezaSalary_table[[#This Row],[Month]])</f>
        <v>1</v>
      </c>
      <c r="C116" s="250">
        <f>SUMIFS(enrollment_table[Fee], enrollment_table[*Teacher Name], Teacher_Salary!$A$106, enrollment_table[Enrollment Month], sayedRezaSalary_table[[#This Row],[Month]])</f>
        <v>1000</v>
      </c>
      <c r="D116" s="255">
        <f>_xlfn.XLOOKUP(Teacher_Salary!$A$106, teachers_table[*Teacher Name], teachers_table[*Income Rate])</f>
        <v>0.2</v>
      </c>
      <c r="E116" s="253">
        <f>sayedRezaSalary_table[[#This Row],[Income Rate]]*sayedRezaSalary_table[[#This Row],[Student Payments]]</f>
        <v>200</v>
      </c>
      <c r="F116" s="254"/>
      <c r="G116" s="254"/>
      <c r="H116" s="91"/>
    </row>
    <row r="117" spans="1:8" x14ac:dyDescent="0.3">
      <c r="A117" s="191" t="s">
        <v>114</v>
      </c>
      <c r="B117" s="278">
        <f>COUNTIFS(enrollment_table[*Teacher Name], Teacher_Salary!$A$106, enrollment_table[Enrollment Month], sayedRezaSalary_table[[#This Row],[Month]])</f>
        <v>0</v>
      </c>
      <c r="C117" s="246">
        <f>SUMIFS(enrollment_table[Fee], enrollment_table[*Teacher Name], Teacher_Salary!$A$106, enrollment_table[Enrollment Month], sayedRezaSalary_table[[#This Row],[Month]])</f>
        <v>0</v>
      </c>
      <c r="D117" s="256">
        <f>_xlfn.XLOOKUP(Teacher_Salary!$A$106, teachers_table[*Teacher Name], teachers_table[*Income Rate])</f>
        <v>0.2</v>
      </c>
      <c r="E117" s="171">
        <f>sayedRezaSalary_table[[#This Row],[Income Rate]]*sayedRezaSalary_table[[#This Row],[Student Payments]]</f>
        <v>0</v>
      </c>
      <c r="F117" s="174"/>
      <c r="G117" s="174"/>
      <c r="H117" s="92"/>
    </row>
    <row r="118" spans="1:8" x14ac:dyDescent="0.3">
      <c r="A118" s="109" t="s">
        <v>115</v>
      </c>
      <c r="B118" s="279">
        <f>COUNTIFS(enrollment_table[*Teacher Name], Teacher_Salary!$A$106, enrollment_table[Enrollment Month], sayedRezaSalary_table[[#This Row],[Month]])</f>
        <v>0</v>
      </c>
      <c r="C118" s="250">
        <f>SUMIFS(enrollment_table[Fee], enrollment_table[*Teacher Name], Teacher_Salary!$A$106, enrollment_table[Enrollment Month], sayedRezaSalary_table[[#This Row],[Month]])</f>
        <v>0</v>
      </c>
      <c r="D118" s="255">
        <f>_xlfn.XLOOKUP(Teacher_Salary!$A$106, teachers_table[*Teacher Name], teachers_table[*Income Rate])</f>
        <v>0.2</v>
      </c>
      <c r="E118" s="253">
        <f>sayedRezaSalary_table[[#This Row],[Income Rate]]*sayedRezaSalary_table[[#This Row],[Student Payments]]</f>
        <v>0</v>
      </c>
      <c r="F118" s="254"/>
      <c r="G118" s="254"/>
      <c r="H118" s="91"/>
    </row>
    <row r="119" spans="1:8" x14ac:dyDescent="0.3">
      <c r="A119" s="191" t="s">
        <v>116</v>
      </c>
      <c r="B119" s="278">
        <f>COUNTIFS(enrollment_table[*Teacher Name], Teacher_Salary!$A$106, enrollment_table[Enrollment Month], sayedRezaSalary_table[[#This Row],[Month]])</f>
        <v>0</v>
      </c>
      <c r="C119" s="246">
        <f>SUMIFS(enrollment_table[Fee], enrollment_table[*Teacher Name], Teacher_Salary!$A$106, enrollment_table[Enrollment Month], sayedRezaSalary_table[[#This Row],[Month]])</f>
        <v>0</v>
      </c>
      <c r="D119" s="256">
        <f>_xlfn.XLOOKUP(Teacher_Salary!$A$106, teachers_table[*Teacher Name], teachers_table[*Income Rate])</f>
        <v>0.2</v>
      </c>
      <c r="E119" s="171">
        <f>sayedRezaSalary_table[[#This Row],[Income Rate]]*sayedRezaSalary_table[[#This Row],[Student Payments]]</f>
        <v>0</v>
      </c>
      <c r="F119" s="174"/>
      <c r="G119" s="174"/>
      <c r="H119" s="92"/>
    </row>
    <row r="121" spans="1:8" ht="22.2" customHeight="1" x14ac:dyDescent="0.3">
      <c r="A121" s="306">
        <f>Teachers!B10</f>
        <v>0</v>
      </c>
      <c r="B121" s="306"/>
      <c r="C121" s="306"/>
      <c r="D121" s="306"/>
      <c r="E121" s="306"/>
      <c r="F121" s="306"/>
      <c r="G121" s="306"/>
      <c r="H121" s="306"/>
    </row>
    <row r="122" spans="1:8" x14ac:dyDescent="0.3">
      <c r="A122" s="244" t="s">
        <v>42</v>
      </c>
      <c r="B122" s="260" t="s">
        <v>43</v>
      </c>
      <c r="C122" s="247" t="s">
        <v>263</v>
      </c>
      <c r="D122" s="258" t="s">
        <v>29</v>
      </c>
      <c r="E122" s="248" t="s">
        <v>44</v>
      </c>
      <c r="F122" s="248" t="s">
        <v>158</v>
      </c>
      <c r="G122" s="249" t="s">
        <v>159</v>
      </c>
      <c r="H122" s="245" t="s">
        <v>7</v>
      </c>
    </row>
    <row r="123" spans="1:8" x14ac:dyDescent="0.3">
      <c r="A123" s="190" t="s">
        <v>100</v>
      </c>
      <c r="B123" s="277">
        <f>COUNTIFS(enrollment_table[*Teacher Name], Teacher_Salary!$A$121, enrollment_table[Enrollment Month], blank1Salary_table[[#This Row],[Month]])</f>
        <v>0</v>
      </c>
      <c r="C123" s="250">
        <f>SUMIFS(enrollment_table[Fee], enrollment_table[*Teacher Name], Teacher_Salary!$A$121, enrollment_table[Enrollment Month], blank1Salary_table[[#This Row],[Month]])</f>
        <v>0</v>
      </c>
      <c r="D123" s="255" t="e">
        <f>_xlfn.XLOOKUP(Teacher_Salary!$A$121, teachers_table[*Teacher Name], teachers_table[*Income Rate])</f>
        <v>#N/A</v>
      </c>
      <c r="E123" s="250" t="e">
        <f>blank1Salary_table[[#This Row],[Income Rate]]*blank1Salary_table[[#This Row],[Student Payments]]</f>
        <v>#N/A</v>
      </c>
      <c r="F123" s="252" t="s">
        <v>51</v>
      </c>
      <c r="G123" s="252"/>
      <c r="H123" s="67"/>
    </row>
    <row r="124" spans="1:8" x14ac:dyDescent="0.3">
      <c r="A124" s="191" t="s">
        <v>108</v>
      </c>
      <c r="B124" s="278">
        <f>COUNTIFS(enrollment_table[*Teacher Name], Teacher_Salary!$A$121, enrollment_table[Enrollment Month], blank1Salary_table[[#This Row],[Month]])</f>
        <v>0</v>
      </c>
      <c r="C124" s="246">
        <f>SUMIFS(enrollment_table[Fee], enrollment_table[*Teacher Name], Teacher_Salary!$A$121, enrollment_table[Enrollment Month], blank1Salary_table[[#This Row],[Month]])</f>
        <v>0</v>
      </c>
      <c r="D124" s="256" t="e">
        <f>_xlfn.XLOOKUP(Teacher_Salary!$A$121, teachers_table[*Teacher Name], teachers_table[*Income Rate])</f>
        <v>#N/A</v>
      </c>
      <c r="E124" s="171" t="e">
        <f>blank1Salary_table[[#This Row],[Income Rate]]*blank1Salary_table[[#This Row],[Student Payments]]</f>
        <v>#N/A</v>
      </c>
      <c r="F124" s="174"/>
      <c r="G124" s="174"/>
      <c r="H124" s="92"/>
    </row>
    <row r="125" spans="1:8" x14ac:dyDescent="0.3">
      <c r="A125" s="109" t="s">
        <v>99</v>
      </c>
      <c r="B125" s="279">
        <f>COUNTIFS(enrollment_table[*Teacher Name], Teacher_Salary!$A$121, enrollment_table[Enrollment Month], blank1Salary_table[[#This Row],[Month]])</f>
        <v>0</v>
      </c>
      <c r="C125" s="250">
        <f>SUMIFS(enrollment_table[Fee], enrollment_table[*Teacher Name], Teacher_Salary!$A$121, enrollment_table[Enrollment Month], blank1Salary_table[[#This Row],[Month]])</f>
        <v>0</v>
      </c>
      <c r="D125" s="255" t="e">
        <f>_xlfn.XLOOKUP(Teacher_Salary!$A$121, teachers_table[*Teacher Name], teachers_table[*Income Rate])</f>
        <v>#N/A</v>
      </c>
      <c r="E125" s="253" t="e">
        <f>blank1Salary_table[[#This Row],[Income Rate]]*blank1Salary_table[[#This Row],[Student Payments]]</f>
        <v>#N/A</v>
      </c>
      <c r="F125" s="254"/>
      <c r="G125" s="254"/>
      <c r="H125" s="91"/>
    </row>
    <row r="126" spans="1:8" x14ac:dyDescent="0.3">
      <c r="A126" s="191" t="s">
        <v>109</v>
      </c>
      <c r="B126" s="278">
        <f>COUNTIFS(enrollment_table[*Teacher Name], Teacher_Salary!$A$121, enrollment_table[Enrollment Month], blank1Salary_table[[#This Row],[Month]])</f>
        <v>0</v>
      </c>
      <c r="C126" s="246">
        <f>SUMIFS(enrollment_table[Fee], enrollment_table[*Teacher Name], Teacher_Salary!$A$121, enrollment_table[Enrollment Month], blank1Salary_table[[#This Row],[Month]])</f>
        <v>0</v>
      </c>
      <c r="D126" s="256" t="e">
        <f>_xlfn.XLOOKUP(Teacher_Salary!$A$121, teachers_table[*Teacher Name], teachers_table[*Income Rate])</f>
        <v>#N/A</v>
      </c>
      <c r="E126" s="171" t="e">
        <f>blank1Salary_table[[#This Row],[Income Rate]]*blank1Salary_table[[#This Row],[Student Payments]]</f>
        <v>#N/A</v>
      </c>
      <c r="F126" s="174"/>
      <c r="G126" s="174"/>
      <c r="H126" s="92"/>
    </row>
    <row r="127" spans="1:8" x14ac:dyDescent="0.3">
      <c r="A127" s="109" t="s">
        <v>39</v>
      </c>
      <c r="B127" s="279">
        <f>COUNTIFS(enrollment_table[*Teacher Name], Teacher_Salary!$A$121, enrollment_table[Enrollment Month], blank1Salary_table[[#This Row],[Month]])</f>
        <v>0</v>
      </c>
      <c r="C127" s="259">
        <f>SUMIFS(enrollment_table[Fee], enrollment_table[*Teacher Name], Teacher_Salary!$A$121, enrollment_table[Enrollment Month], blank1Salary_table[[#This Row],[Month]])</f>
        <v>0</v>
      </c>
      <c r="D127" s="255" t="e">
        <f>_xlfn.XLOOKUP(Teacher_Salary!$A$121, teachers_table[*Teacher Name], teachers_table[*Income Rate])</f>
        <v>#N/A</v>
      </c>
      <c r="E127" s="253" t="e">
        <f>blank1Salary_table[[#This Row],[Income Rate]]*blank1Salary_table[[#This Row],[Student Payments]]</f>
        <v>#N/A</v>
      </c>
      <c r="F127" s="254"/>
      <c r="G127" s="254"/>
      <c r="H127" s="91"/>
    </row>
    <row r="128" spans="1:8" x14ac:dyDescent="0.3">
      <c r="A128" s="191" t="s">
        <v>110</v>
      </c>
      <c r="B128" s="278">
        <f>COUNTIFS(enrollment_table[*Teacher Name], Teacher_Salary!$A$121, enrollment_table[Enrollment Month], blank1Salary_table[[#This Row],[Month]])</f>
        <v>0</v>
      </c>
      <c r="C128" s="246">
        <f>SUMIFS(enrollment_table[Fee], enrollment_table[*Teacher Name], Teacher_Salary!$A$121, enrollment_table[Enrollment Month], blank1Salary_table[[#This Row],[Month]])</f>
        <v>0</v>
      </c>
      <c r="D128" s="256" t="e">
        <f>_xlfn.XLOOKUP(Teacher_Salary!$A$121, teachers_table[*Teacher Name], teachers_table[*Income Rate])</f>
        <v>#N/A</v>
      </c>
      <c r="E128" s="171" t="e">
        <f>blank1Salary_table[[#This Row],[Income Rate]]*blank1Salary_table[[#This Row],[Student Payments]]</f>
        <v>#N/A</v>
      </c>
      <c r="F128" s="174"/>
      <c r="G128" s="174"/>
      <c r="H128" s="92"/>
    </row>
    <row r="129" spans="1:8" x14ac:dyDescent="0.3">
      <c r="A129" s="109" t="s">
        <v>111</v>
      </c>
      <c r="B129" s="279">
        <f>COUNTIFS(enrollment_table[*Teacher Name], Teacher_Salary!$A$121, enrollment_table[Enrollment Month], blank1Salary_table[[#This Row],[Month]])</f>
        <v>0</v>
      </c>
      <c r="C129" s="250">
        <f>SUMIFS(enrollment_table[Fee], enrollment_table[*Teacher Name], Teacher_Salary!$A$121, enrollment_table[Enrollment Month], blank1Salary_table[[#This Row],[Month]])</f>
        <v>0</v>
      </c>
      <c r="D129" s="255" t="e">
        <f>_xlfn.XLOOKUP(Teacher_Salary!$A$121, teachers_table[*Teacher Name], teachers_table[*Income Rate])</f>
        <v>#N/A</v>
      </c>
      <c r="E129" s="253" t="e">
        <f>blank1Salary_table[[#This Row],[Income Rate]]*blank1Salary_table[[#This Row],[Student Payments]]</f>
        <v>#N/A</v>
      </c>
      <c r="F129" s="254"/>
      <c r="G129" s="254"/>
      <c r="H129" s="91"/>
    </row>
    <row r="130" spans="1:8" x14ac:dyDescent="0.3">
      <c r="A130" s="191" t="s">
        <v>112</v>
      </c>
      <c r="B130" s="278">
        <f>COUNTIFS(enrollment_table[*Teacher Name], Teacher_Salary!$A$121, enrollment_table[Enrollment Month], blank1Salary_table[[#This Row],[Month]])</f>
        <v>0</v>
      </c>
      <c r="C130" s="246">
        <f>SUMIFS(enrollment_table[Fee], enrollment_table[*Teacher Name], Teacher_Salary!$A$121, enrollment_table[Enrollment Month], blank1Salary_table[[#This Row],[Month]])</f>
        <v>0</v>
      </c>
      <c r="D130" s="256" t="e">
        <f>_xlfn.XLOOKUP(Teacher_Salary!$A$121, teachers_table[*Teacher Name], teachers_table[*Income Rate])</f>
        <v>#N/A</v>
      </c>
      <c r="E130" s="171" t="e">
        <f>blank1Salary_table[[#This Row],[Income Rate]]*blank1Salary_table[[#This Row],[Student Payments]]</f>
        <v>#N/A</v>
      </c>
      <c r="F130" s="174"/>
      <c r="G130" s="174"/>
      <c r="H130" s="92"/>
    </row>
    <row r="131" spans="1:8" x14ac:dyDescent="0.3">
      <c r="A131" s="109" t="s">
        <v>113</v>
      </c>
      <c r="B131" s="279">
        <f>COUNTIFS(enrollment_table[*Teacher Name], Teacher_Salary!$A$121, enrollment_table[Enrollment Month], blank1Salary_table[[#This Row],[Month]])</f>
        <v>0</v>
      </c>
      <c r="C131" s="250">
        <f>SUMIFS(enrollment_table[Fee], enrollment_table[*Teacher Name], Teacher_Salary!$A$121, enrollment_table[Enrollment Month], blank1Salary_table[[#This Row],[Month]])</f>
        <v>0</v>
      </c>
      <c r="D131" s="255" t="e">
        <f>_xlfn.XLOOKUP(Teacher_Salary!$A$121, teachers_table[*Teacher Name], teachers_table[*Income Rate])</f>
        <v>#N/A</v>
      </c>
      <c r="E131" s="253" t="e">
        <f>blank1Salary_table[[#This Row],[Income Rate]]*blank1Salary_table[[#This Row],[Student Payments]]</f>
        <v>#N/A</v>
      </c>
      <c r="F131" s="254"/>
      <c r="G131" s="254"/>
      <c r="H131" s="91"/>
    </row>
    <row r="132" spans="1:8" x14ac:dyDescent="0.3">
      <c r="A132" s="191" t="s">
        <v>114</v>
      </c>
      <c r="B132" s="278">
        <f>COUNTIFS(enrollment_table[*Teacher Name], Teacher_Salary!$A$121, enrollment_table[Enrollment Month], blank1Salary_table[[#This Row],[Month]])</f>
        <v>0</v>
      </c>
      <c r="C132" s="246">
        <f>SUMIFS(enrollment_table[Fee], enrollment_table[*Teacher Name], Teacher_Salary!$A$121, enrollment_table[Enrollment Month], blank1Salary_table[[#This Row],[Month]])</f>
        <v>0</v>
      </c>
      <c r="D132" s="256" t="e">
        <f>_xlfn.XLOOKUP(Teacher_Salary!$A$121, teachers_table[*Teacher Name], teachers_table[*Income Rate])</f>
        <v>#N/A</v>
      </c>
      <c r="E132" s="171" t="e">
        <f>blank1Salary_table[[#This Row],[Income Rate]]*blank1Salary_table[[#This Row],[Student Payments]]</f>
        <v>#N/A</v>
      </c>
      <c r="F132" s="174"/>
      <c r="G132" s="174"/>
      <c r="H132" s="92"/>
    </row>
    <row r="133" spans="1:8" x14ac:dyDescent="0.3">
      <c r="A133" s="109" t="s">
        <v>115</v>
      </c>
      <c r="B133" s="279">
        <f>COUNTIFS(enrollment_table[*Teacher Name], Teacher_Salary!$A$121, enrollment_table[Enrollment Month], blank1Salary_table[[#This Row],[Month]])</f>
        <v>0</v>
      </c>
      <c r="C133" s="250">
        <f>SUMIFS(enrollment_table[Fee], enrollment_table[*Teacher Name], Teacher_Salary!$A$121, enrollment_table[Enrollment Month], blank1Salary_table[[#This Row],[Month]])</f>
        <v>0</v>
      </c>
      <c r="D133" s="255" t="e">
        <f>_xlfn.XLOOKUP(Teacher_Salary!$A$121, teachers_table[*Teacher Name], teachers_table[*Income Rate])</f>
        <v>#N/A</v>
      </c>
      <c r="E133" s="253" t="e">
        <f>blank1Salary_table[[#This Row],[Income Rate]]*blank1Salary_table[[#This Row],[Student Payments]]</f>
        <v>#N/A</v>
      </c>
      <c r="F133" s="254"/>
      <c r="G133" s="254"/>
      <c r="H133" s="91"/>
    </row>
    <row r="134" spans="1:8" x14ac:dyDescent="0.3">
      <c r="A134" s="191" t="s">
        <v>116</v>
      </c>
      <c r="B134" s="278">
        <f>COUNTIFS(enrollment_table[*Teacher Name], Teacher_Salary!$A$121, enrollment_table[Enrollment Month], blank1Salary_table[[#This Row],[Month]])</f>
        <v>0</v>
      </c>
      <c r="C134" s="246">
        <f>SUMIFS(enrollment_table[Fee], enrollment_table[*Teacher Name], Teacher_Salary!$A$121, enrollment_table[Enrollment Month], blank1Salary_table[[#This Row],[Month]])</f>
        <v>0</v>
      </c>
      <c r="D134" s="256" t="e">
        <f>_xlfn.XLOOKUP(Teacher_Salary!$A$121, teachers_table[*Teacher Name], teachers_table[*Income Rate])</f>
        <v>#N/A</v>
      </c>
      <c r="E134" s="171" t="e">
        <f>blank1Salary_table[[#This Row],[Income Rate]]*blank1Salary_table[[#This Row],[Student Payments]]</f>
        <v>#N/A</v>
      </c>
      <c r="F134" s="174"/>
      <c r="G134" s="174"/>
      <c r="H134" s="92"/>
    </row>
    <row r="136" spans="1:8" ht="21" customHeight="1" x14ac:dyDescent="0.3">
      <c r="A136" s="306">
        <f>Teachers!B11</f>
        <v>0</v>
      </c>
      <c r="B136" s="306"/>
      <c r="C136" s="306"/>
      <c r="D136" s="306"/>
      <c r="E136" s="306"/>
      <c r="F136" s="306"/>
      <c r="G136" s="306"/>
      <c r="H136" s="306"/>
    </row>
    <row r="137" spans="1:8" x14ac:dyDescent="0.3">
      <c r="A137" s="244" t="s">
        <v>42</v>
      </c>
      <c r="B137" s="260" t="s">
        <v>43</v>
      </c>
      <c r="C137" s="247" t="s">
        <v>263</v>
      </c>
      <c r="D137" s="258" t="s">
        <v>29</v>
      </c>
      <c r="E137" s="248" t="s">
        <v>44</v>
      </c>
      <c r="F137" s="248" t="s">
        <v>158</v>
      </c>
      <c r="G137" s="249" t="s">
        <v>159</v>
      </c>
      <c r="H137" s="245" t="s">
        <v>7</v>
      </c>
    </row>
    <row r="138" spans="1:8" x14ac:dyDescent="0.3">
      <c r="A138" s="190" t="s">
        <v>100</v>
      </c>
      <c r="B138" s="277">
        <f>COUNTIFS(enrollment_table[*Teacher Name], Teacher_Salary!$A$136, enrollment_table[Enrollment Month], blank2Salary_table[[#This Row],[Month]])</f>
        <v>0</v>
      </c>
      <c r="C138" s="250">
        <f>SUMIFS(enrollment_table[Fee], enrollment_table[*Teacher Name], Teacher_Salary!$A$136, enrollment_table[Enrollment Month], blank2Salary_table[[#This Row],[Month]])</f>
        <v>0</v>
      </c>
      <c r="D138" s="255" t="e">
        <f>_xlfn.XLOOKUP(Teacher_Salary!$A$136, teachers_table[*Teacher Name], teachers_table[*Income Rate])</f>
        <v>#N/A</v>
      </c>
      <c r="E138" s="250" t="e">
        <f>blank2Salary_table[[#This Row],[Income Rate]]*blank2Salary_table[[#This Row],[Student Payments]]</f>
        <v>#N/A</v>
      </c>
      <c r="F138" s="252" t="s">
        <v>51</v>
      </c>
      <c r="G138" s="252"/>
      <c r="H138" s="67"/>
    </row>
    <row r="139" spans="1:8" x14ac:dyDescent="0.3">
      <c r="A139" s="191" t="s">
        <v>108</v>
      </c>
      <c r="B139" s="278">
        <f>COUNTIFS(enrollment_table[*Teacher Name], Teacher_Salary!$A$136, enrollment_table[Enrollment Month], blank2Salary_table[[#This Row],[Month]])</f>
        <v>0</v>
      </c>
      <c r="C139" s="246">
        <f>SUMIFS(enrollment_table[Fee], enrollment_table[*Teacher Name], Teacher_Salary!$A$136, enrollment_table[Enrollment Month], blank2Salary_table[[#This Row],[Month]])</f>
        <v>0</v>
      </c>
      <c r="D139" s="256" t="e">
        <f>_xlfn.XLOOKUP(Teacher_Salary!$A$136, teachers_table[*Teacher Name], teachers_table[*Income Rate])</f>
        <v>#N/A</v>
      </c>
      <c r="E139" s="171" t="e">
        <f>blank2Salary_table[[#This Row],[Income Rate]]*blank2Salary_table[[#This Row],[Student Payments]]</f>
        <v>#N/A</v>
      </c>
      <c r="F139" s="174"/>
      <c r="G139" s="174"/>
      <c r="H139" s="92"/>
    </row>
    <row r="140" spans="1:8" x14ac:dyDescent="0.3">
      <c r="A140" s="109" t="s">
        <v>99</v>
      </c>
      <c r="B140" s="279">
        <f>COUNTIFS(enrollment_table[*Teacher Name], Teacher_Salary!$A$136, enrollment_table[Enrollment Month], blank2Salary_table[[#This Row],[Month]])</f>
        <v>0</v>
      </c>
      <c r="C140" s="250">
        <f>SUMIFS(enrollment_table[Fee], enrollment_table[*Teacher Name], Teacher_Salary!$A$136, enrollment_table[Enrollment Month], blank2Salary_table[[#This Row],[Month]])</f>
        <v>0</v>
      </c>
      <c r="D140" s="255" t="e">
        <f>_xlfn.XLOOKUP(Teacher_Salary!$A$136, teachers_table[*Teacher Name], teachers_table[*Income Rate])</f>
        <v>#N/A</v>
      </c>
      <c r="E140" s="253" t="e">
        <f>blank2Salary_table[[#This Row],[Income Rate]]*blank2Salary_table[[#This Row],[Student Payments]]</f>
        <v>#N/A</v>
      </c>
      <c r="F140" s="254"/>
      <c r="G140" s="254"/>
      <c r="H140" s="91"/>
    </row>
    <row r="141" spans="1:8" x14ac:dyDescent="0.3">
      <c r="A141" s="191" t="s">
        <v>109</v>
      </c>
      <c r="B141" s="278">
        <f>COUNTIFS(enrollment_table[*Teacher Name], Teacher_Salary!$A$136, enrollment_table[Enrollment Month], blank2Salary_table[[#This Row],[Month]])</f>
        <v>0</v>
      </c>
      <c r="C141" s="246">
        <f>SUMIFS(enrollment_table[Fee], enrollment_table[*Teacher Name], Teacher_Salary!$A$136, enrollment_table[Enrollment Month], blank2Salary_table[[#This Row],[Month]])</f>
        <v>0</v>
      </c>
      <c r="D141" s="256" t="e">
        <f>_xlfn.XLOOKUP(Teacher_Salary!$A$136, teachers_table[*Teacher Name], teachers_table[*Income Rate])</f>
        <v>#N/A</v>
      </c>
      <c r="E141" s="171" t="e">
        <f>blank2Salary_table[[#This Row],[Income Rate]]*blank2Salary_table[[#This Row],[Student Payments]]</f>
        <v>#N/A</v>
      </c>
      <c r="F141" s="174"/>
      <c r="G141" s="174"/>
      <c r="H141" s="92"/>
    </row>
    <row r="142" spans="1:8" x14ac:dyDescent="0.3">
      <c r="A142" s="109" t="s">
        <v>39</v>
      </c>
      <c r="B142" s="279">
        <f>COUNTIFS(enrollment_table[*Teacher Name], Teacher_Salary!$A$136, enrollment_table[Enrollment Month], blank2Salary_table[[#This Row],[Month]])</f>
        <v>0</v>
      </c>
      <c r="C142" s="259">
        <f>SUMIFS(enrollment_table[Fee], enrollment_table[*Teacher Name], Teacher_Salary!$A$136, enrollment_table[Enrollment Month], blank2Salary_table[[#This Row],[Month]])</f>
        <v>0</v>
      </c>
      <c r="D142" s="255" t="e">
        <f>_xlfn.XLOOKUP(Teacher_Salary!$A$136, teachers_table[*Teacher Name], teachers_table[*Income Rate])</f>
        <v>#N/A</v>
      </c>
      <c r="E142" s="253" t="e">
        <f>blank2Salary_table[[#This Row],[Income Rate]]*blank2Salary_table[[#This Row],[Student Payments]]</f>
        <v>#N/A</v>
      </c>
      <c r="F142" s="254"/>
      <c r="G142" s="254"/>
      <c r="H142" s="91"/>
    </row>
    <row r="143" spans="1:8" x14ac:dyDescent="0.3">
      <c r="A143" s="191" t="s">
        <v>110</v>
      </c>
      <c r="B143" s="278">
        <f>COUNTIFS(enrollment_table[*Teacher Name], Teacher_Salary!$A$136, enrollment_table[Enrollment Month], blank2Salary_table[[#This Row],[Month]])</f>
        <v>0</v>
      </c>
      <c r="C143" s="246">
        <f>SUMIFS(enrollment_table[Fee], enrollment_table[*Teacher Name], Teacher_Salary!$A$136, enrollment_table[Enrollment Month], blank2Salary_table[[#This Row],[Month]])</f>
        <v>0</v>
      </c>
      <c r="D143" s="256" t="e">
        <f>_xlfn.XLOOKUP(Teacher_Salary!$A$136, teachers_table[*Teacher Name], teachers_table[*Income Rate])</f>
        <v>#N/A</v>
      </c>
      <c r="E143" s="171" t="e">
        <f>blank2Salary_table[[#This Row],[Income Rate]]*blank2Salary_table[[#This Row],[Student Payments]]</f>
        <v>#N/A</v>
      </c>
      <c r="F143" s="174"/>
      <c r="G143" s="174"/>
      <c r="H143" s="92"/>
    </row>
    <row r="144" spans="1:8" x14ac:dyDescent="0.3">
      <c r="A144" s="109" t="s">
        <v>111</v>
      </c>
      <c r="B144" s="279">
        <f>COUNTIFS(enrollment_table[*Teacher Name], Teacher_Salary!$A$136, enrollment_table[Enrollment Month], blank2Salary_table[[#This Row],[Month]])</f>
        <v>0</v>
      </c>
      <c r="C144" s="250">
        <f>SUMIFS(enrollment_table[Fee], enrollment_table[*Teacher Name], Teacher_Salary!$A$136, enrollment_table[Enrollment Month], blank2Salary_table[[#This Row],[Month]])</f>
        <v>0</v>
      </c>
      <c r="D144" s="255" t="e">
        <f>_xlfn.XLOOKUP(Teacher_Salary!$A$136, teachers_table[*Teacher Name], teachers_table[*Income Rate])</f>
        <v>#N/A</v>
      </c>
      <c r="E144" s="253" t="e">
        <f>blank2Salary_table[[#This Row],[Income Rate]]*blank2Salary_table[[#This Row],[Student Payments]]</f>
        <v>#N/A</v>
      </c>
      <c r="F144" s="254"/>
      <c r="G144" s="254"/>
      <c r="H144" s="91"/>
    </row>
    <row r="145" spans="1:8" x14ac:dyDescent="0.3">
      <c r="A145" s="191" t="s">
        <v>112</v>
      </c>
      <c r="B145" s="278">
        <f>COUNTIFS(enrollment_table[*Teacher Name], Teacher_Salary!$A$136, enrollment_table[Enrollment Month], blank2Salary_table[[#This Row],[Month]])</f>
        <v>0</v>
      </c>
      <c r="C145" s="246">
        <f>SUMIFS(enrollment_table[Fee], enrollment_table[*Teacher Name], Teacher_Salary!$A$136, enrollment_table[Enrollment Month], blank2Salary_table[[#This Row],[Month]])</f>
        <v>0</v>
      </c>
      <c r="D145" s="256" t="e">
        <f>_xlfn.XLOOKUP(Teacher_Salary!$A$136, teachers_table[*Teacher Name], teachers_table[*Income Rate])</f>
        <v>#N/A</v>
      </c>
      <c r="E145" s="171" t="e">
        <f>blank2Salary_table[[#This Row],[Income Rate]]*blank2Salary_table[[#This Row],[Student Payments]]</f>
        <v>#N/A</v>
      </c>
      <c r="F145" s="174"/>
      <c r="G145" s="174"/>
      <c r="H145" s="92"/>
    </row>
    <row r="146" spans="1:8" x14ac:dyDescent="0.3">
      <c r="A146" s="109" t="s">
        <v>113</v>
      </c>
      <c r="B146" s="279">
        <f>COUNTIFS(enrollment_table[*Teacher Name], Teacher_Salary!$A$136, enrollment_table[Enrollment Month], blank2Salary_table[[#This Row],[Month]])</f>
        <v>0</v>
      </c>
      <c r="C146" s="250">
        <f>SUMIFS(enrollment_table[Fee], enrollment_table[*Teacher Name], Teacher_Salary!$A$136, enrollment_table[Enrollment Month], blank2Salary_table[[#This Row],[Month]])</f>
        <v>0</v>
      </c>
      <c r="D146" s="255" t="e">
        <f>_xlfn.XLOOKUP(Teacher_Salary!$A$136, teachers_table[*Teacher Name], teachers_table[*Income Rate])</f>
        <v>#N/A</v>
      </c>
      <c r="E146" s="253" t="e">
        <f>blank2Salary_table[[#This Row],[Income Rate]]*blank2Salary_table[[#This Row],[Student Payments]]</f>
        <v>#N/A</v>
      </c>
      <c r="F146" s="254"/>
      <c r="G146" s="254"/>
      <c r="H146" s="91"/>
    </row>
    <row r="147" spans="1:8" x14ac:dyDescent="0.3">
      <c r="A147" s="191" t="s">
        <v>114</v>
      </c>
      <c r="B147" s="278">
        <f>COUNTIFS(enrollment_table[*Teacher Name], Teacher_Salary!$A$136, enrollment_table[Enrollment Month], blank2Salary_table[[#This Row],[Month]])</f>
        <v>0</v>
      </c>
      <c r="C147" s="246">
        <f>SUMIFS(enrollment_table[Fee], enrollment_table[*Teacher Name], Teacher_Salary!$A$136, enrollment_table[Enrollment Month], blank2Salary_table[[#This Row],[Month]])</f>
        <v>0</v>
      </c>
      <c r="D147" s="256" t="e">
        <f>_xlfn.XLOOKUP(Teacher_Salary!$A$136, teachers_table[*Teacher Name], teachers_table[*Income Rate])</f>
        <v>#N/A</v>
      </c>
      <c r="E147" s="171" t="e">
        <f>blank2Salary_table[[#This Row],[Income Rate]]*blank2Salary_table[[#This Row],[Student Payments]]</f>
        <v>#N/A</v>
      </c>
      <c r="F147" s="174"/>
      <c r="G147" s="174"/>
      <c r="H147" s="92"/>
    </row>
    <row r="148" spans="1:8" x14ac:dyDescent="0.3">
      <c r="A148" s="109" t="s">
        <v>115</v>
      </c>
      <c r="B148" s="279">
        <f>COUNTIFS(enrollment_table[*Teacher Name], Teacher_Salary!$A$136, enrollment_table[Enrollment Month], blank2Salary_table[[#This Row],[Month]])</f>
        <v>0</v>
      </c>
      <c r="C148" s="250">
        <f>SUMIFS(enrollment_table[Fee], enrollment_table[*Teacher Name], Teacher_Salary!$A$136, enrollment_table[Enrollment Month], blank2Salary_table[[#This Row],[Month]])</f>
        <v>0</v>
      </c>
      <c r="D148" s="255" t="e">
        <f>_xlfn.XLOOKUP(Teacher_Salary!$A$136, teachers_table[*Teacher Name], teachers_table[*Income Rate])</f>
        <v>#N/A</v>
      </c>
      <c r="E148" s="253" t="e">
        <f>blank2Salary_table[[#This Row],[Income Rate]]*blank2Salary_table[[#This Row],[Student Payments]]</f>
        <v>#N/A</v>
      </c>
      <c r="F148" s="254"/>
      <c r="G148" s="254"/>
      <c r="H148" s="91"/>
    </row>
    <row r="149" spans="1:8" x14ac:dyDescent="0.3">
      <c r="A149" s="191" t="s">
        <v>116</v>
      </c>
      <c r="B149" s="278">
        <f>COUNTIFS(enrollment_table[*Teacher Name], Teacher_Salary!$A$136, enrollment_table[Enrollment Month], blank2Salary_table[[#This Row],[Month]])</f>
        <v>0</v>
      </c>
      <c r="C149" s="246">
        <f>SUMIFS(enrollment_table[Fee], enrollment_table[*Teacher Name], Teacher_Salary!$A$136, enrollment_table[Enrollment Month], blank2Salary_table[[#This Row],[Month]])</f>
        <v>0</v>
      </c>
      <c r="D149" s="256" t="e">
        <f>_xlfn.XLOOKUP(Teacher_Salary!$A$136, teachers_table[*Teacher Name], teachers_table[*Income Rate])</f>
        <v>#N/A</v>
      </c>
      <c r="E149" s="171" t="e">
        <f>blank2Salary_table[[#This Row],[Income Rate]]*blank2Salary_table[[#This Row],[Student Payments]]</f>
        <v>#N/A</v>
      </c>
      <c r="F149" s="174"/>
      <c r="G149" s="174"/>
      <c r="H149" s="92"/>
    </row>
  </sheetData>
  <mergeCells count="10">
    <mergeCell ref="A1:H1"/>
    <mergeCell ref="A16:H16"/>
    <mergeCell ref="A31:H31"/>
    <mergeCell ref="A121:H121"/>
    <mergeCell ref="A136:H136"/>
    <mergeCell ref="A46:H46"/>
    <mergeCell ref="A61:H61"/>
    <mergeCell ref="A76:H76"/>
    <mergeCell ref="A91:H91"/>
    <mergeCell ref="A106:H106"/>
  </mergeCells>
  <phoneticPr fontId="5" type="noConversion"/>
  <conditionalFormatting sqref="F3:F14">
    <cfRule type="cellIs" dxfId="219" priority="59" operator="equal">
      <formula>"No"</formula>
    </cfRule>
    <cfRule type="cellIs" dxfId="218" priority="60" operator="equal">
      <formula>"Yes"</formula>
    </cfRule>
  </conditionalFormatting>
  <conditionalFormatting sqref="F18:F29">
    <cfRule type="cellIs" dxfId="217" priority="17" operator="equal">
      <formula>"No"</formula>
    </cfRule>
    <cfRule type="cellIs" dxfId="216" priority="18" operator="equal">
      <formula>"Yes"</formula>
    </cfRule>
  </conditionalFormatting>
  <conditionalFormatting sqref="F33:F44">
    <cfRule type="cellIs" dxfId="215" priority="15" operator="equal">
      <formula>"No"</formula>
    </cfRule>
    <cfRule type="cellIs" dxfId="214" priority="16" operator="equal">
      <formula>"Yes"</formula>
    </cfRule>
  </conditionalFormatting>
  <conditionalFormatting sqref="F48:F59">
    <cfRule type="cellIs" dxfId="213" priority="13" operator="equal">
      <formula>"No"</formula>
    </cfRule>
    <cfRule type="cellIs" dxfId="212" priority="14" operator="equal">
      <formula>"Yes"</formula>
    </cfRule>
  </conditionalFormatting>
  <conditionalFormatting sqref="F63:F74">
    <cfRule type="cellIs" dxfId="211" priority="11" operator="equal">
      <formula>"No"</formula>
    </cfRule>
    <cfRule type="cellIs" dxfId="210" priority="12" operator="equal">
      <formula>"Yes"</formula>
    </cfRule>
  </conditionalFormatting>
  <conditionalFormatting sqref="F78:F89">
    <cfRule type="cellIs" dxfId="209" priority="9" operator="equal">
      <formula>"No"</formula>
    </cfRule>
    <cfRule type="cellIs" dxfId="208" priority="10" operator="equal">
      <formula>"Yes"</formula>
    </cfRule>
  </conditionalFormatting>
  <conditionalFormatting sqref="F93:F104">
    <cfRule type="cellIs" dxfId="207" priority="7" operator="equal">
      <formula>"No"</formula>
    </cfRule>
    <cfRule type="cellIs" dxfId="206" priority="8" operator="equal">
      <formula>"Yes"</formula>
    </cfRule>
  </conditionalFormatting>
  <conditionalFormatting sqref="F108:F119">
    <cfRule type="cellIs" dxfId="205" priority="5" operator="equal">
      <formula>"No"</formula>
    </cfRule>
    <cfRule type="cellIs" dxfId="204" priority="6" operator="equal">
      <formula>"Yes"</formula>
    </cfRule>
  </conditionalFormatting>
  <conditionalFormatting sqref="F123:F134">
    <cfRule type="cellIs" dxfId="203" priority="3" operator="equal">
      <formula>"No"</formula>
    </cfRule>
    <cfRule type="cellIs" dxfId="202" priority="4" operator="equal">
      <formula>"Yes"</formula>
    </cfRule>
  </conditionalFormatting>
  <conditionalFormatting sqref="F138:F149">
    <cfRule type="cellIs" dxfId="201" priority="1" operator="equal">
      <formula>"No"</formula>
    </cfRule>
    <cfRule type="cellIs" dxfId="200" priority="2" operator="equal">
      <formula>"Yes"</formula>
    </cfRule>
  </conditionalFormatting>
  <dataValidations count="1">
    <dataValidation type="list" allowBlank="1" sqref="F3:F14 F93:F104 F33:F44 L3:L14 F123:F134 F108:F119 F18:F29 F48:F59 F63:F74 F78:F89 F138:F149" xr:uid="{5926D9F6-9AF7-44EF-ABBE-DCEC97C9A27E}">
      <formula1>"Yes,No"</formula1>
    </dataValidation>
  </dataValidations>
  <pageMargins left="0.7" right="0.7" top="0.75" bottom="0.75" header="0.3" footer="0.3"/>
  <pageSetup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BAA3-BD84-4EED-83E9-2EE8681721C3}">
  <sheetPr codeName="Sheet24"/>
  <dimension ref="A1:M1000"/>
  <sheetViews>
    <sheetView workbookViewId="0">
      <pane ySplit="1" topLeftCell="A2" activePane="bottomLeft" state="frozen"/>
      <selection activeCell="N20" sqref="N20"/>
      <selection pane="bottomLeft" activeCell="A8" sqref="A8"/>
    </sheetView>
  </sheetViews>
  <sheetFormatPr defaultRowHeight="14.4" x14ac:dyDescent="0.3"/>
  <cols>
    <col min="1" max="1" width="17.77734375" customWidth="1"/>
    <col min="2" max="2" width="11.6640625" customWidth="1"/>
    <col min="3" max="3" width="16.77734375" customWidth="1"/>
    <col min="4" max="4" width="12.5546875" customWidth="1"/>
    <col min="5" max="5" width="14.44140625" customWidth="1"/>
    <col min="6" max="6" width="22.109375" customWidth="1"/>
    <col min="8" max="8" width="17.77734375" customWidth="1"/>
    <col min="9" max="9" width="14.21875" customWidth="1"/>
    <col min="10" max="10" width="17.88671875" customWidth="1"/>
    <col min="11" max="11" width="15.5546875" customWidth="1"/>
    <col min="12" max="12" width="12.88671875" customWidth="1"/>
    <col min="13" max="13" width="21.21875" customWidth="1"/>
  </cols>
  <sheetData>
    <row r="1" spans="1:13" ht="17.399999999999999" customHeight="1" x14ac:dyDescent="0.3">
      <c r="A1" s="222" t="s">
        <v>236</v>
      </c>
      <c r="B1" s="222" t="s">
        <v>237</v>
      </c>
      <c r="C1" s="222" t="s">
        <v>47</v>
      </c>
      <c r="D1" s="222" t="s">
        <v>42</v>
      </c>
      <c r="E1" s="197" t="s">
        <v>238</v>
      </c>
      <c r="F1" s="198" t="s">
        <v>239</v>
      </c>
      <c r="H1" s="293" t="s">
        <v>207</v>
      </c>
      <c r="I1" s="293"/>
      <c r="J1" s="293"/>
      <c r="K1" s="238"/>
    </row>
    <row r="2" spans="1:13" ht="17.399999999999999" customHeight="1" x14ac:dyDescent="0.3">
      <c r="A2" s="221" t="s">
        <v>254</v>
      </c>
      <c r="B2" s="223">
        <v>800</v>
      </c>
      <c r="C2" s="224">
        <v>46272</v>
      </c>
      <c r="D2" s="225" t="str">
        <f>IF(allSellings_table[[#This Row],[Date]]="","",TEXT(allSellings_table[[#This Row],[Date]],"mmmm"))</f>
        <v>September</v>
      </c>
      <c r="E2" s="207" t="s">
        <v>241</v>
      </c>
      <c r="F2" s="208"/>
      <c r="H2" s="294" t="s">
        <v>232</v>
      </c>
      <c r="I2" s="320"/>
      <c r="J2" s="237"/>
    </row>
    <row r="3" spans="1:13" x14ac:dyDescent="0.3">
      <c r="A3" s="205" t="s">
        <v>240</v>
      </c>
      <c r="B3" s="206">
        <v>100</v>
      </c>
      <c r="C3" s="214">
        <v>46272</v>
      </c>
      <c r="D3" s="209" t="str">
        <f>IF(allSellings_table[[#This Row],[Date]]="","",TEXT(allSellings_table[[#This Row],[Date]],"mmmm"))</f>
        <v>September</v>
      </c>
      <c r="E3" s="209" t="s">
        <v>251</v>
      </c>
      <c r="F3" s="210"/>
      <c r="H3" s="8"/>
      <c r="I3" s="8"/>
      <c r="J3" s="8"/>
    </row>
    <row r="4" spans="1:13" ht="16.8" customHeight="1" x14ac:dyDescent="0.3">
      <c r="A4" s="205" t="s">
        <v>242</v>
      </c>
      <c r="B4" s="206">
        <v>2000</v>
      </c>
      <c r="C4" s="214">
        <v>46272</v>
      </c>
      <c r="D4" s="209" t="str">
        <f>IF(allSellings_table[[#This Row],[Date]]="","",TEXT(allSellings_table[[#This Row],[Date]],"mmmm"))</f>
        <v>September</v>
      </c>
      <c r="E4" s="209" t="s">
        <v>252</v>
      </c>
      <c r="F4" s="210"/>
      <c r="H4" s="6" t="s">
        <v>49</v>
      </c>
      <c r="I4" s="32" t="s">
        <v>50</v>
      </c>
      <c r="J4" s="32" t="s">
        <v>47</v>
      </c>
      <c r="K4" s="32" t="s">
        <v>42</v>
      </c>
      <c r="L4" s="32" t="s">
        <v>231</v>
      </c>
      <c r="M4" s="32" t="s">
        <v>7</v>
      </c>
    </row>
    <row r="5" spans="1:13" ht="15" customHeight="1" x14ac:dyDescent="0.3">
      <c r="A5" s="205" t="s">
        <v>243</v>
      </c>
      <c r="B5" s="206">
        <v>2200</v>
      </c>
      <c r="C5" s="214">
        <v>46272</v>
      </c>
      <c r="D5" s="209" t="str">
        <f>IF(allSellings_table[[#This Row],[Date]]="","",TEXT(allSellings_table[[#This Row],[Date]],"mmmm"))</f>
        <v>September</v>
      </c>
      <c r="E5" s="209" t="s">
        <v>253</v>
      </c>
      <c r="F5" s="210"/>
      <c r="H5" s="226" t="str" cm="1">
        <f t="array" ref="H5">IF($J$2 &lt;&gt; "", _xlfn._xlws.FILTER(allSellings_table[],ISNUMBER(SEARCH($J$2, allSellings_table[*Item Name])), "No Students Found"), "Please enter an item name to search")</f>
        <v>Please enter an item name to search</v>
      </c>
      <c r="I5" s="218"/>
      <c r="J5" s="187"/>
      <c r="K5" s="67"/>
      <c r="L5" s="67"/>
      <c r="M5" s="67"/>
    </row>
    <row r="6" spans="1:13" x14ac:dyDescent="0.3">
      <c r="A6" s="205" t="s">
        <v>270</v>
      </c>
      <c r="B6" s="206">
        <v>300</v>
      </c>
      <c r="C6" s="214">
        <v>46272</v>
      </c>
      <c r="D6" s="209" t="str">
        <f>IF(allSellings_table[[#This Row],[Date]]="","",TEXT(allSellings_table[[#This Row],[Date]],"mmmm"))</f>
        <v>September</v>
      </c>
      <c r="E6" s="209" t="s">
        <v>277</v>
      </c>
      <c r="F6" s="210"/>
      <c r="H6" s="168"/>
      <c r="I6" s="219"/>
      <c r="J6" s="185"/>
      <c r="K6" s="54"/>
      <c r="L6" s="54"/>
      <c r="M6" s="54"/>
    </row>
    <row r="7" spans="1:13" x14ac:dyDescent="0.3">
      <c r="A7" s="205" t="s">
        <v>271</v>
      </c>
      <c r="B7" s="206">
        <v>3000</v>
      </c>
      <c r="C7" s="214">
        <v>46272</v>
      </c>
      <c r="D7" s="209" t="str">
        <f>IF(allSellings_table[[#This Row],[Date]]="","",TEXT(allSellings_table[[#This Row],[Date]],"mmmm"))</f>
        <v>September</v>
      </c>
      <c r="E7" s="209" t="s">
        <v>241</v>
      </c>
      <c r="F7" s="210"/>
      <c r="H7" s="167"/>
      <c r="I7" s="220"/>
      <c r="J7" s="177"/>
      <c r="K7" s="53"/>
      <c r="L7" s="53"/>
      <c r="M7" s="53"/>
    </row>
    <row r="8" spans="1:13" x14ac:dyDescent="0.3">
      <c r="A8" s="205"/>
      <c r="B8" s="206"/>
      <c r="C8" s="214"/>
      <c r="D8" s="209" t="str">
        <f>IF(allSellings_table[[#This Row],[Date]]="","",TEXT(allSellings_table[[#This Row],[Date]],"mmmm"))</f>
        <v/>
      </c>
      <c r="E8" s="209"/>
      <c r="F8" s="210"/>
      <c r="H8" s="168"/>
      <c r="I8" s="219"/>
      <c r="J8" s="185"/>
      <c r="K8" s="54"/>
      <c r="L8" s="54"/>
      <c r="M8" s="54"/>
    </row>
    <row r="9" spans="1:13" x14ac:dyDescent="0.3">
      <c r="A9" s="205"/>
      <c r="B9" s="206"/>
      <c r="C9" s="214"/>
      <c r="D9" s="209" t="str">
        <f>IF(allSellings_table[[#This Row],[Date]]="","",TEXT(allSellings_table[[#This Row],[Date]],"mmmm"))</f>
        <v/>
      </c>
      <c r="E9" s="209"/>
      <c r="F9" s="210"/>
      <c r="H9" s="62"/>
      <c r="I9" s="227"/>
      <c r="J9" s="186"/>
      <c r="K9" s="53"/>
      <c r="L9" s="53"/>
      <c r="M9" s="53"/>
    </row>
    <row r="10" spans="1:13" x14ac:dyDescent="0.3">
      <c r="A10" s="205"/>
      <c r="B10" s="206"/>
      <c r="C10" s="214"/>
      <c r="D10" s="209" t="str">
        <f>IF(allSellings_table[[#This Row],[Date]]="","",TEXT(allSellings_table[[#This Row],[Date]],"mmmm"))</f>
        <v/>
      </c>
      <c r="E10" s="209"/>
      <c r="F10" s="210"/>
      <c r="H10" s="168"/>
      <c r="I10" s="219"/>
      <c r="J10" s="185"/>
      <c r="K10" s="54"/>
      <c r="L10" s="54"/>
      <c r="M10" s="54"/>
    </row>
    <row r="11" spans="1:13" x14ac:dyDescent="0.3">
      <c r="A11" s="205"/>
      <c r="B11" s="206"/>
      <c r="C11" s="214"/>
      <c r="D11" s="209" t="str">
        <f>IF(allSellings_table[[#This Row],[Date]]="","",TEXT(allSellings_table[[#This Row],[Date]],"mmmm"))</f>
        <v/>
      </c>
      <c r="E11" s="209"/>
      <c r="F11" s="210"/>
      <c r="H11" s="167"/>
      <c r="I11" s="220"/>
      <c r="J11" s="177"/>
      <c r="K11" s="53"/>
      <c r="L11" s="53"/>
      <c r="M11" s="53"/>
    </row>
    <row r="12" spans="1:13" x14ac:dyDescent="0.3">
      <c r="A12" s="205"/>
      <c r="B12" s="206"/>
      <c r="C12" s="214"/>
      <c r="D12" s="209" t="str">
        <f>IF(allSellings_table[[#This Row],[Date]]="","",TEXT(allSellings_table[[#This Row],[Date]],"mmmm"))</f>
        <v/>
      </c>
      <c r="E12" s="209"/>
      <c r="F12" s="210"/>
      <c r="H12" s="168"/>
      <c r="I12" s="219"/>
      <c r="J12" s="185"/>
      <c r="K12" s="54"/>
      <c r="L12" s="54"/>
      <c r="M12" s="54"/>
    </row>
    <row r="13" spans="1:13" x14ac:dyDescent="0.3">
      <c r="A13" s="205"/>
      <c r="B13" s="206"/>
      <c r="C13" s="214"/>
      <c r="D13" s="209" t="str">
        <f>IF(allSellings_table[[#This Row],[Date]]="","",TEXT(allSellings_table[[#This Row],[Date]],"mmmm"))</f>
        <v/>
      </c>
      <c r="E13" s="209"/>
      <c r="F13" s="210"/>
      <c r="H13" s="167"/>
      <c r="I13" s="220"/>
      <c r="J13" s="177"/>
      <c r="K13" s="53"/>
      <c r="L13" s="53"/>
      <c r="M13" s="53"/>
    </row>
    <row r="14" spans="1:13" x14ac:dyDescent="0.3">
      <c r="A14" s="205"/>
      <c r="B14" s="206"/>
      <c r="C14" s="214"/>
      <c r="D14" s="209" t="str">
        <f>IF(allSellings_table[[#This Row],[Date]]="","",TEXT(allSellings_table[[#This Row],[Date]],"mmmm"))</f>
        <v/>
      </c>
      <c r="E14" s="209"/>
      <c r="F14" s="210"/>
      <c r="H14" s="168"/>
      <c r="I14" s="219"/>
      <c r="J14" s="185"/>
      <c r="K14" s="54"/>
      <c r="L14" s="54"/>
      <c r="M14" s="54"/>
    </row>
    <row r="15" spans="1:13" x14ac:dyDescent="0.3">
      <c r="A15" s="205"/>
      <c r="B15" s="206"/>
      <c r="C15" s="214"/>
      <c r="D15" s="209" t="str">
        <f>IF(allSellings_table[[#This Row],[Date]]="","",TEXT(allSellings_table[[#This Row],[Date]],"mmmm"))</f>
        <v/>
      </c>
      <c r="E15" s="209"/>
      <c r="F15" s="210"/>
      <c r="H15" s="62"/>
      <c r="I15" s="227"/>
      <c r="J15" s="186"/>
      <c r="K15" s="53"/>
      <c r="L15" s="53"/>
      <c r="M15" s="53"/>
    </row>
    <row r="16" spans="1:13" x14ac:dyDescent="0.3">
      <c r="A16" s="205"/>
      <c r="B16" s="206"/>
      <c r="C16" s="214"/>
      <c r="D16" s="209" t="str">
        <f>IF(allSellings_table[[#This Row],[Date]]="","",TEXT(allSellings_table[[#This Row],[Date]],"mmmm"))</f>
        <v/>
      </c>
      <c r="E16" s="209"/>
      <c r="F16" s="210"/>
      <c r="H16" s="69"/>
      <c r="I16" s="228"/>
      <c r="J16" s="188"/>
      <c r="K16" s="54"/>
      <c r="L16" s="54"/>
      <c r="M16" s="54"/>
    </row>
    <row r="17" spans="1:13" x14ac:dyDescent="0.3">
      <c r="A17" s="205"/>
      <c r="B17" s="206"/>
      <c r="C17" s="214"/>
      <c r="D17" s="209" t="str">
        <f>IF(allSellings_table[[#This Row],[Date]]="","",TEXT(allSellings_table[[#This Row],[Date]],"mmmm"))</f>
        <v/>
      </c>
      <c r="E17" s="209"/>
      <c r="F17" s="210"/>
      <c r="H17" s="62"/>
      <c r="I17" s="227"/>
      <c r="J17" s="186"/>
      <c r="K17" s="53"/>
      <c r="L17" s="53"/>
      <c r="M17" s="53"/>
    </row>
    <row r="18" spans="1:13" x14ac:dyDescent="0.3">
      <c r="A18" s="205"/>
      <c r="B18" s="206"/>
      <c r="C18" s="214"/>
      <c r="D18" s="209" t="str">
        <f>IF(allSellings_table[[#This Row],[Date]]="","",TEXT(allSellings_table[[#This Row],[Date]],"mmmm"))</f>
        <v/>
      </c>
      <c r="E18" s="209"/>
      <c r="F18" s="210"/>
      <c r="H18" s="69"/>
      <c r="I18" s="228"/>
      <c r="J18" s="188"/>
      <c r="K18" s="54"/>
      <c r="L18" s="54"/>
      <c r="M18" s="54"/>
    </row>
    <row r="19" spans="1:13" x14ac:dyDescent="0.3">
      <c r="A19" s="205"/>
      <c r="B19" s="206"/>
      <c r="C19" s="214"/>
      <c r="D19" s="209" t="str">
        <f>IF(allSellings_table[[#This Row],[Date]]="","",TEXT(allSellings_table[[#This Row],[Date]],"mmmm"))</f>
        <v/>
      </c>
      <c r="E19" s="209"/>
      <c r="F19" s="210"/>
      <c r="H19" s="62"/>
      <c r="I19" s="227"/>
      <c r="J19" s="186"/>
      <c r="K19" s="53"/>
      <c r="L19" s="53"/>
      <c r="M19" s="53"/>
    </row>
    <row r="20" spans="1:13" x14ac:dyDescent="0.3">
      <c r="A20" s="205"/>
      <c r="B20" s="206"/>
      <c r="C20" s="214"/>
      <c r="D20" s="209" t="str">
        <f>IF(allSellings_table[[#This Row],[Date]]="","",TEXT(allSellings_table[[#This Row],[Date]],"mmmm"))</f>
        <v/>
      </c>
      <c r="E20" s="209"/>
      <c r="F20" s="210"/>
      <c r="H20" s="69"/>
      <c r="I20" s="228"/>
      <c r="J20" s="188"/>
      <c r="K20" s="54"/>
      <c r="L20" s="54"/>
      <c r="M20" s="54"/>
    </row>
    <row r="21" spans="1:13" x14ac:dyDescent="0.3">
      <c r="A21" s="205"/>
      <c r="B21" s="206"/>
      <c r="C21" s="214"/>
      <c r="D21" s="209" t="str">
        <f>IF(allSellings_table[[#This Row],[Date]]="","",TEXT(allSellings_table[[#This Row],[Date]],"mmmm"))</f>
        <v/>
      </c>
      <c r="E21" s="209"/>
      <c r="F21" s="210"/>
      <c r="H21" s="62"/>
      <c r="I21" s="227"/>
      <c r="J21" s="186"/>
      <c r="K21" s="53"/>
      <c r="L21" s="53"/>
      <c r="M21" s="53"/>
    </row>
    <row r="22" spans="1:13" x14ac:dyDescent="0.3">
      <c r="A22" s="205"/>
      <c r="B22" s="206"/>
      <c r="C22" s="214"/>
      <c r="D22" s="209" t="str">
        <f>IF(allSellings_table[[#This Row],[Date]]="","",TEXT(allSellings_table[[#This Row],[Date]],"mmmm"))</f>
        <v/>
      </c>
      <c r="E22" s="209"/>
      <c r="F22" s="210"/>
      <c r="H22" s="69"/>
      <c r="I22" s="228"/>
      <c r="J22" s="188"/>
      <c r="K22" s="54"/>
      <c r="L22" s="54"/>
      <c r="M22" s="54"/>
    </row>
    <row r="23" spans="1:13" x14ac:dyDescent="0.3">
      <c r="A23" s="205"/>
      <c r="B23" s="206"/>
      <c r="C23" s="214"/>
      <c r="D23" s="209" t="str">
        <f>IF(allSellings_table[[#This Row],[Date]]="","",TEXT(allSellings_table[[#This Row],[Date]],"mmmm"))</f>
        <v/>
      </c>
      <c r="E23" s="209"/>
      <c r="F23" s="210"/>
      <c r="H23" s="62"/>
      <c r="I23" s="227"/>
      <c r="J23" s="186"/>
      <c r="K23" s="53"/>
      <c r="L23" s="53"/>
      <c r="M23" s="53"/>
    </row>
    <row r="24" spans="1:13" x14ac:dyDescent="0.3">
      <c r="A24" s="205"/>
      <c r="B24" s="206"/>
      <c r="C24" s="214"/>
      <c r="D24" s="209" t="str">
        <f>IF(allSellings_table[[#This Row],[Date]]="","",TEXT(allSellings_table[[#This Row],[Date]],"mmmm"))</f>
        <v/>
      </c>
      <c r="E24" s="209"/>
      <c r="F24" s="210"/>
      <c r="H24" s="69"/>
      <c r="I24" s="228"/>
      <c r="J24" s="188"/>
      <c r="K24" s="54"/>
      <c r="L24" s="54"/>
      <c r="M24" s="54"/>
    </row>
    <row r="25" spans="1:13" x14ac:dyDescent="0.3">
      <c r="A25" s="205"/>
      <c r="B25" s="206"/>
      <c r="C25" s="214"/>
      <c r="D25" s="209" t="str">
        <f>IF(allSellings_table[[#This Row],[Date]]="","",TEXT(allSellings_table[[#This Row],[Date]],"mmmm"))</f>
        <v/>
      </c>
      <c r="E25" s="209"/>
      <c r="F25" s="210"/>
      <c r="H25" s="62"/>
      <c r="I25" s="227"/>
      <c r="J25" s="186"/>
      <c r="K25" s="53"/>
      <c r="L25" s="53"/>
      <c r="M25" s="53"/>
    </row>
    <row r="26" spans="1:13" x14ac:dyDescent="0.3">
      <c r="A26" s="205"/>
      <c r="B26" s="206"/>
      <c r="C26" s="214"/>
      <c r="D26" s="209" t="str">
        <f>IF(allSellings_table[[#This Row],[Date]]="","",TEXT(allSellings_table[[#This Row],[Date]],"mmmm"))</f>
        <v/>
      </c>
      <c r="E26" s="209"/>
      <c r="F26" s="210"/>
      <c r="H26" s="69"/>
      <c r="I26" s="228"/>
      <c r="J26" s="188"/>
      <c r="K26" s="54"/>
      <c r="L26" s="54"/>
      <c r="M26" s="54"/>
    </row>
    <row r="27" spans="1:13" x14ac:dyDescent="0.3">
      <c r="A27" s="205"/>
      <c r="B27" s="206"/>
      <c r="C27" s="214"/>
      <c r="D27" s="209" t="str">
        <f>IF(allSellings_table[[#This Row],[Date]]="","",TEXT(allSellings_table[[#This Row],[Date]],"mmmm"))</f>
        <v/>
      </c>
      <c r="E27" s="209"/>
      <c r="F27" s="210"/>
      <c r="H27" s="62"/>
      <c r="I27" s="227"/>
      <c r="J27" s="186"/>
      <c r="K27" s="53"/>
      <c r="L27" s="53"/>
      <c r="M27" s="53"/>
    </row>
    <row r="28" spans="1:13" x14ac:dyDescent="0.3">
      <c r="A28" s="205"/>
      <c r="B28" s="206"/>
      <c r="C28" s="214"/>
      <c r="D28" s="209" t="str">
        <f>IF(allSellings_table[[#This Row],[Date]]="","",TEXT(allSellings_table[[#This Row],[Date]],"mmmm"))</f>
        <v/>
      </c>
      <c r="E28" s="209"/>
      <c r="F28" s="210"/>
      <c r="H28" s="69"/>
      <c r="I28" s="228"/>
      <c r="J28" s="188"/>
      <c r="K28" s="54"/>
      <c r="L28" s="54"/>
      <c r="M28" s="54"/>
    </row>
    <row r="29" spans="1:13" x14ac:dyDescent="0.3">
      <c r="A29" s="205"/>
      <c r="B29" s="206"/>
      <c r="C29" s="214"/>
      <c r="D29" s="209" t="str">
        <f>IF(allSellings_table[[#This Row],[Date]]="","",TEXT(allSellings_table[[#This Row],[Date]],"mmmm"))</f>
        <v/>
      </c>
      <c r="E29" s="209"/>
      <c r="F29" s="210"/>
      <c r="H29" s="62"/>
      <c r="I29" s="227"/>
      <c r="J29" s="186"/>
      <c r="K29" s="53"/>
      <c r="L29" s="53"/>
      <c r="M29" s="53"/>
    </row>
    <row r="30" spans="1:13" x14ac:dyDescent="0.3">
      <c r="A30" s="205"/>
      <c r="B30" s="206"/>
      <c r="C30" s="214"/>
      <c r="D30" s="209" t="str">
        <f>IF(allSellings_table[[#This Row],[Date]]="","",TEXT(allSellings_table[[#This Row],[Date]],"mmmm"))</f>
        <v/>
      </c>
      <c r="E30" s="209"/>
      <c r="F30" s="210"/>
      <c r="H30" s="69"/>
      <c r="I30" s="228"/>
      <c r="J30" s="188"/>
      <c r="K30" s="54"/>
      <c r="L30" s="54"/>
      <c r="M30" s="54"/>
    </row>
    <row r="31" spans="1:13" x14ac:dyDescent="0.3">
      <c r="A31" s="205"/>
      <c r="B31" s="206"/>
      <c r="C31" s="214"/>
      <c r="D31" s="209" t="str">
        <f>IF(allSellings_table[[#This Row],[Date]]="","",TEXT(allSellings_table[[#This Row],[Date]],"mmmm"))</f>
        <v/>
      </c>
      <c r="E31" s="209"/>
      <c r="F31" s="210"/>
      <c r="H31" s="62"/>
      <c r="I31" s="227"/>
      <c r="J31" s="186"/>
      <c r="K31" s="53"/>
      <c r="L31" s="53"/>
      <c r="M31" s="53"/>
    </row>
    <row r="32" spans="1:13" x14ac:dyDescent="0.3">
      <c r="A32" s="205"/>
      <c r="B32" s="206"/>
      <c r="C32" s="214"/>
      <c r="D32" s="209" t="str">
        <f>IF(allSellings_table[[#This Row],[Date]]="","",TEXT(allSellings_table[[#This Row],[Date]],"mmmm"))</f>
        <v/>
      </c>
      <c r="E32" s="209"/>
      <c r="F32" s="210"/>
      <c r="H32" s="69"/>
      <c r="I32" s="228"/>
      <c r="J32" s="188"/>
      <c r="K32" s="54"/>
      <c r="L32" s="54"/>
      <c r="M32" s="54"/>
    </row>
    <row r="33" spans="1:13" x14ac:dyDescent="0.3">
      <c r="A33" s="205"/>
      <c r="B33" s="206"/>
      <c r="C33" s="214"/>
      <c r="D33" s="209" t="str">
        <f>IF(allSellings_table[[#This Row],[Date]]="","",TEXT(allSellings_table[[#This Row],[Date]],"mmmm"))</f>
        <v/>
      </c>
      <c r="E33" s="209"/>
      <c r="F33" s="210"/>
      <c r="H33" s="62"/>
      <c r="I33" s="227"/>
      <c r="J33" s="186"/>
      <c r="K33" s="53"/>
      <c r="L33" s="53"/>
      <c r="M33" s="53"/>
    </row>
    <row r="34" spans="1:13" x14ac:dyDescent="0.3">
      <c r="A34" s="205"/>
      <c r="B34" s="206"/>
      <c r="C34" s="214"/>
      <c r="D34" s="209" t="str">
        <f>IF(allSellings_table[[#This Row],[Date]]="","",TEXT(allSellings_table[[#This Row],[Date]],"mmmm"))</f>
        <v/>
      </c>
      <c r="E34" s="209"/>
      <c r="F34" s="210"/>
      <c r="H34" s="69"/>
      <c r="I34" s="228"/>
      <c r="J34" s="188"/>
      <c r="K34" s="54"/>
      <c r="L34" s="54"/>
      <c r="M34" s="54"/>
    </row>
    <row r="35" spans="1:13" x14ac:dyDescent="0.3">
      <c r="A35" s="205"/>
      <c r="B35" s="206"/>
      <c r="C35" s="214"/>
      <c r="D35" s="209" t="str">
        <f>IF(allSellings_table[[#This Row],[Date]]="","",TEXT(allSellings_table[[#This Row],[Date]],"mmmm"))</f>
        <v/>
      </c>
      <c r="E35" s="209"/>
      <c r="F35" s="210"/>
      <c r="H35" s="62"/>
      <c r="I35" s="227"/>
      <c r="J35" s="186"/>
      <c r="K35" s="53"/>
      <c r="L35" s="53"/>
      <c r="M35" s="53"/>
    </row>
    <row r="36" spans="1:13" x14ac:dyDescent="0.3">
      <c r="A36" s="205"/>
      <c r="B36" s="206"/>
      <c r="C36" s="214"/>
      <c r="D36" s="209" t="str">
        <f>IF(allSellings_table[[#This Row],[Date]]="","",TEXT(allSellings_table[[#This Row],[Date]],"mmmm"))</f>
        <v/>
      </c>
      <c r="E36" s="209"/>
      <c r="F36" s="210"/>
      <c r="H36" s="69"/>
      <c r="I36" s="228"/>
      <c r="J36" s="188"/>
      <c r="K36" s="54"/>
      <c r="L36" s="54"/>
      <c r="M36" s="54"/>
    </row>
    <row r="37" spans="1:13" x14ac:dyDescent="0.3">
      <c r="A37" s="205"/>
      <c r="B37" s="206"/>
      <c r="C37" s="214"/>
      <c r="D37" s="209" t="str">
        <f>IF(allSellings_table[[#This Row],[Date]]="","",TEXT(allSellings_table[[#This Row],[Date]],"mmmm"))</f>
        <v/>
      </c>
      <c r="E37" s="209"/>
      <c r="F37" s="210"/>
      <c r="H37" s="62"/>
      <c r="I37" s="227"/>
      <c r="J37" s="186"/>
      <c r="K37" s="53"/>
      <c r="L37" s="53"/>
      <c r="M37" s="53"/>
    </row>
    <row r="38" spans="1:13" x14ac:dyDescent="0.3">
      <c r="A38" s="205"/>
      <c r="B38" s="206"/>
      <c r="C38" s="214"/>
      <c r="D38" s="209" t="str">
        <f>IF(allSellings_table[[#This Row],[Date]]="","",TEXT(allSellings_table[[#This Row],[Date]],"mmmm"))</f>
        <v/>
      </c>
      <c r="E38" s="209"/>
      <c r="F38" s="210"/>
      <c r="H38" s="69"/>
      <c r="I38" s="228"/>
      <c r="J38" s="188"/>
      <c r="K38" s="54"/>
      <c r="L38" s="54"/>
      <c r="M38" s="54"/>
    </row>
    <row r="39" spans="1:13" x14ac:dyDescent="0.3">
      <c r="A39" s="205"/>
      <c r="B39" s="206"/>
      <c r="C39" s="214"/>
      <c r="D39" s="209" t="str">
        <f>IF(allSellings_table[[#This Row],[Date]]="","",TEXT(allSellings_table[[#This Row],[Date]],"mmmm"))</f>
        <v/>
      </c>
      <c r="E39" s="209"/>
      <c r="F39" s="210"/>
      <c r="H39" s="62"/>
      <c r="I39" s="227"/>
      <c r="J39" s="186"/>
      <c r="K39" s="53"/>
      <c r="L39" s="53"/>
      <c r="M39" s="53"/>
    </row>
    <row r="40" spans="1:13" x14ac:dyDescent="0.3">
      <c r="A40" s="205"/>
      <c r="B40" s="206"/>
      <c r="C40" s="214"/>
      <c r="D40" s="209" t="str">
        <f>IF(allSellings_table[[#This Row],[Date]]="","",TEXT(allSellings_table[[#This Row],[Date]],"mmmm"))</f>
        <v/>
      </c>
      <c r="E40" s="209"/>
      <c r="F40" s="210"/>
      <c r="H40" s="69"/>
      <c r="I40" s="228"/>
      <c r="J40" s="188"/>
      <c r="K40" s="54"/>
      <c r="L40" s="54"/>
      <c r="M40" s="54"/>
    </row>
    <row r="41" spans="1:13" x14ac:dyDescent="0.3">
      <c r="A41" s="205"/>
      <c r="B41" s="206"/>
      <c r="C41" s="214"/>
      <c r="D41" s="209" t="str">
        <f>IF(allSellings_table[[#This Row],[Date]]="","",TEXT(allSellings_table[[#This Row],[Date]],"mmmm"))</f>
        <v/>
      </c>
      <c r="E41" s="209"/>
      <c r="F41" s="210"/>
      <c r="H41" s="62"/>
      <c r="I41" s="227"/>
      <c r="J41" s="186"/>
      <c r="K41" s="53"/>
      <c r="L41" s="53"/>
      <c r="M41" s="53"/>
    </row>
    <row r="42" spans="1:13" x14ac:dyDescent="0.3">
      <c r="A42" s="205"/>
      <c r="B42" s="206"/>
      <c r="C42" s="214"/>
      <c r="D42" s="209" t="str">
        <f>IF(allSellings_table[[#This Row],[Date]]="","",TEXT(allSellings_table[[#This Row],[Date]],"mmmm"))</f>
        <v/>
      </c>
      <c r="E42" s="209"/>
      <c r="F42" s="210"/>
      <c r="H42" s="69"/>
      <c r="I42" s="228"/>
      <c r="J42" s="188"/>
      <c r="K42" s="54"/>
      <c r="L42" s="54"/>
      <c r="M42" s="54"/>
    </row>
    <row r="43" spans="1:13" x14ac:dyDescent="0.3">
      <c r="A43" s="205"/>
      <c r="B43" s="206"/>
      <c r="C43" s="214"/>
      <c r="D43" s="209" t="str">
        <f>IF(allSellings_table[[#This Row],[Date]]="","",TEXT(allSellings_table[[#This Row],[Date]],"mmmm"))</f>
        <v/>
      </c>
      <c r="E43" s="209"/>
      <c r="F43" s="210"/>
      <c r="H43" s="62"/>
      <c r="I43" s="227"/>
      <c r="J43" s="186"/>
      <c r="K43" s="53"/>
      <c r="L43" s="53"/>
      <c r="M43" s="53"/>
    </row>
    <row r="44" spans="1:13" x14ac:dyDescent="0.3">
      <c r="A44" s="205"/>
      <c r="B44" s="206"/>
      <c r="C44" s="214"/>
      <c r="D44" s="209" t="str">
        <f>IF(allSellings_table[[#This Row],[Date]]="","",TEXT(allSellings_table[[#This Row],[Date]],"mmmm"))</f>
        <v/>
      </c>
      <c r="E44" s="209"/>
      <c r="F44" s="210"/>
      <c r="H44" s="69"/>
      <c r="I44" s="228"/>
      <c r="J44" s="188"/>
      <c r="K44" s="54"/>
      <c r="L44" s="54"/>
      <c r="M44" s="54"/>
    </row>
    <row r="45" spans="1:13" x14ac:dyDescent="0.3">
      <c r="A45" s="205"/>
      <c r="B45" s="206"/>
      <c r="C45" s="214"/>
      <c r="D45" s="209" t="str">
        <f>IF(allSellings_table[[#This Row],[Date]]="","",TEXT(allSellings_table[[#This Row],[Date]],"mmmm"))</f>
        <v/>
      </c>
      <c r="E45" s="209"/>
      <c r="F45" s="210"/>
      <c r="H45" s="62"/>
      <c r="I45" s="227"/>
      <c r="J45" s="186"/>
      <c r="K45" s="53"/>
      <c r="L45" s="53"/>
      <c r="M45" s="53"/>
    </row>
    <row r="46" spans="1:13" x14ac:dyDescent="0.3">
      <c r="A46" s="205"/>
      <c r="B46" s="206"/>
      <c r="C46" s="214"/>
      <c r="D46" s="209" t="str">
        <f>IF(allSellings_table[[#This Row],[Date]]="","",TEXT(allSellings_table[[#This Row],[Date]],"mmmm"))</f>
        <v/>
      </c>
      <c r="E46" s="209"/>
      <c r="F46" s="210"/>
      <c r="H46" s="69"/>
      <c r="I46" s="228"/>
      <c r="J46" s="188"/>
      <c r="K46" s="54"/>
      <c r="L46" s="54"/>
      <c r="M46" s="54"/>
    </row>
    <row r="47" spans="1:13" x14ac:dyDescent="0.3">
      <c r="A47" s="205"/>
      <c r="B47" s="206"/>
      <c r="C47" s="214"/>
      <c r="D47" s="209" t="str">
        <f>IF(allSellings_table[[#This Row],[Date]]="","",TEXT(allSellings_table[[#This Row],[Date]],"mmmm"))</f>
        <v/>
      </c>
      <c r="E47" s="209"/>
      <c r="F47" s="210"/>
      <c r="H47" s="62"/>
      <c r="I47" s="227"/>
      <c r="J47" s="186"/>
      <c r="K47" s="53"/>
      <c r="L47" s="53"/>
      <c r="M47" s="53"/>
    </row>
    <row r="48" spans="1:13" x14ac:dyDescent="0.3">
      <c r="A48" s="205"/>
      <c r="B48" s="206"/>
      <c r="C48" s="214"/>
      <c r="D48" s="209" t="str">
        <f>IF(allSellings_table[[#This Row],[Date]]="","",TEXT(allSellings_table[[#This Row],[Date]],"mmmm"))</f>
        <v/>
      </c>
      <c r="E48" s="209"/>
      <c r="F48" s="210"/>
      <c r="H48" s="69"/>
      <c r="I48" s="228"/>
      <c r="J48" s="188"/>
      <c r="K48" s="54"/>
      <c r="L48" s="54"/>
      <c r="M48" s="54"/>
    </row>
    <row r="49" spans="1:13" x14ac:dyDescent="0.3">
      <c r="A49" s="205"/>
      <c r="B49" s="206"/>
      <c r="C49" s="214"/>
      <c r="D49" s="209" t="str">
        <f>IF(allSellings_table[[#This Row],[Date]]="","",TEXT(allSellings_table[[#This Row],[Date]],"mmmm"))</f>
        <v/>
      </c>
      <c r="E49" s="209"/>
      <c r="F49" s="210"/>
      <c r="H49" s="62"/>
      <c r="I49" s="227"/>
      <c r="J49" s="186"/>
      <c r="K49" s="53"/>
      <c r="L49" s="53"/>
      <c r="M49" s="53"/>
    </row>
    <row r="50" spans="1:13" x14ac:dyDescent="0.3">
      <c r="A50" s="205"/>
      <c r="B50" s="206"/>
      <c r="C50" s="214"/>
      <c r="D50" s="209" t="str">
        <f>IF(allSellings_table[[#This Row],[Date]]="","",TEXT(allSellings_table[[#This Row],[Date]],"mmmm"))</f>
        <v/>
      </c>
      <c r="E50" s="209"/>
      <c r="F50" s="210"/>
      <c r="H50" s="69"/>
      <c r="I50" s="228"/>
      <c r="J50" s="188"/>
      <c r="K50" s="54"/>
      <c r="L50" s="54"/>
      <c r="M50" s="54"/>
    </row>
    <row r="51" spans="1:13" x14ac:dyDescent="0.3">
      <c r="A51" s="205"/>
      <c r="B51" s="206"/>
      <c r="C51" s="214"/>
      <c r="D51" s="209" t="str">
        <f>IF(allSellings_table[[#This Row],[Date]]="","",TEXT(allSellings_table[[#This Row],[Date]],"mmmm"))</f>
        <v/>
      </c>
      <c r="E51" s="209"/>
      <c r="F51" s="210"/>
      <c r="H51" s="62"/>
      <c r="I51" s="227"/>
      <c r="J51" s="186"/>
      <c r="K51" s="53"/>
      <c r="L51" s="53"/>
      <c r="M51" s="53"/>
    </row>
    <row r="52" spans="1:13" x14ac:dyDescent="0.3">
      <c r="A52" s="205"/>
      <c r="B52" s="206"/>
      <c r="C52" s="214"/>
      <c r="D52" s="209" t="str">
        <f>IF(allSellings_table[[#This Row],[Date]]="","",TEXT(allSellings_table[[#This Row],[Date]],"mmmm"))</f>
        <v/>
      </c>
      <c r="E52" s="209"/>
      <c r="F52" s="210"/>
      <c r="H52" s="69"/>
      <c r="I52" s="228"/>
      <c r="J52" s="188"/>
      <c r="K52" s="54"/>
      <c r="L52" s="54"/>
      <c r="M52" s="54"/>
    </row>
    <row r="53" spans="1:13" x14ac:dyDescent="0.3">
      <c r="A53" s="205"/>
      <c r="B53" s="206"/>
      <c r="C53" s="214"/>
      <c r="D53" s="209" t="str">
        <f>IF(allSellings_table[[#This Row],[Date]]="","",TEXT(allSellings_table[[#This Row],[Date]],"mmmm"))</f>
        <v/>
      </c>
      <c r="E53" s="209"/>
      <c r="F53" s="210"/>
      <c r="H53" s="62"/>
      <c r="I53" s="227"/>
      <c r="J53" s="186"/>
      <c r="K53" s="53"/>
      <c r="L53" s="53"/>
      <c r="M53" s="53"/>
    </row>
    <row r="54" spans="1:13" x14ac:dyDescent="0.3">
      <c r="A54" s="205"/>
      <c r="B54" s="206"/>
      <c r="C54" s="214"/>
      <c r="D54" s="209" t="str">
        <f>IF(allSellings_table[[#This Row],[Date]]="","",TEXT(allSellings_table[[#This Row],[Date]],"mmmm"))</f>
        <v/>
      </c>
      <c r="E54" s="209"/>
      <c r="F54" s="210"/>
      <c r="H54" s="69"/>
      <c r="I54" s="228"/>
      <c r="J54" s="188"/>
      <c r="K54" s="54"/>
      <c r="L54" s="54"/>
      <c r="M54" s="54"/>
    </row>
    <row r="55" spans="1:13" x14ac:dyDescent="0.3">
      <c r="A55" s="205"/>
      <c r="B55" s="206"/>
      <c r="C55" s="214"/>
      <c r="D55" s="209" t="str">
        <f>IF(allSellings_table[[#This Row],[Date]]="","",TEXT(allSellings_table[[#This Row],[Date]],"mmmm"))</f>
        <v/>
      </c>
      <c r="E55" s="209"/>
      <c r="F55" s="210"/>
      <c r="H55" s="62"/>
      <c r="I55" s="227"/>
      <c r="J55" s="186"/>
      <c r="K55" s="53"/>
      <c r="L55" s="53"/>
      <c r="M55" s="53"/>
    </row>
    <row r="56" spans="1:13" x14ac:dyDescent="0.3">
      <c r="A56" s="205"/>
      <c r="B56" s="206"/>
      <c r="C56" s="214"/>
      <c r="D56" s="209" t="str">
        <f>IF(allSellings_table[[#This Row],[Date]]="","",TEXT(allSellings_table[[#This Row],[Date]],"mmmm"))</f>
        <v/>
      </c>
      <c r="E56" s="209"/>
      <c r="F56" s="210"/>
      <c r="H56" s="69"/>
      <c r="I56" s="228"/>
      <c r="J56" s="188"/>
      <c r="K56" s="54"/>
      <c r="L56" s="54"/>
      <c r="M56" s="54"/>
    </row>
    <row r="57" spans="1:13" x14ac:dyDescent="0.3">
      <c r="A57" s="205"/>
      <c r="B57" s="206"/>
      <c r="C57" s="214"/>
      <c r="D57" s="209" t="str">
        <f>IF(allSellings_table[[#This Row],[Date]]="","",TEXT(allSellings_table[[#This Row],[Date]],"mmmm"))</f>
        <v/>
      </c>
      <c r="E57" s="209"/>
      <c r="F57" s="210"/>
      <c r="H57" s="62"/>
      <c r="I57" s="227"/>
      <c r="J57" s="186"/>
      <c r="K57" s="53"/>
      <c r="L57" s="53"/>
      <c r="M57" s="53"/>
    </row>
    <row r="58" spans="1:13" x14ac:dyDescent="0.3">
      <c r="A58" s="205"/>
      <c r="B58" s="206"/>
      <c r="C58" s="214"/>
      <c r="D58" s="209" t="str">
        <f>IF(allSellings_table[[#This Row],[Date]]="","",TEXT(allSellings_table[[#This Row],[Date]],"mmmm"))</f>
        <v/>
      </c>
      <c r="E58" s="209"/>
      <c r="F58" s="210"/>
      <c r="H58" s="69"/>
      <c r="I58" s="228"/>
      <c r="J58" s="188"/>
      <c r="K58" s="54"/>
      <c r="L58" s="54"/>
      <c r="M58" s="54"/>
    </row>
    <row r="59" spans="1:13" x14ac:dyDescent="0.3">
      <c r="A59" s="205"/>
      <c r="B59" s="206"/>
      <c r="C59" s="214"/>
      <c r="D59" s="209" t="str">
        <f>IF(allSellings_table[[#This Row],[Date]]="","",TEXT(allSellings_table[[#This Row],[Date]],"mmmm"))</f>
        <v/>
      </c>
      <c r="E59" s="209"/>
      <c r="F59" s="210"/>
      <c r="H59" s="62"/>
      <c r="I59" s="227"/>
      <c r="J59" s="186"/>
      <c r="K59" s="53"/>
      <c r="L59" s="53"/>
      <c r="M59" s="53"/>
    </row>
    <row r="60" spans="1:13" x14ac:dyDescent="0.3">
      <c r="A60" s="205"/>
      <c r="B60" s="206"/>
      <c r="C60" s="214"/>
      <c r="D60" s="209" t="str">
        <f>IF(allSellings_table[[#This Row],[Date]]="","",TEXT(allSellings_table[[#This Row],[Date]],"mmmm"))</f>
        <v/>
      </c>
      <c r="E60" s="209"/>
      <c r="F60" s="210"/>
      <c r="H60" s="69"/>
      <c r="I60" s="228"/>
      <c r="J60" s="188"/>
      <c r="K60" s="54"/>
      <c r="L60" s="54"/>
      <c r="M60" s="54"/>
    </row>
    <row r="61" spans="1:13" x14ac:dyDescent="0.3">
      <c r="A61" s="205"/>
      <c r="B61" s="206"/>
      <c r="C61" s="214"/>
      <c r="D61" s="209" t="str">
        <f>IF(allSellings_table[[#This Row],[Date]]="","",TEXT(allSellings_table[[#This Row],[Date]],"mmmm"))</f>
        <v/>
      </c>
      <c r="E61" s="209"/>
      <c r="F61" s="210"/>
      <c r="H61" s="62"/>
      <c r="I61" s="227"/>
      <c r="J61" s="186"/>
      <c r="K61" s="53"/>
      <c r="L61" s="53"/>
      <c r="M61" s="53"/>
    </row>
    <row r="62" spans="1:13" x14ac:dyDescent="0.3">
      <c r="A62" s="205"/>
      <c r="B62" s="206"/>
      <c r="C62" s="214"/>
      <c r="D62" s="209" t="str">
        <f>IF(allSellings_table[[#This Row],[Date]]="","",TEXT(allSellings_table[[#This Row],[Date]],"mmmm"))</f>
        <v/>
      </c>
      <c r="E62" s="209"/>
      <c r="F62" s="210"/>
      <c r="H62" s="69"/>
      <c r="I62" s="228"/>
      <c r="J62" s="188"/>
      <c r="K62" s="54"/>
      <c r="L62" s="54"/>
      <c r="M62" s="54"/>
    </row>
    <row r="63" spans="1:13" x14ac:dyDescent="0.3">
      <c r="A63" s="205"/>
      <c r="B63" s="206"/>
      <c r="C63" s="214"/>
      <c r="D63" s="209" t="str">
        <f>IF(allSellings_table[[#This Row],[Date]]="","",TEXT(allSellings_table[[#This Row],[Date]],"mmmm"))</f>
        <v/>
      </c>
      <c r="E63" s="209"/>
      <c r="F63" s="210"/>
      <c r="H63" s="62"/>
      <c r="I63" s="227"/>
      <c r="J63" s="186"/>
      <c r="K63" s="53"/>
      <c r="L63" s="53"/>
      <c r="M63" s="53"/>
    </row>
    <row r="64" spans="1:13" x14ac:dyDescent="0.3">
      <c r="A64" s="205"/>
      <c r="B64" s="206"/>
      <c r="C64" s="214"/>
      <c r="D64" s="209" t="str">
        <f>IF(allSellings_table[[#This Row],[Date]]="","",TEXT(allSellings_table[[#This Row],[Date]],"mmmm"))</f>
        <v/>
      </c>
      <c r="E64" s="209"/>
      <c r="F64" s="210"/>
      <c r="H64" s="69"/>
      <c r="I64" s="228"/>
      <c r="J64" s="188"/>
      <c r="K64" s="54"/>
      <c r="L64" s="54"/>
      <c r="M64" s="54"/>
    </row>
    <row r="65" spans="1:13" x14ac:dyDescent="0.3">
      <c r="A65" s="205"/>
      <c r="B65" s="206"/>
      <c r="C65" s="214"/>
      <c r="D65" s="209" t="str">
        <f>IF(allSellings_table[[#This Row],[Date]]="","",TEXT(allSellings_table[[#This Row],[Date]],"mmmm"))</f>
        <v/>
      </c>
      <c r="E65" s="209"/>
      <c r="F65" s="210"/>
      <c r="H65" s="62"/>
      <c r="I65" s="227"/>
      <c r="J65" s="186"/>
      <c r="K65" s="53"/>
      <c r="L65" s="53"/>
      <c r="M65" s="53"/>
    </row>
    <row r="66" spans="1:13" x14ac:dyDescent="0.3">
      <c r="A66" s="205"/>
      <c r="B66" s="206"/>
      <c r="C66" s="214"/>
      <c r="D66" s="209" t="str">
        <f>IF(allSellings_table[[#This Row],[Date]]="","",TEXT(allSellings_table[[#This Row],[Date]],"mmmm"))</f>
        <v/>
      </c>
      <c r="E66" s="209"/>
      <c r="F66" s="210"/>
      <c r="H66" s="69"/>
      <c r="I66" s="228"/>
      <c r="J66" s="188"/>
      <c r="K66" s="54"/>
      <c r="L66" s="54"/>
      <c r="M66" s="54"/>
    </row>
    <row r="67" spans="1:13" x14ac:dyDescent="0.3">
      <c r="A67" s="205"/>
      <c r="B67" s="206"/>
      <c r="C67" s="214"/>
      <c r="D67" s="209" t="str">
        <f>IF(allSellings_table[[#This Row],[Date]]="","",TEXT(allSellings_table[[#This Row],[Date]],"mmmm"))</f>
        <v/>
      </c>
      <c r="E67" s="209"/>
      <c r="F67" s="210"/>
      <c r="H67" s="62"/>
      <c r="I67" s="227"/>
      <c r="J67" s="186"/>
      <c r="K67" s="53"/>
      <c r="L67" s="53"/>
      <c r="M67" s="53"/>
    </row>
    <row r="68" spans="1:13" x14ac:dyDescent="0.3">
      <c r="A68" s="205"/>
      <c r="B68" s="206"/>
      <c r="C68" s="214"/>
      <c r="D68" s="209" t="str">
        <f>IF(allSellings_table[[#This Row],[Date]]="","",TEXT(allSellings_table[[#This Row],[Date]],"mmmm"))</f>
        <v/>
      </c>
      <c r="E68" s="209"/>
      <c r="F68" s="210"/>
      <c r="H68" s="69"/>
      <c r="I68" s="228"/>
      <c r="J68" s="188"/>
      <c r="K68" s="54"/>
      <c r="L68" s="54"/>
      <c r="M68" s="54"/>
    </row>
    <row r="69" spans="1:13" x14ac:dyDescent="0.3">
      <c r="A69" s="205"/>
      <c r="B69" s="206"/>
      <c r="C69" s="214"/>
      <c r="D69" s="209" t="str">
        <f>IF(allSellings_table[[#This Row],[Date]]="","",TEXT(allSellings_table[[#This Row],[Date]],"mmmm"))</f>
        <v/>
      </c>
      <c r="E69" s="209"/>
      <c r="F69" s="210"/>
      <c r="H69" s="62"/>
      <c r="I69" s="227"/>
      <c r="J69" s="186"/>
      <c r="K69" s="53"/>
      <c r="L69" s="53"/>
      <c r="M69" s="53"/>
    </row>
    <row r="70" spans="1:13" x14ac:dyDescent="0.3">
      <c r="A70" s="205"/>
      <c r="B70" s="206"/>
      <c r="C70" s="214"/>
      <c r="D70" s="209" t="str">
        <f>IF(allSellings_table[[#This Row],[Date]]="","",TEXT(allSellings_table[[#This Row],[Date]],"mmmm"))</f>
        <v/>
      </c>
      <c r="E70" s="209"/>
      <c r="F70" s="210"/>
      <c r="H70" s="69"/>
      <c r="I70" s="228"/>
      <c r="J70" s="188"/>
      <c r="K70" s="54"/>
      <c r="L70" s="54"/>
      <c r="M70" s="54"/>
    </row>
    <row r="71" spans="1:13" x14ac:dyDescent="0.3">
      <c r="A71" s="205"/>
      <c r="B71" s="206"/>
      <c r="C71" s="214"/>
      <c r="D71" s="209" t="str">
        <f>IF(allSellings_table[[#This Row],[Date]]="","",TEXT(allSellings_table[[#This Row],[Date]],"mmmm"))</f>
        <v/>
      </c>
      <c r="E71" s="209"/>
      <c r="F71" s="210"/>
      <c r="H71" s="62"/>
      <c r="I71" s="227"/>
      <c r="J71" s="186"/>
      <c r="K71" s="53"/>
      <c r="L71" s="53"/>
      <c r="M71" s="53"/>
    </row>
    <row r="72" spans="1:13" x14ac:dyDescent="0.3">
      <c r="A72" s="205"/>
      <c r="B72" s="206"/>
      <c r="C72" s="214"/>
      <c r="D72" s="209" t="str">
        <f>IF(allSellings_table[[#This Row],[Date]]="","",TEXT(allSellings_table[[#This Row],[Date]],"mmmm"))</f>
        <v/>
      </c>
      <c r="E72" s="209"/>
      <c r="F72" s="210"/>
      <c r="H72" s="69"/>
      <c r="I72" s="228"/>
      <c r="J72" s="188"/>
      <c r="K72" s="54"/>
      <c r="L72" s="54"/>
      <c r="M72" s="54"/>
    </row>
    <row r="73" spans="1:13" x14ac:dyDescent="0.3">
      <c r="A73" s="205"/>
      <c r="B73" s="206"/>
      <c r="C73" s="214"/>
      <c r="D73" s="209" t="str">
        <f>IF(allSellings_table[[#This Row],[Date]]="","",TEXT(allSellings_table[[#This Row],[Date]],"mmmm"))</f>
        <v/>
      </c>
      <c r="E73" s="209"/>
      <c r="F73" s="210"/>
      <c r="H73" s="62"/>
      <c r="I73" s="227"/>
      <c r="J73" s="186"/>
      <c r="K73" s="53"/>
      <c r="L73" s="53"/>
      <c r="M73" s="53"/>
    </row>
    <row r="74" spans="1:13" x14ac:dyDescent="0.3">
      <c r="A74" s="205"/>
      <c r="B74" s="206"/>
      <c r="C74" s="214"/>
      <c r="D74" s="209" t="str">
        <f>IF(allSellings_table[[#This Row],[Date]]="","",TEXT(allSellings_table[[#This Row],[Date]],"mmmm"))</f>
        <v/>
      </c>
      <c r="E74" s="209"/>
      <c r="F74" s="210"/>
      <c r="H74" s="69"/>
      <c r="I74" s="228"/>
      <c r="J74" s="188"/>
      <c r="K74" s="54"/>
      <c r="L74" s="54"/>
      <c r="M74" s="54"/>
    </row>
    <row r="75" spans="1:13" x14ac:dyDescent="0.3">
      <c r="A75" s="205"/>
      <c r="B75" s="206"/>
      <c r="C75" s="214"/>
      <c r="D75" s="209" t="str">
        <f>IF(allSellings_table[[#This Row],[Date]]="","",TEXT(allSellings_table[[#This Row],[Date]],"mmmm"))</f>
        <v/>
      </c>
      <c r="E75" s="209"/>
      <c r="F75" s="210"/>
      <c r="H75" s="62"/>
      <c r="I75" s="227"/>
      <c r="J75" s="186"/>
      <c r="K75" s="53"/>
      <c r="L75" s="53"/>
      <c r="M75" s="53"/>
    </row>
    <row r="76" spans="1:13" x14ac:dyDescent="0.3">
      <c r="A76" s="205"/>
      <c r="B76" s="206"/>
      <c r="C76" s="214"/>
      <c r="D76" s="209" t="str">
        <f>IF(allSellings_table[[#This Row],[Date]]="","",TEXT(allSellings_table[[#This Row],[Date]],"mmmm"))</f>
        <v/>
      </c>
      <c r="E76" s="209"/>
      <c r="F76" s="210"/>
      <c r="H76" s="69"/>
      <c r="I76" s="228"/>
      <c r="J76" s="188"/>
      <c r="K76" s="54"/>
      <c r="L76" s="54"/>
      <c r="M76" s="54"/>
    </row>
    <row r="77" spans="1:13" x14ac:dyDescent="0.3">
      <c r="A77" s="205"/>
      <c r="B77" s="206"/>
      <c r="C77" s="214"/>
      <c r="D77" s="209" t="str">
        <f>IF(allSellings_table[[#This Row],[Date]]="","",TEXT(allSellings_table[[#This Row],[Date]],"mmmm"))</f>
        <v/>
      </c>
      <c r="E77" s="209"/>
      <c r="F77" s="210"/>
      <c r="H77" s="62"/>
      <c r="I77" s="227"/>
      <c r="J77" s="186"/>
      <c r="K77" s="53"/>
      <c r="L77" s="53"/>
      <c r="M77" s="53"/>
    </row>
    <row r="78" spans="1:13" x14ac:dyDescent="0.3">
      <c r="A78" s="205"/>
      <c r="B78" s="206"/>
      <c r="C78" s="214"/>
      <c r="D78" s="209" t="str">
        <f>IF(allSellings_table[[#This Row],[Date]]="","",TEXT(allSellings_table[[#This Row],[Date]],"mmmm"))</f>
        <v/>
      </c>
      <c r="E78" s="209"/>
      <c r="F78" s="210"/>
      <c r="H78" s="69"/>
      <c r="I78" s="228"/>
      <c r="J78" s="188"/>
      <c r="K78" s="54"/>
      <c r="L78" s="54"/>
      <c r="M78" s="54"/>
    </row>
    <row r="79" spans="1:13" x14ac:dyDescent="0.3">
      <c r="A79" s="205"/>
      <c r="B79" s="206"/>
      <c r="C79" s="214"/>
      <c r="D79" s="209" t="str">
        <f>IF(allSellings_table[[#This Row],[Date]]="","",TEXT(allSellings_table[[#This Row],[Date]],"mmmm"))</f>
        <v/>
      </c>
      <c r="E79" s="209"/>
      <c r="F79" s="210"/>
      <c r="H79" s="62"/>
      <c r="I79" s="227"/>
      <c r="J79" s="186"/>
      <c r="K79" s="53"/>
      <c r="L79" s="53"/>
      <c r="M79" s="53"/>
    </row>
    <row r="80" spans="1:13" x14ac:dyDescent="0.3">
      <c r="A80" s="205"/>
      <c r="B80" s="206"/>
      <c r="C80" s="214"/>
      <c r="D80" s="209" t="str">
        <f>IF(allSellings_table[[#This Row],[Date]]="","",TEXT(allSellings_table[[#This Row],[Date]],"mmmm"))</f>
        <v/>
      </c>
      <c r="E80" s="209"/>
      <c r="F80" s="210"/>
      <c r="H80" s="69"/>
      <c r="I80" s="228"/>
      <c r="J80" s="188"/>
      <c r="K80" s="54"/>
      <c r="L80" s="54"/>
      <c r="M80" s="54"/>
    </row>
    <row r="81" spans="1:13" x14ac:dyDescent="0.3">
      <c r="A81" s="205"/>
      <c r="B81" s="206"/>
      <c r="C81" s="214"/>
      <c r="D81" s="209" t="str">
        <f>IF(allSellings_table[[#This Row],[Date]]="","",TEXT(allSellings_table[[#This Row],[Date]],"mmmm"))</f>
        <v/>
      </c>
      <c r="E81" s="209"/>
      <c r="F81" s="210"/>
      <c r="H81" s="62"/>
      <c r="I81" s="227"/>
      <c r="J81" s="186"/>
      <c r="K81" s="53"/>
      <c r="L81" s="53"/>
      <c r="M81" s="53"/>
    </row>
    <row r="82" spans="1:13" x14ac:dyDescent="0.3">
      <c r="A82" s="205"/>
      <c r="B82" s="206"/>
      <c r="C82" s="214"/>
      <c r="D82" s="209" t="str">
        <f>IF(allSellings_table[[#This Row],[Date]]="","",TEXT(allSellings_table[[#This Row],[Date]],"mmmm"))</f>
        <v/>
      </c>
      <c r="E82" s="209"/>
      <c r="F82" s="210"/>
      <c r="H82" s="69"/>
      <c r="I82" s="228"/>
      <c r="J82" s="188"/>
      <c r="K82" s="54"/>
      <c r="L82" s="54"/>
      <c r="M82" s="54"/>
    </row>
    <row r="83" spans="1:13" x14ac:dyDescent="0.3">
      <c r="A83" s="205"/>
      <c r="B83" s="206"/>
      <c r="C83" s="214"/>
      <c r="D83" s="209" t="str">
        <f>IF(allSellings_table[[#This Row],[Date]]="","",TEXT(allSellings_table[[#This Row],[Date]],"mmmm"))</f>
        <v/>
      </c>
      <c r="E83" s="209"/>
      <c r="F83" s="210"/>
      <c r="H83" s="62"/>
      <c r="I83" s="227"/>
      <c r="J83" s="186"/>
      <c r="K83" s="53"/>
      <c r="L83" s="53"/>
      <c r="M83" s="53"/>
    </row>
    <row r="84" spans="1:13" x14ac:dyDescent="0.3">
      <c r="A84" s="205"/>
      <c r="B84" s="206"/>
      <c r="C84" s="214"/>
      <c r="D84" s="209" t="str">
        <f>IF(allSellings_table[[#This Row],[Date]]="","",TEXT(allSellings_table[[#This Row],[Date]],"mmmm"))</f>
        <v/>
      </c>
      <c r="E84" s="209"/>
      <c r="F84" s="210"/>
      <c r="H84" s="69"/>
      <c r="I84" s="228"/>
      <c r="J84" s="188"/>
      <c r="K84" s="54"/>
      <c r="L84" s="54"/>
      <c r="M84" s="54"/>
    </row>
    <row r="85" spans="1:13" x14ac:dyDescent="0.3">
      <c r="A85" s="205"/>
      <c r="B85" s="206"/>
      <c r="C85" s="214"/>
      <c r="D85" s="209" t="str">
        <f>IF(allSellings_table[[#This Row],[Date]]="","",TEXT(allSellings_table[[#This Row],[Date]],"mmmm"))</f>
        <v/>
      </c>
      <c r="E85" s="209"/>
      <c r="F85" s="210"/>
      <c r="H85" s="62"/>
      <c r="I85" s="227"/>
      <c r="J85" s="186"/>
      <c r="K85" s="53"/>
      <c r="L85" s="53"/>
      <c r="M85" s="53"/>
    </row>
    <row r="86" spans="1:13" x14ac:dyDescent="0.3">
      <c r="A86" s="205"/>
      <c r="B86" s="206"/>
      <c r="C86" s="214"/>
      <c r="D86" s="209" t="str">
        <f>IF(allSellings_table[[#This Row],[Date]]="","",TEXT(allSellings_table[[#This Row],[Date]],"mmmm"))</f>
        <v/>
      </c>
      <c r="E86" s="209"/>
      <c r="F86" s="210"/>
      <c r="H86" s="69"/>
      <c r="I86" s="228"/>
      <c r="J86" s="188"/>
      <c r="K86" s="54"/>
      <c r="L86" s="54"/>
      <c r="M86" s="54"/>
    </row>
    <row r="87" spans="1:13" x14ac:dyDescent="0.3">
      <c r="A87" s="205"/>
      <c r="B87" s="206"/>
      <c r="C87" s="214"/>
      <c r="D87" s="209" t="str">
        <f>IF(allSellings_table[[#This Row],[Date]]="","",TEXT(allSellings_table[[#This Row],[Date]],"mmmm"))</f>
        <v/>
      </c>
      <c r="E87" s="209"/>
      <c r="F87" s="210"/>
      <c r="H87" s="62"/>
      <c r="I87" s="227"/>
      <c r="J87" s="186"/>
      <c r="K87" s="53"/>
      <c r="L87" s="53"/>
      <c r="M87" s="53"/>
    </row>
    <row r="88" spans="1:13" x14ac:dyDescent="0.3">
      <c r="A88" s="205"/>
      <c r="B88" s="206"/>
      <c r="C88" s="214"/>
      <c r="D88" s="209" t="str">
        <f>IF(allSellings_table[[#This Row],[Date]]="","",TEXT(allSellings_table[[#This Row],[Date]],"mmmm"))</f>
        <v/>
      </c>
      <c r="E88" s="209"/>
      <c r="F88" s="210"/>
      <c r="H88" s="69"/>
      <c r="I88" s="228"/>
      <c r="J88" s="188"/>
      <c r="K88" s="54"/>
      <c r="L88" s="54"/>
      <c r="M88" s="54"/>
    </row>
    <row r="89" spans="1:13" x14ac:dyDescent="0.3">
      <c r="A89" s="205"/>
      <c r="B89" s="206"/>
      <c r="C89" s="214"/>
      <c r="D89" s="209" t="str">
        <f>IF(allSellings_table[[#This Row],[Date]]="","",TEXT(allSellings_table[[#This Row],[Date]],"mmmm"))</f>
        <v/>
      </c>
      <c r="E89" s="209"/>
      <c r="F89" s="210"/>
      <c r="H89" s="62"/>
      <c r="I89" s="227"/>
      <c r="J89" s="186"/>
      <c r="K89" s="53"/>
      <c r="L89" s="53"/>
      <c r="M89" s="53"/>
    </row>
    <row r="90" spans="1:13" x14ac:dyDescent="0.3">
      <c r="A90" s="205"/>
      <c r="B90" s="206"/>
      <c r="C90" s="214"/>
      <c r="D90" s="209" t="str">
        <f>IF(allSellings_table[[#This Row],[Date]]="","",TEXT(allSellings_table[[#This Row],[Date]],"mmmm"))</f>
        <v/>
      </c>
      <c r="E90" s="209"/>
      <c r="F90" s="210"/>
      <c r="H90" s="69"/>
      <c r="I90" s="228"/>
      <c r="J90" s="188"/>
      <c r="K90" s="54"/>
      <c r="L90" s="54"/>
      <c r="M90" s="54"/>
    </row>
    <row r="91" spans="1:13" x14ac:dyDescent="0.3">
      <c r="A91" s="205"/>
      <c r="B91" s="206"/>
      <c r="C91" s="214"/>
      <c r="D91" s="209" t="str">
        <f>IF(allSellings_table[[#This Row],[Date]]="","",TEXT(allSellings_table[[#This Row],[Date]],"mmmm"))</f>
        <v/>
      </c>
      <c r="E91" s="209"/>
      <c r="F91" s="210"/>
      <c r="H91" s="62"/>
      <c r="I91" s="227"/>
      <c r="J91" s="186"/>
      <c r="K91" s="53"/>
      <c r="L91" s="53"/>
      <c r="M91" s="53"/>
    </row>
    <row r="92" spans="1:13" x14ac:dyDescent="0.3">
      <c r="A92" s="205"/>
      <c r="B92" s="206"/>
      <c r="C92" s="214"/>
      <c r="D92" s="209" t="str">
        <f>IF(allSellings_table[[#This Row],[Date]]="","",TEXT(allSellings_table[[#This Row],[Date]],"mmmm"))</f>
        <v/>
      </c>
      <c r="E92" s="209"/>
      <c r="F92" s="210"/>
      <c r="H92" s="69"/>
      <c r="I92" s="228"/>
      <c r="J92" s="188"/>
      <c r="K92" s="54"/>
      <c r="L92" s="54"/>
      <c r="M92" s="54"/>
    </row>
    <row r="93" spans="1:13" x14ac:dyDescent="0.3">
      <c r="A93" s="205"/>
      <c r="B93" s="206"/>
      <c r="C93" s="214"/>
      <c r="D93" s="209" t="str">
        <f>IF(allSellings_table[[#This Row],[Date]]="","",TEXT(allSellings_table[[#This Row],[Date]],"mmmm"))</f>
        <v/>
      </c>
      <c r="E93" s="209"/>
      <c r="F93" s="210"/>
      <c r="H93" s="62"/>
      <c r="I93" s="227"/>
      <c r="J93" s="186"/>
      <c r="K93" s="53"/>
      <c r="L93" s="53"/>
      <c r="M93" s="53"/>
    </row>
    <row r="94" spans="1:13" x14ac:dyDescent="0.3">
      <c r="A94" s="205"/>
      <c r="B94" s="206"/>
      <c r="C94" s="214"/>
      <c r="D94" s="209" t="str">
        <f>IF(allSellings_table[[#This Row],[Date]]="","",TEXT(allSellings_table[[#This Row],[Date]],"mmmm"))</f>
        <v/>
      </c>
      <c r="E94" s="209"/>
      <c r="F94" s="210"/>
      <c r="H94" s="69"/>
      <c r="I94" s="228"/>
      <c r="J94" s="188"/>
      <c r="K94" s="54"/>
      <c r="L94" s="54"/>
      <c r="M94" s="54"/>
    </row>
    <row r="95" spans="1:13" x14ac:dyDescent="0.3">
      <c r="A95" s="205"/>
      <c r="B95" s="206"/>
      <c r="C95" s="214"/>
      <c r="D95" s="209" t="str">
        <f>IF(allSellings_table[[#This Row],[Date]]="","",TEXT(allSellings_table[[#This Row],[Date]],"mmmm"))</f>
        <v/>
      </c>
      <c r="E95" s="209"/>
      <c r="F95" s="210"/>
      <c r="H95" s="62"/>
      <c r="I95" s="227"/>
      <c r="J95" s="186"/>
      <c r="K95" s="53"/>
      <c r="L95" s="53"/>
      <c r="M95" s="53"/>
    </row>
    <row r="96" spans="1:13" x14ac:dyDescent="0.3">
      <c r="A96" s="205"/>
      <c r="B96" s="206"/>
      <c r="C96" s="214"/>
      <c r="D96" s="209" t="str">
        <f>IF(allSellings_table[[#This Row],[Date]]="","",TEXT(allSellings_table[[#This Row],[Date]],"mmmm"))</f>
        <v/>
      </c>
      <c r="E96" s="209"/>
      <c r="F96" s="210"/>
      <c r="H96" s="69"/>
      <c r="I96" s="228"/>
      <c r="J96" s="188"/>
      <c r="K96" s="54"/>
      <c r="L96" s="54"/>
      <c r="M96" s="54"/>
    </row>
    <row r="97" spans="1:13" x14ac:dyDescent="0.3">
      <c r="A97" s="205"/>
      <c r="B97" s="206"/>
      <c r="C97" s="214"/>
      <c r="D97" s="209" t="str">
        <f>IF(allSellings_table[[#This Row],[Date]]="","",TEXT(allSellings_table[[#This Row],[Date]],"mmmm"))</f>
        <v/>
      </c>
      <c r="E97" s="209"/>
      <c r="F97" s="210"/>
      <c r="H97" s="62"/>
      <c r="I97" s="227"/>
      <c r="J97" s="186"/>
      <c r="K97" s="53"/>
      <c r="L97" s="53"/>
      <c r="M97" s="53"/>
    </row>
    <row r="98" spans="1:13" x14ac:dyDescent="0.3">
      <c r="A98" s="205"/>
      <c r="B98" s="206"/>
      <c r="C98" s="214"/>
      <c r="D98" s="209" t="str">
        <f>IF(allSellings_table[[#This Row],[Date]]="","",TEXT(allSellings_table[[#This Row],[Date]],"mmmm"))</f>
        <v/>
      </c>
      <c r="E98" s="209"/>
      <c r="F98" s="210"/>
      <c r="H98" s="69"/>
      <c r="I98" s="228"/>
      <c r="J98" s="188"/>
      <c r="K98" s="54"/>
      <c r="L98" s="54"/>
      <c r="M98" s="54"/>
    </row>
    <row r="99" spans="1:13" x14ac:dyDescent="0.3">
      <c r="A99" s="205"/>
      <c r="B99" s="206"/>
      <c r="C99" s="214"/>
      <c r="D99" s="209" t="str">
        <f>IF(allSellings_table[[#This Row],[Date]]="","",TEXT(allSellings_table[[#This Row],[Date]],"mmmm"))</f>
        <v/>
      </c>
      <c r="E99" s="209"/>
      <c r="F99" s="210"/>
      <c r="H99" s="62"/>
      <c r="I99" s="227"/>
      <c r="J99" s="186"/>
      <c r="K99" s="53"/>
      <c r="L99" s="53"/>
      <c r="M99" s="53"/>
    </row>
    <row r="100" spans="1:13" x14ac:dyDescent="0.3">
      <c r="A100" s="205"/>
      <c r="B100" s="206"/>
      <c r="C100" s="214"/>
      <c r="D100" s="209" t="str">
        <f>IF(allSellings_table[[#This Row],[Date]]="","",TEXT(allSellings_table[[#This Row],[Date]],"mmmm"))</f>
        <v/>
      </c>
      <c r="E100" s="209"/>
      <c r="F100" s="210"/>
      <c r="H100" s="69"/>
      <c r="I100" s="228"/>
      <c r="J100" s="188"/>
      <c r="K100" s="54"/>
      <c r="L100" s="54"/>
      <c r="M100" s="54"/>
    </row>
    <row r="101" spans="1:13" x14ac:dyDescent="0.3">
      <c r="A101" s="205"/>
      <c r="B101" s="206"/>
      <c r="C101" s="214"/>
      <c r="D101" s="209" t="str">
        <f>IF(allSellings_table[[#This Row],[Date]]="","",TEXT(allSellings_table[[#This Row],[Date]],"mmmm"))</f>
        <v/>
      </c>
      <c r="E101" s="209"/>
      <c r="F101" s="210"/>
      <c r="H101" s="62"/>
      <c r="I101" s="227"/>
      <c r="J101" s="186"/>
      <c r="K101" s="53"/>
      <c r="L101" s="53"/>
      <c r="M101" s="53"/>
    </row>
    <row r="102" spans="1:13" x14ac:dyDescent="0.3">
      <c r="A102" s="205"/>
      <c r="B102" s="206"/>
      <c r="C102" s="214"/>
      <c r="D102" s="209" t="str">
        <f>IF(allSellings_table[[#This Row],[Date]]="","",TEXT(allSellings_table[[#This Row],[Date]],"mmmm"))</f>
        <v/>
      </c>
      <c r="E102" s="209"/>
      <c r="F102" s="210"/>
      <c r="H102" s="69"/>
      <c r="I102" s="228"/>
      <c r="J102" s="188"/>
      <c r="K102" s="54"/>
      <c r="L102" s="54"/>
      <c r="M102" s="54"/>
    </row>
    <row r="103" spans="1:13" x14ac:dyDescent="0.3">
      <c r="A103" s="205"/>
      <c r="B103" s="206"/>
      <c r="C103" s="214"/>
      <c r="D103" s="209" t="str">
        <f>IF(allSellings_table[[#This Row],[Date]]="","",TEXT(allSellings_table[[#This Row],[Date]],"mmmm"))</f>
        <v/>
      </c>
      <c r="E103" s="209"/>
      <c r="F103" s="210"/>
      <c r="H103" s="62"/>
      <c r="I103" s="227"/>
      <c r="J103" s="186"/>
      <c r="K103" s="53"/>
      <c r="L103" s="53"/>
      <c r="M103" s="53"/>
    </row>
    <row r="104" spans="1:13" x14ac:dyDescent="0.3">
      <c r="A104" s="205"/>
      <c r="B104" s="206"/>
      <c r="C104" s="214"/>
      <c r="D104" s="209" t="str">
        <f>IF(allSellings_table[[#This Row],[Date]]="","",TEXT(allSellings_table[[#This Row],[Date]],"mmmm"))</f>
        <v/>
      </c>
      <c r="E104" s="209"/>
      <c r="F104" s="210"/>
      <c r="H104" s="69"/>
      <c r="I104" s="228"/>
      <c r="J104" s="188"/>
      <c r="K104" s="54"/>
      <c r="L104" s="54"/>
      <c r="M104" s="54"/>
    </row>
    <row r="105" spans="1:13" x14ac:dyDescent="0.3">
      <c r="A105" s="205"/>
      <c r="B105" s="206"/>
      <c r="C105" s="214"/>
      <c r="D105" s="209" t="str">
        <f>IF(allSellings_table[[#This Row],[Date]]="","",TEXT(allSellings_table[[#This Row],[Date]],"mmmm"))</f>
        <v/>
      </c>
      <c r="E105" s="209"/>
      <c r="F105" s="210"/>
      <c r="H105" s="62"/>
      <c r="I105" s="227"/>
      <c r="J105" s="186"/>
      <c r="K105" s="53"/>
      <c r="L105" s="53"/>
      <c r="M105" s="53"/>
    </row>
    <row r="106" spans="1:13" x14ac:dyDescent="0.3">
      <c r="A106" s="205"/>
      <c r="B106" s="206"/>
      <c r="C106" s="214"/>
      <c r="D106" s="209" t="str">
        <f>IF(allSellings_table[[#This Row],[Date]]="","",TEXT(allSellings_table[[#This Row],[Date]],"mmmm"))</f>
        <v/>
      </c>
      <c r="E106" s="209"/>
      <c r="F106" s="210"/>
      <c r="H106" s="69"/>
      <c r="I106" s="228"/>
      <c r="J106" s="188"/>
      <c r="K106" s="54"/>
      <c r="L106" s="54"/>
      <c r="M106" s="54"/>
    </row>
    <row r="107" spans="1:13" x14ac:dyDescent="0.3">
      <c r="A107" s="205"/>
      <c r="B107" s="206"/>
      <c r="C107" s="214"/>
      <c r="D107" s="209" t="str">
        <f>IF(allSellings_table[[#This Row],[Date]]="","",TEXT(allSellings_table[[#This Row],[Date]],"mmmm"))</f>
        <v/>
      </c>
      <c r="E107" s="209"/>
      <c r="F107" s="210"/>
      <c r="H107" s="62"/>
      <c r="I107" s="227"/>
      <c r="J107" s="186"/>
      <c r="K107" s="53"/>
      <c r="L107" s="53"/>
      <c r="M107" s="53"/>
    </row>
    <row r="108" spans="1:13" x14ac:dyDescent="0.3">
      <c r="A108" s="205"/>
      <c r="B108" s="206"/>
      <c r="C108" s="214"/>
      <c r="D108" s="209" t="str">
        <f>IF(allSellings_table[[#This Row],[Date]]="","",TEXT(allSellings_table[[#This Row],[Date]],"mmmm"))</f>
        <v/>
      </c>
      <c r="E108" s="209"/>
      <c r="F108" s="210"/>
      <c r="H108" s="69"/>
      <c r="I108" s="228"/>
      <c r="J108" s="188"/>
      <c r="K108" s="54"/>
      <c r="L108" s="54"/>
      <c r="M108" s="54"/>
    </row>
    <row r="109" spans="1:13" x14ac:dyDescent="0.3">
      <c r="A109" s="205"/>
      <c r="B109" s="206"/>
      <c r="C109" s="214"/>
      <c r="D109" s="209" t="str">
        <f>IF(allSellings_table[[#This Row],[Date]]="","",TEXT(allSellings_table[[#This Row],[Date]],"mmmm"))</f>
        <v/>
      </c>
      <c r="E109" s="209"/>
      <c r="F109" s="210"/>
      <c r="H109" s="62"/>
      <c r="I109" s="227"/>
      <c r="J109" s="186"/>
      <c r="K109" s="53"/>
      <c r="L109" s="53"/>
      <c r="M109" s="53"/>
    </row>
    <row r="110" spans="1:13" x14ac:dyDescent="0.3">
      <c r="A110" s="205"/>
      <c r="B110" s="206"/>
      <c r="C110" s="214"/>
      <c r="D110" s="209" t="str">
        <f>IF(allSellings_table[[#This Row],[Date]]="","",TEXT(allSellings_table[[#This Row],[Date]],"mmmm"))</f>
        <v/>
      </c>
      <c r="E110" s="209"/>
      <c r="F110" s="210"/>
      <c r="H110" s="69"/>
      <c r="I110" s="228"/>
      <c r="J110" s="188"/>
      <c r="K110" s="54"/>
      <c r="L110" s="54"/>
      <c r="M110" s="54"/>
    </row>
    <row r="111" spans="1:13" x14ac:dyDescent="0.3">
      <c r="A111" s="205"/>
      <c r="B111" s="206"/>
      <c r="C111" s="214"/>
      <c r="D111" s="209" t="str">
        <f>IF(allSellings_table[[#This Row],[Date]]="","",TEXT(allSellings_table[[#This Row],[Date]],"mmmm"))</f>
        <v/>
      </c>
      <c r="E111" s="209"/>
      <c r="F111" s="210"/>
      <c r="H111" s="62"/>
      <c r="I111" s="227"/>
      <c r="J111" s="186"/>
      <c r="K111" s="53"/>
      <c r="L111" s="53"/>
      <c r="M111" s="53"/>
    </row>
    <row r="112" spans="1:13" x14ac:dyDescent="0.3">
      <c r="A112" s="205"/>
      <c r="B112" s="206"/>
      <c r="C112" s="214"/>
      <c r="D112" s="209" t="str">
        <f>IF(allSellings_table[[#This Row],[Date]]="","",TEXT(allSellings_table[[#This Row],[Date]],"mmmm"))</f>
        <v/>
      </c>
      <c r="E112" s="209"/>
      <c r="F112" s="210"/>
      <c r="H112" s="69"/>
      <c r="I112" s="228"/>
      <c r="J112" s="188"/>
      <c r="K112" s="54"/>
      <c r="L112" s="54"/>
      <c r="M112" s="54"/>
    </row>
    <row r="113" spans="1:13" x14ac:dyDescent="0.3">
      <c r="A113" s="205"/>
      <c r="B113" s="206"/>
      <c r="C113" s="214"/>
      <c r="D113" s="209" t="str">
        <f>IF(allSellings_table[[#This Row],[Date]]="","",TEXT(allSellings_table[[#This Row],[Date]],"mmmm"))</f>
        <v/>
      </c>
      <c r="E113" s="209"/>
      <c r="F113" s="210"/>
      <c r="H113" s="62"/>
      <c r="I113" s="227"/>
      <c r="J113" s="186"/>
      <c r="K113" s="53"/>
      <c r="L113" s="53"/>
      <c r="M113" s="53"/>
    </row>
    <row r="114" spans="1:13" x14ac:dyDescent="0.3">
      <c r="A114" s="205"/>
      <c r="B114" s="206"/>
      <c r="C114" s="214"/>
      <c r="D114" s="209" t="str">
        <f>IF(allSellings_table[[#This Row],[Date]]="","",TEXT(allSellings_table[[#This Row],[Date]],"mmmm"))</f>
        <v/>
      </c>
      <c r="E114" s="209"/>
      <c r="F114" s="210"/>
      <c r="H114" s="69"/>
      <c r="I114" s="228"/>
      <c r="J114" s="188"/>
      <c r="K114" s="54"/>
      <c r="L114" s="54"/>
      <c r="M114" s="54"/>
    </row>
    <row r="115" spans="1:13" x14ac:dyDescent="0.3">
      <c r="A115" s="205"/>
      <c r="B115" s="206"/>
      <c r="C115" s="214"/>
      <c r="D115" s="209" t="str">
        <f>IF(allSellings_table[[#This Row],[Date]]="","",TEXT(allSellings_table[[#This Row],[Date]],"mmmm"))</f>
        <v/>
      </c>
      <c r="E115" s="209"/>
      <c r="F115" s="210"/>
      <c r="H115" s="62"/>
      <c r="I115" s="227"/>
      <c r="J115" s="186"/>
      <c r="K115" s="53"/>
      <c r="L115" s="53"/>
      <c r="M115" s="53"/>
    </row>
    <row r="116" spans="1:13" x14ac:dyDescent="0.3">
      <c r="A116" s="205"/>
      <c r="B116" s="206"/>
      <c r="C116" s="214"/>
      <c r="D116" s="209" t="str">
        <f>IF(allSellings_table[[#This Row],[Date]]="","",TEXT(allSellings_table[[#This Row],[Date]],"mmmm"))</f>
        <v/>
      </c>
      <c r="E116" s="209"/>
      <c r="F116" s="210"/>
      <c r="H116" s="69"/>
      <c r="I116" s="228"/>
      <c r="J116" s="188"/>
      <c r="K116" s="54"/>
      <c r="L116" s="54"/>
      <c r="M116" s="54"/>
    </row>
    <row r="117" spans="1:13" x14ac:dyDescent="0.3">
      <c r="A117" s="205"/>
      <c r="B117" s="206"/>
      <c r="C117" s="214"/>
      <c r="D117" s="209" t="str">
        <f>IF(allSellings_table[[#This Row],[Date]]="","",TEXT(allSellings_table[[#This Row],[Date]],"mmmm"))</f>
        <v/>
      </c>
      <c r="E117" s="209"/>
      <c r="F117" s="210"/>
      <c r="H117" s="62"/>
      <c r="I117" s="227"/>
      <c r="J117" s="186"/>
      <c r="K117" s="53"/>
      <c r="L117" s="53"/>
      <c r="M117" s="53"/>
    </row>
    <row r="118" spans="1:13" x14ac:dyDescent="0.3">
      <c r="A118" s="205"/>
      <c r="B118" s="206"/>
      <c r="C118" s="214"/>
      <c r="D118" s="209" t="str">
        <f>IF(allSellings_table[[#This Row],[Date]]="","",TEXT(allSellings_table[[#This Row],[Date]],"mmmm"))</f>
        <v/>
      </c>
      <c r="E118" s="209"/>
      <c r="F118" s="210"/>
      <c r="H118" s="69"/>
      <c r="I118" s="228"/>
      <c r="J118" s="188"/>
      <c r="K118" s="54"/>
      <c r="L118" s="54"/>
      <c r="M118" s="54"/>
    </row>
    <row r="119" spans="1:13" x14ac:dyDescent="0.3">
      <c r="A119" s="205"/>
      <c r="B119" s="206"/>
      <c r="C119" s="214"/>
      <c r="D119" s="209" t="str">
        <f>IF(allSellings_table[[#This Row],[Date]]="","",TEXT(allSellings_table[[#This Row],[Date]],"mmmm"))</f>
        <v/>
      </c>
      <c r="E119" s="209"/>
      <c r="F119" s="210"/>
      <c r="H119" s="62"/>
      <c r="I119" s="227"/>
      <c r="J119" s="186"/>
      <c r="K119" s="53"/>
      <c r="L119" s="53"/>
      <c r="M119" s="53"/>
    </row>
    <row r="120" spans="1:13" x14ac:dyDescent="0.3">
      <c r="A120" s="205"/>
      <c r="B120" s="206"/>
      <c r="C120" s="214"/>
      <c r="D120" s="209" t="str">
        <f>IF(allSellings_table[[#This Row],[Date]]="","",TEXT(allSellings_table[[#This Row],[Date]],"mmmm"))</f>
        <v/>
      </c>
      <c r="E120" s="209"/>
      <c r="F120" s="210"/>
      <c r="H120" s="69"/>
      <c r="I120" s="228"/>
      <c r="J120" s="188"/>
      <c r="K120" s="54"/>
      <c r="L120" s="54"/>
      <c r="M120" s="54"/>
    </row>
    <row r="121" spans="1:13" x14ac:dyDescent="0.3">
      <c r="A121" s="205"/>
      <c r="B121" s="206"/>
      <c r="C121" s="214"/>
      <c r="D121" s="209" t="str">
        <f>IF(allSellings_table[[#This Row],[Date]]="","",TEXT(allSellings_table[[#This Row],[Date]],"mmmm"))</f>
        <v/>
      </c>
      <c r="E121" s="209"/>
      <c r="F121" s="210"/>
      <c r="H121" s="62"/>
      <c r="I121" s="227"/>
      <c r="J121" s="186"/>
      <c r="K121" s="53"/>
      <c r="L121" s="53"/>
      <c r="M121" s="53"/>
    </row>
    <row r="122" spans="1:13" x14ac:dyDescent="0.3">
      <c r="A122" s="205"/>
      <c r="B122" s="206"/>
      <c r="C122" s="214"/>
      <c r="D122" s="209" t="str">
        <f>IF(allSellings_table[[#This Row],[Date]]="","",TEXT(allSellings_table[[#This Row],[Date]],"mmmm"))</f>
        <v/>
      </c>
      <c r="E122" s="209"/>
      <c r="F122" s="210"/>
      <c r="H122" s="69"/>
      <c r="I122" s="228"/>
      <c r="J122" s="188"/>
      <c r="K122" s="54"/>
      <c r="L122" s="54"/>
      <c r="M122" s="54"/>
    </row>
    <row r="123" spans="1:13" x14ac:dyDescent="0.3">
      <c r="A123" s="205"/>
      <c r="B123" s="206"/>
      <c r="C123" s="214"/>
      <c r="D123" s="209" t="str">
        <f>IF(allSellings_table[[#This Row],[Date]]="","",TEXT(allSellings_table[[#This Row],[Date]],"mmmm"))</f>
        <v/>
      </c>
      <c r="E123" s="209"/>
      <c r="F123" s="210"/>
      <c r="H123" s="62"/>
      <c r="I123" s="227"/>
      <c r="J123" s="186"/>
      <c r="K123" s="53"/>
      <c r="L123" s="53"/>
      <c r="M123" s="53"/>
    </row>
    <row r="124" spans="1:13" x14ac:dyDescent="0.3">
      <c r="A124" s="205"/>
      <c r="B124" s="206"/>
      <c r="C124" s="214"/>
      <c r="D124" s="209" t="str">
        <f>IF(allSellings_table[[#This Row],[Date]]="","",TEXT(allSellings_table[[#This Row],[Date]],"mmmm"))</f>
        <v/>
      </c>
      <c r="E124" s="209"/>
      <c r="F124" s="210"/>
      <c r="H124" s="69"/>
      <c r="I124" s="228"/>
      <c r="J124" s="188"/>
      <c r="K124" s="54"/>
      <c r="L124" s="54"/>
      <c r="M124" s="54"/>
    </row>
    <row r="125" spans="1:13" x14ac:dyDescent="0.3">
      <c r="A125" s="205"/>
      <c r="B125" s="206"/>
      <c r="C125" s="214"/>
      <c r="D125" s="209" t="str">
        <f>IF(allSellings_table[[#This Row],[Date]]="","",TEXT(allSellings_table[[#This Row],[Date]],"mmmm"))</f>
        <v/>
      </c>
      <c r="E125" s="209"/>
      <c r="F125" s="210"/>
      <c r="H125" s="62"/>
      <c r="I125" s="227"/>
      <c r="J125" s="186"/>
      <c r="K125" s="53"/>
      <c r="L125" s="53"/>
      <c r="M125" s="53"/>
    </row>
    <row r="126" spans="1:13" x14ac:dyDescent="0.3">
      <c r="A126" s="205"/>
      <c r="B126" s="206"/>
      <c r="C126" s="214"/>
      <c r="D126" s="209" t="str">
        <f>IF(allSellings_table[[#This Row],[Date]]="","",TEXT(allSellings_table[[#This Row],[Date]],"mmmm"))</f>
        <v/>
      </c>
      <c r="E126" s="209"/>
      <c r="F126" s="210"/>
      <c r="H126" s="69"/>
      <c r="I126" s="228"/>
      <c r="J126" s="188"/>
      <c r="K126" s="54"/>
      <c r="L126" s="54"/>
      <c r="M126" s="54"/>
    </row>
    <row r="127" spans="1:13" x14ac:dyDescent="0.3">
      <c r="A127" s="205"/>
      <c r="B127" s="206"/>
      <c r="C127" s="214"/>
      <c r="D127" s="209" t="str">
        <f>IF(allSellings_table[[#This Row],[Date]]="","",TEXT(allSellings_table[[#This Row],[Date]],"mmmm"))</f>
        <v/>
      </c>
      <c r="E127" s="209"/>
      <c r="F127" s="210"/>
      <c r="H127" s="62"/>
      <c r="I127" s="227"/>
      <c r="J127" s="186"/>
      <c r="K127" s="53"/>
      <c r="L127" s="53"/>
      <c r="M127" s="53"/>
    </row>
    <row r="128" spans="1:13" x14ac:dyDescent="0.3">
      <c r="A128" s="205"/>
      <c r="B128" s="206"/>
      <c r="C128" s="214"/>
      <c r="D128" s="209" t="str">
        <f>IF(allSellings_table[[#This Row],[Date]]="","",TEXT(allSellings_table[[#This Row],[Date]],"mmmm"))</f>
        <v/>
      </c>
      <c r="E128" s="209"/>
      <c r="F128" s="210"/>
      <c r="H128" s="69"/>
      <c r="I128" s="228"/>
      <c r="J128" s="188"/>
      <c r="K128" s="54"/>
      <c r="L128" s="54"/>
      <c r="M128" s="54"/>
    </row>
    <row r="129" spans="1:13" x14ac:dyDescent="0.3">
      <c r="A129" s="205"/>
      <c r="B129" s="206"/>
      <c r="C129" s="214"/>
      <c r="D129" s="209" t="str">
        <f>IF(allSellings_table[[#This Row],[Date]]="","",TEXT(allSellings_table[[#This Row],[Date]],"mmmm"))</f>
        <v/>
      </c>
      <c r="E129" s="209"/>
      <c r="F129" s="210"/>
      <c r="H129" s="62"/>
      <c r="I129" s="227"/>
      <c r="J129" s="186"/>
      <c r="K129" s="53"/>
      <c r="L129" s="53"/>
      <c r="M129" s="53"/>
    </row>
    <row r="130" spans="1:13" x14ac:dyDescent="0.3">
      <c r="A130" s="205"/>
      <c r="B130" s="206"/>
      <c r="C130" s="214"/>
      <c r="D130" s="209" t="str">
        <f>IF(allSellings_table[[#This Row],[Date]]="","",TEXT(allSellings_table[[#This Row],[Date]],"mmmm"))</f>
        <v/>
      </c>
      <c r="E130" s="209"/>
      <c r="F130" s="210"/>
      <c r="H130" s="69"/>
      <c r="I130" s="228"/>
      <c r="J130" s="188"/>
      <c r="K130" s="54"/>
      <c r="L130" s="54"/>
      <c r="M130" s="54"/>
    </row>
    <row r="131" spans="1:13" x14ac:dyDescent="0.3">
      <c r="A131" s="205"/>
      <c r="B131" s="206"/>
      <c r="C131" s="214"/>
      <c r="D131" s="209" t="str">
        <f>IF(allSellings_table[[#This Row],[Date]]="","",TEXT(allSellings_table[[#This Row],[Date]],"mmmm"))</f>
        <v/>
      </c>
      <c r="E131" s="209"/>
      <c r="F131" s="210"/>
      <c r="H131" s="62"/>
      <c r="I131" s="227"/>
      <c r="J131" s="186"/>
      <c r="K131" s="53"/>
      <c r="L131" s="53"/>
      <c r="M131" s="53"/>
    </row>
    <row r="132" spans="1:13" x14ac:dyDescent="0.3">
      <c r="A132" s="205"/>
      <c r="B132" s="206"/>
      <c r="C132" s="214"/>
      <c r="D132" s="209" t="str">
        <f>IF(allSellings_table[[#This Row],[Date]]="","",TEXT(allSellings_table[[#This Row],[Date]],"mmmm"))</f>
        <v/>
      </c>
      <c r="E132" s="209"/>
      <c r="F132" s="210"/>
      <c r="H132" s="69"/>
      <c r="I132" s="228"/>
      <c r="J132" s="188"/>
      <c r="K132" s="54"/>
      <c r="L132" s="54"/>
      <c r="M132" s="54"/>
    </row>
    <row r="133" spans="1:13" x14ac:dyDescent="0.3">
      <c r="A133" s="205"/>
      <c r="B133" s="206"/>
      <c r="C133" s="214"/>
      <c r="D133" s="209" t="str">
        <f>IF(allSellings_table[[#This Row],[Date]]="","",TEXT(allSellings_table[[#This Row],[Date]],"mmmm"))</f>
        <v/>
      </c>
      <c r="E133" s="209"/>
      <c r="F133" s="210"/>
      <c r="H133" s="62"/>
      <c r="I133" s="227"/>
      <c r="J133" s="186"/>
      <c r="K133" s="53"/>
      <c r="L133" s="53"/>
      <c r="M133" s="53"/>
    </row>
    <row r="134" spans="1:13" x14ac:dyDescent="0.3">
      <c r="A134" s="205"/>
      <c r="B134" s="206"/>
      <c r="C134" s="214"/>
      <c r="D134" s="209" t="str">
        <f>IF(allSellings_table[[#This Row],[Date]]="","",TEXT(allSellings_table[[#This Row],[Date]],"mmmm"))</f>
        <v/>
      </c>
      <c r="E134" s="209"/>
      <c r="F134" s="210"/>
      <c r="H134" s="69"/>
      <c r="I134" s="228"/>
      <c r="J134" s="188"/>
      <c r="K134" s="54"/>
      <c r="L134" s="54"/>
      <c r="M134" s="54"/>
    </row>
    <row r="135" spans="1:13" x14ac:dyDescent="0.3">
      <c r="A135" s="205"/>
      <c r="B135" s="206"/>
      <c r="C135" s="214"/>
      <c r="D135" s="209" t="str">
        <f>IF(allSellings_table[[#This Row],[Date]]="","",TEXT(allSellings_table[[#This Row],[Date]],"mmmm"))</f>
        <v/>
      </c>
      <c r="E135" s="209"/>
      <c r="F135" s="210"/>
      <c r="H135" s="62"/>
      <c r="I135" s="227"/>
      <c r="J135" s="186"/>
      <c r="K135" s="53"/>
      <c r="L135" s="53"/>
      <c r="M135" s="53"/>
    </row>
    <row r="136" spans="1:13" x14ac:dyDescent="0.3">
      <c r="A136" s="205"/>
      <c r="B136" s="206"/>
      <c r="C136" s="214"/>
      <c r="D136" s="209" t="str">
        <f>IF(allSellings_table[[#This Row],[Date]]="","",TEXT(allSellings_table[[#This Row],[Date]],"mmmm"))</f>
        <v/>
      </c>
      <c r="E136" s="209"/>
      <c r="F136" s="210"/>
      <c r="H136" s="69"/>
      <c r="I136" s="228"/>
      <c r="J136" s="188"/>
      <c r="K136" s="54"/>
      <c r="L136" s="54"/>
      <c r="M136" s="54"/>
    </row>
    <row r="137" spans="1:13" x14ac:dyDescent="0.3">
      <c r="A137" s="205"/>
      <c r="B137" s="206"/>
      <c r="C137" s="214"/>
      <c r="D137" s="209" t="str">
        <f>IF(allSellings_table[[#This Row],[Date]]="","",TEXT(allSellings_table[[#This Row],[Date]],"mmmm"))</f>
        <v/>
      </c>
      <c r="E137" s="209"/>
      <c r="F137" s="210"/>
      <c r="H137" s="62"/>
      <c r="I137" s="227"/>
      <c r="J137" s="186"/>
      <c r="K137" s="53"/>
      <c r="L137" s="53"/>
      <c r="M137" s="53"/>
    </row>
    <row r="138" spans="1:13" x14ac:dyDescent="0.3">
      <c r="A138" s="205"/>
      <c r="B138" s="206"/>
      <c r="C138" s="214"/>
      <c r="D138" s="209" t="str">
        <f>IF(allSellings_table[[#This Row],[Date]]="","",TEXT(allSellings_table[[#This Row],[Date]],"mmmm"))</f>
        <v/>
      </c>
      <c r="E138" s="209"/>
      <c r="F138" s="210"/>
      <c r="H138" s="69"/>
      <c r="I138" s="228"/>
      <c r="J138" s="188"/>
      <c r="K138" s="54"/>
      <c r="L138" s="54"/>
      <c r="M138" s="54"/>
    </row>
    <row r="139" spans="1:13" x14ac:dyDescent="0.3">
      <c r="A139" s="205"/>
      <c r="B139" s="206"/>
      <c r="C139" s="214"/>
      <c r="D139" s="209" t="str">
        <f>IF(allSellings_table[[#This Row],[Date]]="","",TEXT(allSellings_table[[#This Row],[Date]],"mmmm"))</f>
        <v/>
      </c>
      <c r="E139" s="209"/>
      <c r="F139" s="210"/>
      <c r="H139" s="62"/>
      <c r="I139" s="227"/>
      <c r="J139" s="186"/>
      <c r="K139" s="53"/>
      <c r="L139" s="53"/>
      <c r="M139" s="53"/>
    </row>
    <row r="140" spans="1:13" x14ac:dyDescent="0.3">
      <c r="A140" s="205"/>
      <c r="B140" s="206"/>
      <c r="C140" s="214"/>
      <c r="D140" s="209" t="str">
        <f>IF(allSellings_table[[#This Row],[Date]]="","",TEXT(allSellings_table[[#This Row],[Date]],"mmmm"))</f>
        <v/>
      </c>
      <c r="E140" s="209"/>
      <c r="F140" s="210"/>
      <c r="H140" s="69"/>
      <c r="I140" s="228"/>
      <c r="J140" s="188"/>
      <c r="K140" s="54"/>
      <c r="L140" s="54"/>
      <c r="M140" s="54"/>
    </row>
    <row r="141" spans="1:13" x14ac:dyDescent="0.3">
      <c r="A141" s="205"/>
      <c r="B141" s="206"/>
      <c r="C141" s="214"/>
      <c r="D141" s="209" t="str">
        <f>IF(allSellings_table[[#This Row],[Date]]="","",TEXT(allSellings_table[[#This Row],[Date]],"mmmm"))</f>
        <v/>
      </c>
      <c r="E141" s="209"/>
      <c r="F141" s="210"/>
      <c r="H141" s="62"/>
      <c r="I141" s="227"/>
      <c r="J141" s="186"/>
      <c r="K141" s="53"/>
      <c r="L141" s="53"/>
      <c r="M141" s="53"/>
    </row>
    <row r="142" spans="1:13" x14ac:dyDescent="0.3">
      <c r="A142" s="205"/>
      <c r="B142" s="206"/>
      <c r="C142" s="214"/>
      <c r="D142" s="209" t="str">
        <f>IF(allSellings_table[[#This Row],[Date]]="","",TEXT(allSellings_table[[#This Row],[Date]],"mmmm"))</f>
        <v/>
      </c>
      <c r="E142" s="209"/>
      <c r="F142" s="210"/>
      <c r="H142" s="69"/>
      <c r="I142" s="228"/>
      <c r="J142" s="188"/>
      <c r="K142" s="54"/>
      <c r="L142" s="54"/>
      <c r="M142" s="54"/>
    </row>
    <row r="143" spans="1:13" x14ac:dyDescent="0.3">
      <c r="A143" s="205"/>
      <c r="B143" s="206"/>
      <c r="C143" s="214"/>
      <c r="D143" s="209" t="str">
        <f>IF(allSellings_table[[#This Row],[Date]]="","",TEXT(allSellings_table[[#This Row],[Date]],"mmmm"))</f>
        <v/>
      </c>
      <c r="E143" s="209"/>
      <c r="F143" s="210"/>
      <c r="H143" s="62"/>
      <c r="I143" s="227"/>
      <c r="J143" s="186"/>
      <c r="K143" s="53"/>
      <c r="L143" s="53"/>
      <c r="M143" s="53"/>
    </row>
    <row r="144" spans="1:13" x14ac:dyDescent="0.3">
      <c r="A144" s="205"/>
      <c r="B144" s="206"/>
      <c r="C144" s="214"/>
      <c r="D144" s="209" t="str">
        <f>IF(allSellings_table[[#This Row],[Date]]="","",TEXT(allSellings_table[[#This Row],[Date]],"mmmm"))</f>
        <v/>
      </c>
      <c r="E144" s="209"/>
      <c r="F144" s="210"/>
      <c r="H144" s="69"/>
      <c r="I144" s="228"/>
      <c r="J144" s="188"/>
      <c r="K144" s="54"/>
      <c r="L144" s="54"/>
      <c r="M144" s="54"/>
    </row>
    <row r="145" spans="1:13" x14ac:dyDescent="0.3">
      <c r="A145" s="205"/>
      <c r="B145" s="206"/>
      <c r="C145" s="214"/>
      <c r="D145" s="209" t="str">
        <f>IF(allSellings_table[[#This Row],[Date]]="","",TEXT(allSellings_table[[#This Row],[Date]],"mmmm"))</f>
        <v/>
      </c>
      <c r="E145" s="209"/>
      <c r="F145" s="210"/>
      <c r="H145" s="62"/>
      <c r="I145" s="227"/>
      <c r="J145" s="186"/>
      <c r="K145" s="53"/>
      <c r="L145" s="53"/>
      <c r="M145" s="53"/>
    </row>
    <row r="146" spans="1:13" x14ac:dyDescent="0.3">
      <c r="A146" s="205"/>
      <c r="B146" s="206"/>
      <c r="C146" s="214"/>
      <c r="D146" s="209" t="str">
        <f>IF(allSellings_table[[#This Row],[Date]]="","",TEXT(allSellings_table[[#This Row],[Date]],"mmmm"))</f>
        <v/>
      </c>
      <c r="E146" s="209"/>
      <c r="F146" s="210"/>
      <c r="H146" s="69"/>
      <c r="I146" s="228"/>
      <c r="J146" s="188"/>
      <c r="K146" s="54"/>
      <c r="L146" s="54"/>
      <c r="M146" s="54"/>
    </row>
    <row r="147" spans="1:13" x14ac:dyDescent="0.3">
      <c r="A147" s="205"/>
      <c r="B147" s="206"/>
      <c r="C147" s="214"/>
      <c r="D147" s="209" t="str">
        <f>IF(allSellings_table[[#This Row],[Date]]="","",TEXT(allSellings_table[[#This Row],[Date]],"mmmm"))</f>
        <v/>
      </c>
      <c r="E147" s="209"/>
      <c r="F147" s="210"/>
      <c r="H147" s="62"/>
      <c r="I147" s="227"/>
      <c r="J147" s="186"/>
      <c r="K147" s="53"/>
      <c r="L147" s="53"/>
      <c r="M147" s="53"/>
    </row>
    <row r="148" spans="1:13" x14ac:dyDescent="0.3">
      <c r="A148" s="205"/>
      <c r="B148" s="206"/>
      <c r="C148" s="214"/>
      <c r="D148" s="209" t="str">
        <f>IF(allSellings_table[[#This Row],[Date]]="","",TEXT(allSellings_table[[#This Row],[Date]],"mmmm"))</f>
        <v/>
      </c>
      <c r="E148" s="209"/>
      <c r="F148" s="210"/>
      <c r="H148" s="69"/>
      <c r="I148" s="228"/>
      <c r="J148" s="188"/>
      <c r="K148" s="54"/>
      <c r="L148" s="54"/>
      <c r="M148" s="54"/>
    </row>
    <row r="149" spans="1:13" x14ac:dyDescent="0.3">
      <c r="A149" s="205"/>
      <c r="B149" s="206"/>
      <c r="C149" s="214"/>
      <c r="D149" s="209" t="str">
        <f>IF(allSellings_table[[#This Row],[Date]]="","",TEXT(allSellings_table[[#This Row],[Date]],"mmmm"))</f>
        <v/>
      </c>
      <c r="E149" s="209"/>
      <c r="F149" s="210"/>
      <c r="H149" s="62"/>
      <c r="I149" s="227"/>
      <c r="J149" s="186"/>
      <c r="K149" s="53"/>
      <c r="L149" s="53"/>
      <c r="M149" s="53"/>
    </row>
    <row r="150" spans="1:13" x14ac:dyDescent="0.3">
      <c r="A150" s="205"/>
      <c r="B150" s="206"/>
      <c r="C150" s="214"/>
      <c r="D150" s="209" t="str">
        <f>IF(allSellings_table[[#This Row],[Date]]="","",TEXT(allSellings_table[[#This Row],[Date]],"mmmm"))</f>
        <v/>
      </c>
      <c r="E150" s="209"/>
      <c r="F150" s="210"/>
      <c r="H150" s="69"/>
      <c r="I150" s="228"/>
      <c r="J150" s="188"/>
      <c r="K150" s="54"/>
      <c r="L150" s="54"/>
      <c r="M150" s="54"/>
    </row>
    <row r="151" spans="1:13" x14ac:dyDescent="0.3">
      <c r="A151" s="205"/>
      <c r="B151" s="206"/>
      <c r="C151" s="214"/>
      <c r="D151" s="209" t="str">
        <f>IF(allSellings_table[[#This Row],[Date]]="","",TEXT(allSellings_table[[#This Row],[Date]],"mmmm"))</f>
        <v/>
      </c>
      <c r="E151" s="209"/>
      <c r="F151" s="210"/>
      <c r="H151" s="62"/>
      <c r="I151" s="227"/>
      <c r="J151" s="186"/>
      <c r="K151" s="53"/>
      <c r="L151" s="53"/>
      <c r="M151" s="53"/>
    </row>
    <row r="152" spans="1:13" x14ac:dyDescent="0.3">
      <c r="A152" s="205"/>
      <c r="B152" s="206"/>
      <c r="C152" s="214"/>
      <c r="D152" s="209" t="str">
        <f>IF(allSellings_table[[#This Row],[Date]]="","",TEXT(allSellings_table[[#This Row],[Date]],"mmmm"))</f>
        <v/>
      </c>
      <c r="E152" s="209"/>
      <c r="F152" s="210"/>
      <c r="H152" s="69"/>
      <c r="I152" s="228"/>
      <c r="J152" s="188"/>
      <c r="K152" s="54"/>
      <c r="L152" s="54"/>
      <c r="M152" s="54"/>
    </row>
    <row r="153" spans="1:13" x14ac:dyDescent="0.3">
      <c r="A153" s="205"/>
      <c r="B153" s="206"/>
      <c r="C153" s="214"/>
      <c r="D153" s="209" t="str">
        <f>IF(allSellings_table[[#This Row],[Date]]="","",TEXT(allSellings_table[[#This Row],[Date]],"mmmm"))</f>
        <v/>
      </c>
      <c r="E153" s="209"/>
      <c r="F153" s="210"/>
      <c r="H153" s="62"/>
      <c r="I153" s="227"/>
      <c r="J153" s="186"/>
      <c r="K153" s="53"/>
      <c r="L153" s="53"/>
      <c r="M153" s="53"/>
    </row>
    <row r="154" spans="1:13" x14ac:dyDescent="0.3">
      <c r="A154" s="205"/>
      <c r="B154" s="206"/>
      <c r="C154" s="214"/>
      <c r="D154" s="209" t="str">
        <f>IF(allSellings_table[[#This Row],[Date]]="","",TEXT(allSellings_table[[#This Row],[Date]],"mmmm"))</f>
        <v/>
      </c>
      <c r="E154" s="209"/>
      <c r="F154" s="210"/>
      <c r="H154" s="69"/>
      <c r="I154" s="228"/>
      <c r="J154" s="188"/>
      <c r="K154" s="54"/>
      <c r="L154" s="54"/>
      <c r="M154" s="54"/>
    </row>
    <row r="155" spans="1:13" x14ac:dyDescent="0.3">
      <c r="A155" s="205"/>
      <c r="B155" s="206"/>
      <c r="C155" s="214"/>
      <c r="D155" s="209" t="str">
        <f>IF(allSellings_table[[#This Row],[Date]]="","",TEXT(allSellings_table[[#This Row],[Date]],"mmmm"))</f>
        <v/>
      </c>
      <c r="E155" s="209"/>
      <c r="F155" s="210"/>
      <c r="H155" s="62"/>
      <c r="I155" s="227"/>
      <c r="J155" s="186"/>
      <c r="K155" s="53"/>
      <c r="L155" s="53"/>
      <c r="M155" s="53"/>
    </row>
    <row r="156" spans="1:13" x14ac:dyDescent="0.3">
      <c r="A156" s="205"/>
      <c r="B156" s="206"/>
      <c r="C156" s="214"/>
      <c r="D156" s="209" t="str">
        <f>IF(allSellings_table[[#This Row],[Date]]="","",TEXT(allSellings_table[[#This Row],[Date]],"mmmm"))</f>
        <v/>
      </c>
      <c r="E156" s="209"/>
      <c r="F156" s="210"/>
      <c r="H156" s="69"/>
      <c r="I156" s="228"/>
      <c r="J156" s="188"/>
      <c r="K156" s="54"/>
      <c r="L156" s="54"/>
      <c r="M156" s="54"/>
    </row>
    <row r="157" spans="1:13" x14ac:dyDescent="0.3">
      <c r="A157" s="205"/>
      <c r="B157" s="206"/>
      <c r="C157" s="214"/>
      <c r="D157" s="209" t="str">
        <f>IF(allSellings_table[[#This Row],[Date]]="","",TEXT(allSellings_table[[#This Row],[Date]],"mmmm"))</f>
        <v/>
      </c>
      <c r="E157" s="209"/>
      <c r="F157" s="210"/>
      <c r="H157" s="62"/>
      <c r="I157" s="227"/>
      <c r="J157" s="186"/>
      <c r="K157" s="53"/>
      <c r="L157" s="53"/>
      <c r="M157" s="53"/>
    </row>
    <row r="158" spans="1:13" x14ac:dyDescent="0.3">
      <c r="A158" s="205"/>
      <c r="B158" s="206"/>
      <c r="C158" s="214"/>
      <c r="D158" s="209" t="str">
        <f>IF(allSellings_table[[#This Row],[Date]]="","",TEXT(allSellings_table[[#This Row],[Date]],"mmmm"))</f>
        <v/>
      </c>
      <c r="E158" s="209"/>
      <c r="F158" s="210"/>
      <c r="H158" s="69"/>
      <c r="I158" s="228"/>
      <c r="J158" s="188"/>
      <c r="K158" s="54"/>
      <c r="L158" s="54"/>
      <c r="M158" s="54"/>
    </row>
    <row r="159" spans="1:13" x14ac:dyDescent="0.3">
      <c r="A159" s="205"/>
      <c r="B159" s="206"/>
      <c r="C159" s="214"/>
      <c r="D159" s="209" t="str">
        <f>IF(allSellings_table[[#This Row],[Date]]="","",TEXT(allSellings_table[[#This Row],[Date]],"mmmm"))</f>
        <v/>
      </c>
      <c r="E159" s="209"/>
      <c r="F159" s="210"/>
      <c r="H159" s="62"/>
      <c r="I159" s="227"/>
      <c r="J159" s="186"/>
      <c r="K159" s="53"/>
      <c r="L159" s="53"/>
      <c r="M159" s="53"/>
    </row>
    <row r="160" spans="1:13" x14ac:dyDescent="0.3">
      <c r="A160" s="205"/>
      <c r="B160" s="206"/>
      <c r="C160" s="214"/>
      <c r="D160" s="209" t="str">
        <f>IF(allSellings_table[[#This Row],[Date]]="","",TEXT(allSellings_table[[#This Row],[Date]],"mmmm"))</f>
        <v/>
      </c>
      <c r="E160" s="209"/>
      <c r="F160" s="210"/>
      <c r="H160" s="69"/>
      <c r="I160" s="228"/>
      <c r="J160" s="188"/>
      <c r="K160" s="54"/>
      <c r="L160" s="54"/>
      <c r="M160" s="54"/>
    </row>
    <row r="161" spans="1:13" x14ac:dyDescent="0.3">
      <c r="A161" s="205"/>
      <c r="B161" s="206"/>
      <c r="C161" s="214"/>
      <c r="D161" s="209" t="str">
        <f>IF(allSellings_table[[#This Row],[Date]]="","",TEXT(allSellings_table[[#This Row],[Date]],"mmmm"))</f>
        <v/>
      </c>
      <c r="E161" s="209"/>
      <c r="F161" s="210"/>
      <c r="H161" s="62"/>
      <c r="I161" s="227"/>
      <c r="J161" s="186"/>
      <c r="K161" s="53"/>
      <c r="L161" s="53"/>
      <c r="M161" s="53"/>
    </row>
    <row r="162" spans="1:13" x14ac:dyDescent="0.3">
      <c r="A162" s="205"/>
      <c r="B162" s="206"/>
      <c r="C162" s="214"/>
      <c r="D162" s="209" t="str">
        <f>IF(allSellings_table[[#This Row],[Date]]="","",TEXT(allSellings_table[[#This Row],[Date]],"mmmm"))</f>
        <v/>
      </c>
      <c r="E162" s="209"/>
      <c r="F162" s="210"/>
      <c r="H162" s="69"/>
      <c r="I162" s="228"/>
      <c r="J162" s="188"/>
      <c r="K162" s="54"/>
      <c r="L162" s="54"/>
      <c r="M162" s="54"/>
    </row>
    <row r="163" spans="1:13" x14ac:dyDescent="0.3">
      <c r="A163" s="205"/>
      <c r="B163" s="206"/>
      <c r="C163" s="214"/>
      <c r="D163" s="209" t="str">
        <f>IF(allSellings_table[[#This Row],[Date]]="","",TEXT(allSellings_table[[#This Row],[Date]],"mmmm"))</f>
        <v/>
      </c>
      <c r="E163" s="209"/>
      <c r="F163" s="210"/>
      <c r="H163" s="62"/>
      <c r="I163" s="227"/>
      <c r="J163" s="186"/>
      <c r="K163" s="53"/>
      <c r="L163" s="53"/>
      <c r="M163" s="53"/>
    </row>
    <row r="164" spans="1:13" x14ac:dyDescent="0.3">
      <c r="A164" s="205"/>
      <c r="B164" s="206"/>
      <c r="C164" s="214"/>
      <c r="D164" s="209" t="str">
        <f>IF(allSellings_table[[#This Row],[Date]]="","",TEXT(allSellings_table[[#This Row],[Date]],"mmmm"))</f>
        <v/>
      </c>
      <c r="E164" s="209"/>
      <c r="F164" s="210"/>
      <c r="H164" s="69"/>
      <c r="I164" s="228"/>
      <c r="J164" s="188"/>
      <c r="K164" s="54"/>
      <c r="L164" s="54"/>
      <c r="M164" s="54"/>
    </row>
    <row r="165" spans="1:13" x14ac:dyDescent="0.3">
      <c r="A165" s="205"/>
      <c r="B165" s="206"/>
      <c r="C165" s="214"/>
      <c r="D165" s="209" t="str">
        <f>IF(allSellings_table[[#This Row],[Date]]="","",TEXT(allSellings_table[[#This Row],[Date]],"mmmm"))</f>
        <v/>
      </c>
      <c r="E165" s="209"/>
      <c r="F165" s="210"/>
      <c r="H165" s="62"/>
      <c r="I165" s="227"/>
      <c r="J165" s="186"/>
      <c r="K165" s="53"/>
      <c r="L165" s="53"/>
      <c r="M165" s="53"/>
    </row>
    <row r="166" spans="1:13" x14ac:dyDescent="0.3">
      <c r="A166" s="205"/>
      <c r="B166" s="206"/>
      <c r="C166" s="214"/>
      <c r="D166" s="209" t="str">
        <f>IF(allSellings_table[[#This Row],[Date]]="","",TEXT(allSellings_table[[#This Row],[Date]],"mmmm"))</f>
        <v/>
      </c>
      <c r="E166" s="209"/>
      <c r="F166" s="210"/>
      <c r="H166" s="69"/>
      <c r="I166" s="228"/>
      <c r="J166" s="188"/>
      <c r="K166" s="54"/>
      <c r="L166" s="54"/>
      <c r="M166" s="54"/>
    </row>
    <row r="167" spans="1:13" x14ac:dyDescent="0.3">
      <c r="A167" s="205"/>
      <c r="B167" s="206"/>
      <c r="C167" s="214"/>
      <c r="D167" s="209" t="str">
        <f>IF(allSellings_table[[#This Row],[Date]]="","",TEXT(allSellings_table[[#This Row],[Date]],"mmmm"))</f>
        <v/>
      </c>
      <c r="E167" s="209"/>
      <c r="F167" s="210"/>
      <c r="H167" s="62"/>
      <c r="I167" s="227"/>
      <c r="J167" s="186"/>
      <c r="K167" s="53"/>
      <c r="L167" s="53"/>
      <c r="M167" s="53"/>
    </row>
    <row r="168" spans="1:13" x14ac:dyDescent="0.3">
      <c r="A168" s="205"/>
      <c r="B168" s="206"/>
      <c r="C168" s="214"/>
      <c r="D168" s="209" t="str">
        <f>IF(allSellings_table[[#This Row],[Date]]="","",TEXT(allSellings_table[[#This Row],[Date]],"mmmm"))</f>
        <v/>
      </c>
      <c r="E168" s="209"/>
      <c r="F168" s="210"/>
      <c r="H168" s="69"/>
      <c r="I168" s="228"/>
      <c r="J168" s="188"/>
      <c r="K168" s="54"/>
      <c r="L168" s="54"/>
      <c r="M168" s="54"/>
    </row>
    <row r="169" spans="1:13" x14ac:dyDescent="0.3">
      <c r="A169" s="205"/>
      <c r="B169" s="206"/>
      <c r="C169" s="214"/>
      <c r="D169" s="209" t="str">
        <f>IF(allSellings_table[[#This Row],[Date]]="","",TEXT(allSellings_table[[#This Row],[Date]],"mmmm"))</f>
        <v/>
      </c>
      <c r="E169" s="209"/>
      <c r="F169" s="210"/>
      <c r="H169" s="62"/>
      <c r="I169" s="227"/>
      <c r="J169" s="186"/>
      <c r="K169" s="53"/>
      <c r="L169" s="53"/>
      <c r="M169" s="53"/>
    </row>
    <row r="170" spans="1:13" x14ac:dyDescent="0.3">
      <c r="A170" s="205"/>
      <c r="B170" s="206"/>
      <c r="C170" s="214"/>
      <c r="D170" s="209" t="str">
        <f>IF(allSellings_table[[#This Row],[Date]]="","",TEXT(allSellings_table[[#This Row],[Date]],"mmmm"))</f>
        <v/>
      </c>
      <c r="E170" s="209"/>
      <c r="F170" s="210"/>
      <c r="H170" s="69"/>
      <c r="I170" s="228"/>
      <c r="J170" s="188"/>
      <c r="K170" s="54"/>
      <c r="L170" s="54"/>
      <c r="M170" s="54"/>
    </row>
    <row r="171" spans="1:13" x14ac:dyDescent="0.3">
      <c r="A171" s="205"/>
      <c r="B171" s="206"/>
      <c r="C171" s="214"/>
      <c r="D171" s="209" t="str">
        <f>IF(allSellings_table[[#This Row],[Date]]="","",TEXT(allSellings_table[[#This Row],[Date]],"mmmm"))</f>
        <v/>
      </c>
      <c r="E171" s="209"/>
      <c r="F171" s="210"/>
      <c r="H171" s="62"/>
      <c r="I171" s="227"/>
      <c r="J171" s="186"/>
      <c r="K171" s="53"/>
      <c r="L171" s="53"/>
      <c r="M171" s="53"/>
    </row>
    <row r="172" spans="1:13" x14ac:dyDescent="0.3">
      <c r="A172" s="205"/>
      <c r="B172" s="206"/>
      <c r="C172" s="214"/>
      <c r="D172" s="209" t="str">
        <f>IF(allSellings_table[[#This Row],[Date]]="","",TEXT(allSellings_table[[#This Row],[Date]],"mmmm"))</f>
        <v/>
      </c>
      <c r="E172" s="209"/>
      <c r="F172" s="210"/>
      <c r="H172" s="69"/>
      <c r="I172" s="228"/>
      <c r="J172" s="188"/>
      <c r="K172" s="54"/>
      <c r="L172" s="54"/>
      <c r="M172" s="54"/>
    </row>
    <row r="173" spans="1:13" x14ac:dyDescent="0.3">
      <c r="A173" s="205"/>
      <c r="B173" s="206"/>
      <c r="C173" s="214"/>
      <c r="D173" s="209" t="str">
        <f>IF(allSellings_table[[#This Row],[Date]]="","",TEXT(allSellings_table[[#This Row],[Date]],"mmmm"))</f>
        <v/>
      </c>
      <c r="E173" s="209"/>
      <c r="F173" s="210"/>
      <c r="H173" s="62"/>
      <c r="I173" s="227"/>
      <c r="J173" s="186"/>
      <c r="K173" s="53"/>
      <c r="L173" s="53"/>
      <c r="M173" s="53"/>
    </row>
    <row r="174" spans="1:13" x14ac:dyDescent="0.3">
      <c r="A174" s="205"/>
      <c r="B174" s="206"/>
      <c r="C174" s="214"/>
      <c r="D174" s="209" t="str">
        <f>IF(allSellings_table[[#This Row],[Date]]="","",TEXT(allSellings_table[[#This Row],[Date]],"mmmm"))</f>
        <v/>
      </c>
      <c r="E174" s="209"/>
      <c r="F174" s="210"/>
      <c r="H174" s="69"/>
      <c r="I174" s="228"/>
      <c r="J174" s="188"/>
      <c r="K174" s="54"/>
      <c r="L174" s="54"/>
      <c r="M174" s="54"/>
    </row>
    <row r="175" spans="1:13" x14ac:dyDescent="0.3">
      <c r="A175" s="205"/>
      <c r="B175" s="206"/>
      <c r="C175" s="214"/>
      <c r="D175" s="209" t="str">
        <f>IF(allSellings_table[[#This Row],[Date]]="","",TEXT(allSellings_table[[#This Row],[Date]],"mmmm"))</f>
        <v/>
      </c>
      <c r="E175" s="209"/>
      <c r="F175" s="210"/>
      <c r="H175" s="62"/>
      <c r="I175" s="227"/>
      <c r="J175" s="186"/>
      <c r="K175" s="53"/>
      <c r="L175" s="53"/>
      <c r="M175" s="53"/>
    </row>
    <row r="176" spans="1:13" x14ac:dyDescent="0.3">
      <c r="A176" s="205"/>
      <c r="B176" s="206"/>
      <c r="C176" s="214"/>
      <c r="D176" s="209" t="str">
        <f>IF(allSellings_table[[#This Row],[Date]]="","",TEXT(allSellings_table[[#This Row],[Date]],"mmmm"))</f>
        <v/>
      </c>
      <c r="E176" s="209"/>
      <c r="F176" s="210"/>
      <c r="H176" s="69"/>
      <c r="I176" s="228"/>
      <c r="J176" s="188"/>
      <c r="K176" s="54"/>
      <c r="L176" s="54"/>
      <c r="M176" s="54"/>
    </row>
    <row r="177" spans="1:13" x14ac:dyDescent="0.3">
      <c r="A177" s="205"/>
      <c r="B177" s="206"/>
      <c r="C177" s="214"/>
      <c r="D177" s="209" t="str">
        <f>IF(allSellings_table[[#This Row],[Date]]="","",TEXT(allSellings_table[[#This Row],[Date]],"mmmm"))</f>
        <v/>
      </c>
      <c r="E177" s="209"/>
      <c r="F177" s="210"/>
      <c r="H177" s="62"/>
      <c r="I177" s="227"/>
      <c r="J177" s="186"/>
      <c r="K177" s="53"/>
      <c r="L177" s="53"/>
      <c r="M177" s="53"/>
    </row>
    <row r="178" spans="1:13" x14ac:dyDescent="0.3">
      <c r="A178" s="205"/>
      <c r="B178" s="206"/>
      <c r="C178" s="214"/>
      <c r="D178" s="209" t="str">
        <f>IF(allSellings_table[[#This Row],[Date]]="","",TEXT(allSellings_table[[#This Row],[Date]],"mmmm"))</f>
        <v/>
      </c>
      <c r="E178" s="209"/>
      <c r="F178" s="210"/>
      <c r="H178" s="69"/>
      <c r="I178" s="228"/>
      <c r="J178" s="188"/>
      <c r="K178" s="54"/>
      <c r="L178" s="54"/>
      <c r="M178" s="54"/>
    </row>
    <row r="179" spans="1:13" x14ac:dyDescent="0.3">
      <c r="A179" s="205"/>
      <c r="B179" s="206"/>
      <c r="C179" s="214"/>
      <c r="D179" s="209" t="str">
        <f>IF(allSellings_table[[#This Row],[Date]]="","",TEXT(allSellings_table[[#This Row],[Date]],"mmmm"))</f>
        <v/>
      </c>
      <c r="E179" s="209"/>
      <c r="F179" s="210"/>
      <c r="H179" s="62"/>
      <c r="I179" s="227"/>
      <c r="J179" s="186"/>
      <c r="K179" s="53"/>
      <c r="L179" s="53"/>
      <c r="M179" s="53"/>
    </row>
    <row r="180" spans="1:13" x14ac:dyDescent="0.3">
      <c r="A180" s="205"/>
      <c r="B180" s="206"/>
      <c r="C180" s="214"/>
      <c r="D180" s="209" t="str">
        <f>IF(allSellings_table[[#This Row],[Date]]="","",TEXT(allSellings_table[[#This Row],[Date]],"mmmm"))</f>
        <v/>
      </c>
      <c r="E180" s="209"/>
      <c r="F180" s="210"/>
      <c r="H180" s="69"/>
      <c r="I180" s="228"/>
      <c r="J180" s="188"/>
      <c r="K180" s="54"/>
      <c r="L180" s="54"/>
      <c r="M180" s="54"/>
    </row>
    <row r="181" spans="1:13" x14ac:dyDescent="0.3">
      <c r="A181" s="205"/>
      <c r="B181" s="206"/>
      <c r="C181" s="214"/>
      <c r="D181" s="209" t="str">
        <f>IF(allSellings_table[[#This Row],[Date]]="","",TEXT(allSellings_table[[#This Row],[Date]],"mmmm"))</f>
        <v/>
      </c>
      <c r="E181" s="209"/>
      <c r="F181" s="210"/>
      <c r="H181" s="62"/>
      <c r="I181" s="227"/>
      <c r="J181" s="186"/>
      <c r="K181" s="53"/>
      <c r="L181" s="53"/>
      <c r="M181" s="53"/>
    </row>
    <row r="182" spans="1:13" x14ac:dyDescent="0.3">
      <c r="A182" s="205"/>
      <c r="B182" s="206"/>
      <c r="C182" s="214"/>
      <c r="D182" s="209" t="str">
        <f>IF(allSellings_table[[#This Row],[Date]]="","",TEXT(allSellings_table[[#This Row],[Date]],"mmmm"))</f>
        <v/>
      </c>
      <c r="E182" s="209"/>
      <c r="F182" s="210"/>
      <c r="H182" s="69"/>
      <c r="I182" s="228"/>
      <c r="J182" s="188"/>
      <c r="K182" s="54"/>
      <c r="L182" s="54"/>
      <c r="M182" s="54"/>
    </row>
    <row r="183" spans="1:13" x14ac:dyDescent="0.3">
      <c r="A183" s="205"/>
      <c r="B183" s="206"/>
      <c r="C183" s="214"/>
      <c r="D183" s="209" t="str">
        <f>IF(allSellings_table[[#This Row],[Date]]="","",TEXT(allSellings_table[[#This Row],[Date]],"mmmm"))</f>
        <v/>
      </c>
      <c r="E183" s="209"/>
      <c r="F183" s="210"/>
      <c r="H183" s="62"/>
      <c r="I183" s="227"/>
      <c r="J183" s="186"/>
      <c r="K183" s="53"/>
      <c r="L183" s="53"/>
      <c r="M183" s="53"/>
    </row>
    <row r="184" spans="1:13" x14ac:dyDescent="0.3">
      <c r="A184" s="205"/>
      <c r="B184" s="206"/>
      <c r="C184" s="214"/>
      <c r="D184" s="209" t="str">
        <f>IF(allSellings_table[[#This Row],[Date]]="","",TEXT(allSellings_table[[#This Row],[Date]],"mmmm"))</f>
        <v/>
      </c>
      <c r="E184" s="209"/>
      <c r="F184" s="210"/>
      <c r="H184" s="69"/>
      <c r="I184" s="228"/>
      <c r="J184" s="188"/>
      <c r="K184" s="54"/>
      <c r="L184" s="54"/>
      <c r="M184" s="54"/>
    </row>
    <row r="185" spans="1:13" x14ac:dyDescent="0.3">
      <c r="A185" s="205"/>
      <c r="B185" s="206"/>
      <c r="C185" s="214"/>
      <c r="D185" s="209" t="str">
        <f>IF(allSellings_table[[#This Row],[Date]]="","",TEXT(allSellings_table[[#This Row],[Date]],"mmmm"))</f>
        <v/>
      </c>
      <c r="E185" s="209"/>
      <c r="F185" s="210"/>
      <c r="H185" s="62"/>
      <c r="I185" s="227"/>
      <c r="J185" s="186"/>
      <c r="K185" s="53"/>
      <c r="L185" s="53"/>
      <c r="M185" s="53"/>
    </row>
    <row r="186" spans="1:13" x14ac:dyDescent="0.3">
      <c r="A186" s="205"/>
      <c r="B186" s="206"/>
      <c r="C186" s="214"/>
      <c r="D186" s="209" t="str">
        <f>IF(allSellings_table[[#This Row],[Date]]="","",TEXT(allSellings_table[[#This Row],[Date]],"mmmm"))</f>
        <v/>
      </c>
      <c r="E186" s="209"/>
      <c r="F186" s="210"/>
      <c r="H186" s="69"/>
      <c r="I186" s="228"/>
      <c r="J186" s="188"/>
      <c r="K186" s="54"/>
      <c r="L186" s="54"/>
      <c r="M186" s="54"/>
    </row>
    <row r="187" spans="1:13" x14ac:dyDescent="0.3">
      <c r="A187" s="205"/>
      <c r="B187" s="206"/>
      <c r="C187" s="214"/>
      <c r="D187" s="209" t="str">
        <f>IF(allSellings_table[[#This Row],[Date]]="","",TEXT(allSellings_table[[#This Row],[Date]],"mmmm"))</f>
        <v/>
      </c>
      <c r="E187" s="209"/>
      <c r="F187" s="210"/>
      <c r="H187" s="62"/>
      <c r="I187" s="227"/>
      <c r="J187" s="186"/>
      <c r="K187" s="53"/>
      <c r="L187" s="53"/>
      <c r="M187" s="53"/>
    </row>
    <row r="188" spans="1:13" x14ac:dyDescent="0.3">
      <c r="A188" s="205"/>
      <c r="B188" s="206"/>
      <c r="C188" s="214"/>
      <c r="D188" s="209" t="str">
        <f>IF(allSellings_table[[#This Row],[Date]]="","",TEXT(allSellings_table[[#This Row],[Date]],"mmmm"))</f>
        <v/>
      </c>
      <c r="E188" s="209"/>
      <c r="F188" s="210"/>
      <c r="H188" s="69"/>
      <c r="I188" s="228"/>
      <c r="J188" s="188"/>
      <c r="K188" s="54"/>
      <c r="L188" s="54"/>
      <c r="M188" s="54"/>
    </row>
    <row r="189" spans="1:13" x14ac:dyDescent="0.3">
      <c r="A189" s="205"/>
      <c r="B189" s="206"/>
      <c r="C189" s="214"/>
      <c r="D189" s="209" t="str">
        <f>IF(allSellings_table[[#This Row],[Date]]="","",TEXT(allSellings_table[[#This Row],[Date]],"mmmm"))</f>
        <v/>
      </c>
      <c r="E189" s="209"/>
      <c r="F189" s="210"/>
      <c r="H189" s="62"/>
      <c r="I189" s="227"/>
      <c r="J189" s="186"/>
      <c r="K189" s="53"/>
      <c r="L189" s="53"/>
      <c r="M189" s="53"/>
    </row>
    <row r="190" spans="1:13" x14ac:dyDescent="0.3">
      <c r="A190" s="205"/>
      <c r="B190" s="206"/>
      <c r="C190" s="214"/>
      <c r="D190" s="209" t="str">
        <f>IF(allSellings_table[[#This Row],[Date]]="","",TEXT(allSellings_table[[#This Row],[Date]],"mmmm"))</f>
        <v/>
      </c>
      <c r="E190" s="209"/>
      <c r="F190" s="210"/>
      <c r="H190" s="69"/>
      <c r="I190" s="228"/>
      <c r="J190" s="188"/>
      <c r="K190" s="54"/>
      <c r="L190" s="54"/>
      <c r="M190" s="54"/>
    </row>
    <row r="191" spans="1:13" x14ac:dyDescent="0.3">
      <c r="A191" s="205"/>
      <c r="B191" s="206"/>
      <c r="C191" s="214"/>
      <c r="D191" s="209" t="str">
        <f>IF(allSellings_table[[#This Row],[Date]]="","",TEXT(allSellings_table[[#This Row],[Date]],"mmmm"))</f>
        <v/>
      </c>
      <c r="E191" s="209"/>
      <c r="F191" s="210"/>
      <c r="H191" s="62"/>
      <c r="I191" s="227"/>
      <c r="J191" s="186"/>
      <c r="K191" s="53"/>
      <c r="L191" s="53"/>
      <c r="M191" s="53"/>
    </row>
    <row r="192" spans="1:13" x14ac:dyDescent="0.3">
      <c r="A192" s="205"/>
      <c r="B192" s="206"/>
      <c r="C192" s="214"/>
      <c r="D192" s="209" t="str">
        <f>IF(allSellings_table[[#This Row],[Date]]="","",TEXT(allSellings_table[[#This Row],[Date]],"mmmm"))</f>
        <v/>
      </c>
      <c r="E192" s="209"/>
      <c r="F192" s="210"/>
      <c r="H192" s="69"/>
      <c r="I192" s="228"/>
      <c r="J192" s="188"/>
      <c r="K192" s="54"/>
      <c r="L192" s="54"/>
      <c r="M192" s="54"/>
    </row>
    <row r="193" spans="1:13" x14ac:dyDescent="0.3">
      <c r="A193" s="205"/>
      <c r="B193" s="206"/>
      <c r="C193" s="214"/>
      <c r="D193" s="209" t="str">
        <f>IF(allSellings_table[[#This Row],[Date]]="","",TEXT(allSellings_table[[#This Row],[Date]],"mmmm"))</f>
        <v/>
      </c>
      <c r="E193" s="209"/>
      <c r="F193" s="210"/>
      <c r="H193" s="62"/>
      <c r="I193" s="227"/>
      <c r="J193" s="186"/>
      <c r="K193" s="53"/>
      <c r="L193" s="53"/>
      <c r="M193" s="53"/>
    </row>
    <row r="194" spans="1:13" x14ac:dyDescent="0.3">
      <c r="A194" s="205"/>
      <c r="B194" s="206"/>
      <c r="C194" s="214"/>
      <c r="D194" s="209" t="str">
        <f>IF(allSellings_table[[#This Row],[Date]]="","",TEXT(allSellings_table[[#This Row],[Date]],"mmmm"))</f>
        <v/>
      </c>
      <c r="E194" s="209"/>
      <c r="F194" s="210"/>
      <c r="H194" s="69"/>
      <c r="I194" s="228"/>
      <c r="J194" s="188"/>
      <c r="K194" s="54"/>
      <c r="L194" s="54"/>
      <c r="M194" s="54"/>
    </row>
    <row r="195" spans="1:13" x14ac:dyDescent="0.3">
      <c r="A195" s="205"/>
      <c r="B195" s="206"/>
      <c r="C195" s="214"/>
      <c r="D195" s="209" t="str">
        <f>IF(allSellings_table[[#This Row],[Date]]="","",TEXT(allSellings_table[[#This Row],[Date]],"mmmm"))</f>
        <v/>
      </c>
      <c r="E195" s="209"/>
      <c r="F195" s="210"/>
      <c r="H195" s="62"/>
      <c r="I195" s="227"/>
      <c r="J195" s="186"/>
      <c r="K195" s="53"/>
      <c r="L195" s="53"/>
      <c r="M195" s="53"/>
    </row>
    <row r="196" spans="1:13" x14ac:dyDescent="0.3">
      <c r="A196" s="205"/>
      <c r="B196" s="206"/>
      <c r="C196" s="214"/>
      <c r="D196" s="209" t="str">
        <f>IF(allSellings_table[[#This Row],[Date]]="","",TEXT(allSellings_table[[#This Row],[Date]],"mmmm"))</f>
        <v/>
      </c>
      <c r="E196" s="209"/>
      <c r="F196" s="210"/>
      <c r="H196" s="69"/>
      <c r="I196" s="228"/>
      <c r="J196" s="188"/>
      <c r="K196" s="54"/>
      <c r="L196" s="54"/>
      <c r="M196" s="54"/>
    </row>
    <row r="197" spans="1:13" x14ac:dyDescent="0.3">
      <c r="A197" s="205"/>
      <c r="B197" s="206"/>
      <c r="C197" s="214"/>
      <c r="D197" s="209" t="str">
        <f>IF(allSellings_table[[#This Row],[Date]]="","",TEXT(allSellings_table[[#This Row],[Date]],"mmmm"))</f>
        <v/>
      </c>
      <c r="E197" s="209"/>
      <c r="F197" s="210"/>
      <c r="H197" s="62"/>
      <c r="I197" s="227"/>
      <c r="J197" s="186"/>
      <c r="K197" s="53"/>
      <c r="L197" s="53"/>
      <c r="M197" s="53"/>
    </row>
    <row r="198" spans="1:13" x14ac:dyDescent="0.3">
      <c r="A198" s="205"/>
      <c r="B198" s="206"/>
      <c r="C198" s="214"/>
      <c r="D198" s="209" t="str">
        <f>IF(allSellings_table[[#This Row],[Date]]="","",TEXT(allSellings_table[[#This Row],[Date]],"mmmm"))</f>
        <v/>
      </c>
      <c r="E198" s="209"/>
      <c r="F198" s="210"/>
      <c r="H198" s="69"/>
      <c r="I198" s="228"/>
      <c r="J198" s="188"/>
      <c r="K198" s="54"/>
      <c r="L198" s="54"/>
      <c r="M198" s="54"/>
    </row>
    <row r="199" spans="1:13" x14ac:dyDescent="0.3">
      <c r="A199" s="205"/>
      <c r="B199" s="206"/>
      <c r="C199" s="214"/>
      <c r="D199" s="209" t="str">
        <f>IF(allSellings_table[[#This Row],[Date]]="","",TEXT(allSellings_table[[#This Row],[Date]],"mmmm"))</f>
        <v/>
      </c>
      <c r="E199" s="209"/>
      <c r="F199" s="210"/>
      <c r="H199" s="62"/>
      <c r="I199" s="227"/>
      <c r="J199" s="186"/>
      <c r="K199" s="53"/>
      <c r="L199" s="53"/>
      <c r="M199" s="53"/>
    </row>
    <row r="200" spans="1:13" x14ac:dyDescent="0.3">
      <c r="A200" s="205"/>
      <c r="B200" s="206"/>
      <c r="C200" s="214"/>
      <c r="D200" s="209" t="str">
        <f>IF(allSellings_table[[#This Row],[Date]]="","",TEXT(allSellings_table[[#This Row],[Date]],"mmmm"))</f>
        <v/>
      </c>
      <c r="E200" s="209"/>
      <c r="F200" s="210"/>
      <c r="H200" s="69"/>
      <c r="I200" s="228"/>
      <c r="J200" s="188"/>
      <c r="K200" s="54"/>
      <c r="L200" s="54"/>
      <c r="M200" s="54"/>
    </row>
    <row r="201" spans="1:13" x14ac:dyDescent="0.3">
      <c r="A201" s="205"/>
      <c r="B201" s="206"/>
      <c r="C201" s="214"/>
      <c r="D201" s="209" t="str">
        <f>IF(allSellings_table[[#This Row],[Date]]="","",TEXT(allSellings_table[[#This Row],[Date]],"mmmm"))</f>
        <v/>
      </c>
      <c r="E201" s="209"/>
      <c r="F201" s="210"/>
      <c r="H201" s="62"/>
      <c r="I201" s="227"/>
      <c r="J201" s="186"/>
      <c r="K201" s="53"/>
      <c r="L201" s="53"/>
      <c r="M201" s="53"/>
    </row>
    <row r="202" spans="1:13" x14ac:dyDescent="0.3">
      <c r="A202" s="205"/>
      <c r="B202" s="206"/>
      <c r="C202" s="214"/>
      <c r="D202" s="209" t="str">
        <f>IF(allSellings_table[[#This Row],[Date]]="","",TEXT(allSellings_table[[#This Row],[Date]],"mmmm"))</f>
        <v/>
      </c>
      <c r="E202" s="209"/>
      <c r="F202" s="210"/>
      <c r="H202" s="69"/>
      <c r="I202" s="228"/>
      <c r="J202" s="188"/>
      <c r="K202" s="54"/>
      <c r="L202" s="54"/>
      <c r="M202" s="54"/>
    </row>
    <row r="203" spans="1:13" x14ac:dyDescent="0.3">
      <c r="A203" s="205"/>
      <c r="B203" s="206"/>
      <c r="C203" s="214"/>
      <c r="D203" s="209" t="str">
        <f>IF(allSellings_table[[#This Row],[Date]]="","",TEXT(allSellings_table[[#This Row],[Date]],"mmmm"))</f>
        <v/>
      </c>
      <c r="E203" s="209"/>
      <c r="F203" s="210"/>
      <c r="H203" s="62"/>
      <c r="I203" s="227"/>
      <c r="J203" s="186"/>
      <c r="K203" s="53"/>
      <c r="L203" s="53"/>
      <c r="M203" s="53"/>
    </row>
    <row r="204" spans="1:13" x14ac:dyDescent="0.3">
      <c r="A204" s="205"/>
      <c r="B204" s="206"/>
      <c r="C204" s="214"/>
      <c r="D204" s="209" t="str">
        <f>IF(allSellings_table[[#This Row],[Date]]="","",TEXT(allSellings_table[[#This Row],[Date]],"mmmm"))</f>
        <v/>
      </c>
      <c r="E204" s="209"/>
      <c r="F204" s="210"/>
      <c r="H204" s="69"/>
      <c r="I204" s="228"/>
      <c r="J204" s="188"/>
      <c r="K204" s="54"/>
      <c r="L204" s="54"/>
      <c r="M204" s="54"/>
    </row>
    <row r="205" spans="1:13" x14ac:dyDescent="0.3">
      <c r="A205" s="205"/>
      <c r="B205" s="206"/>
      <c r="C205" s="214"/>
      <c r="D205" s="209" t="str">
        <f>IF(allSellings_table[[#This Row],[Date]]="","",TEXT(allSellings_table[[#This Row],[Date]],"mmmm"))</f>
        <v/>
      </c>
      <c r="E205" s="209"/>
      <c r="F205" s="210"/>
      <c r="H205" s="62"/>
      <c r="I205" s="227"/>
      <c r="J205" s="186"/>
      <c r="K205" s="53"/>
      <c r="L205" s="53"/>
      <c r="M205" s="53"/>
    </row>
    <row r="206" spans="1:13" x14ac:dyDescent="0.3">
      <c r="A206" s="205"/>
      <c r="B206" s="206"/>
      <c r="C206" s="214"/>
      <c r="D206" s="209" t="str">
        <f>IF(allSellings_table[[#This Row],[Date]]="","",TEXT(allSellings_table[[#This Row],[Date]],"mmmm"))</f>
        <v/>
      </c>
      <c r="E206" s="209"/>
      <c r="F206" s="210"/>
      <c r="H206" s="69"/>
      <c r="I206" s="228"/>
      <c r="J206" s="188"/>
      <c r="K206" s="54"/>
      <c r="L206" s="54"/>
      <c r="M206" s="54"/>
    </row>
    <row r="207" spans="1:13" x14ac:dyDescent="0.3">
      <c r="A207" s="205"/>
      <c r="B207" s="206"/>
      <c r="C207" s="214"/>
      <c r="D207" s="209" t="str">
        <f>IF(allSellings_table[[#This Row],[Date]]="","",TEXT(allSellings_table[[#This Row],[Date]],"mmmm"))</f>
        <v/>
      </c>
      <c r="E207" s="209"/>
      <c r="F207" s="210"/>
      <c r="H207" s="62"/>
      <c r="I207" s="227"/>
      <c r="J207" s="186"/>
      <c r="K207" s="53"/>
      <c r="L207" s="53"/>
      <c r="M207" s="53"/>
    </row>
    <row r="208" spans="1:13" x14ac:dyDescent="0.3">
      <c r="A208" s="205"/>
      <c r="B208" s="206"/>
      <c r="C208" s="214"/>
      <c r="D208" s="209" t="str">
        <f>IF(allSellings_table[[#This Row],[Date]]="","",TEXT(allSellings_table[[#This Row],[Date]],"mmmm"))</f>
        <v/>
      </c>
      <c r="E208" s="209"/>
      <c r="F208" s="210"/>
      <c r="H208" s="69"/>
      <c r="I208" s="228"/>
      <c r="J208" s="188"/>
      <c r="K208" s="54"/>
      <c r="L208" s="54"/>
      <c r="M208" s="54"/>
    </row>
    <row r="209" spans="1:13" x14ac:dyDescent="0.3">
      <c r="A209" s="205"/>
      <c r="B209" s="206"/>
      <c r="C209" s="214"/>
      <c r="D209" s="209" t="str">
        <f>IF(allSellings_table[[#This Row],[Date]]="","",TEXT(allSellings_table[[#This Row],[Date]],"mmmm"))</f>
        <v/>
      </c>
      <c r="E209" s="209"/>
      <c r="F209" s="210"/>
      <c r="H209" s="62"/>
      <c r="I209" s="227"/>
      <c r="J209" s="186"/>
      <c r="K209" s="53"/>
      <c r="L209" s="53"/>
      <c r="M209" s="53"/>
    </row>
    <row r="210" spans="1:13" x14ac:dyDescent="0.3">
      <c r="A210" s="205"/>
      <c r="B210" s="206"/>
      <c r="C210" s="214"/>
      <c r="D210" s="209" t="str">
        <f>IF(allSellings_table[[#This Row],[Date]]="","",TEXT(allSellings_table[[#This Row],[Date]],"mmmm"))</f>
        <v/>
      </c>
      <c r="E210" s="209"/>
      <c r="F210" s="210"/>
      <c r="H210" s="69"/>
      <c r="I210" s="228"/>
      <c r="J210" s="188"/>
      <c r="K210" s="54"/>
      <c r="L210" s="54"/>
      <c r="M210" s="54"/>
    </row>
    <row r="211" spans="1:13" x14ac:dyDescent="0.3">
      <c r="A211" s="205"/>
      <c r="B211" s="206"/>
      <c r="C211" s="214"/>
      <c r="D211" s="209" t="str">
        <f>IF(allSellings_table[[#This Row],[Date]]="","",TEXT(allSellings_table[[#This Row],[Date]],"mmmm"))</f>
        <v/>
      </c>
      <c r="E211" s="209"/>
      <c r="F211" s="210"/>
      <c r="H211" s="62"/>
      <c r="I211" s="227"/>
      <c r="J211" s="186"/>
      <c r="K211" s="53"/>
      <c r="L211" s="53"/>
      <c r="M211" s="53"/>
    </row>
    <row r="212" spans="1:13" x14ac:dyDescent="0.3">
      <c r="A212" s="205"/>
      <c r="B212" s="206"/>
      <c r="C212" s="214"/>
      <c r="D212" s="209" t="str">
        <f>IF(allSellings_table[[#This Row],[Date]]="","",TEXT(allSellings_table[[#This Row],[Date]],"mmmm"))</f>
        <v/>
      </c>
      <c r="E212" s="209"/>
      <c r="F212" s="210"/>
      <c r="H212" s="69"/>
      <c r="I212" s="228"/>
      <c r="J212" s="188"/>
      <c r="K212" s="54"/>
      <c r="L212" s="54"/>
      <c r="M212" s="54"/>
    </row>
    <row r="213" spans="1:13" x14ac:dyDescent="0.3">
      <c r="A213" s="205"/>
      <c r="B213" s="206"/>
      <c r="C213" s="214"/>
      <c r="D213" s="209" t="str">
        <f>IF(allSellings_table[[#This Row],[Date]]="","",TEXT(allSellings_table[[#This Row],[Date]],"mmmm"))</f>
        <v/>
      </c>
      <c r="E213" s="209"/>
      <c r="F213" s="210"/>
      <c r="H213" s="62"/>
      <c r="I213" s="227"/>
      <c r="J213" s="186"/>
      <c r="K213" s="53"/>
      <c r="L213" s="53"/>
      <c r="M213" s="53"/>
    </row>
    <row r="214" spans="1:13" x14ac:dyDescent="0.3">
      <c r="A214" s="205"/>
      <c r="B214" s="206"/>
      <c r="C214" s="214"/>
      <c r="D214" s="209" t="str">
        <f>IF(allSellings_table[[#This Row],[Date]]="","",TEXT(allSellings_table[[#This Row],[Date]],"mmmm"))</f>
        <v/>
      </c>
      <c r="E214" s="209"/>
      <c r="F214" s="210"/>
      <c r="H214" s="69"/>
      <c r="I214" s="228"/>
      <c r="J214" s="188"/>
      <c r="K214" s="54"/>
      <c r="L214" s="54"/>
      <c r="M214" s="54"/>
    </row>
    <row r="215" spans="1:13" x14ac:dyDescent="0.3">
      <c r="A215" s="205"/>
      <c r="B215" s="206"/>
      <c r="C215" s="214"/>
      <c r="D215" s="209" t="str">
        <f>IF(allSellings_table[[#This Row],[Date]]="","",TEXT(allSellings_table[[#This Row],[Date]],"mmmm"))</f>
        <v/>
      </c>
      <c r="E215" s="209"/>
      <c r="F215" s="210"/>
      <c r="H215" s="62"/>
      <c r="I215" s="227"/>
      <c r="J215" s="186"/>
      <c r="K215" s="53"/>
      <c r="L215" s="53"/>
      <c r="M215" s="53"/>
    </row>
    <row r="216" spans="1:13" x14ac:dyDescent="0.3">
      <c r="A216" s="205"/>
      <c r="B216" s="206"/>
      <c r="C216" s="214"/>
      <c r="D216" s="209" t="str">
        <f>IF(allSellings_table[[#This Row],[Date]]="","",TEXT(allSellings_table[[#This Row],[Date]],"mmmm"))</f>
        <v/>
      </c>
      <c r="E216" s="209"/>
      <c r="F216" s="210"/>
      <c r="H216" s="69"/>
      <c r="I216" s="228"/>
      <c r="J216" s="188"/>
      <c r="K216" s="54"/>
      <c r="L216" s="54"/>
      <c r="M216" s="54"/>
    </row>
    <row r="217" spans="1:13" x14ac:dyDescent="0.3">
      <c r="A217" s="205"/>
      <c r="B217" s="206"/>
      <c r="C217" s="214"/>
      <c r="D217" s="209" t="str">
        <f>IF(allSellings_table[[#This Row],[Date]]="","",TEXT(allSellings_table[[#This Row],[Date]],"mmmm"))</f>
        <v/>
      </c>
      <c r="E217" s="209"/>
      <c r="F217" s="210"/>
      <c r="H217" s="62"/>
      <c r="I217" s="227"/>
      <c r="J217" s="186"/>
      <c r="K217" s="53"/>
      <c r="L217" s="53"/>
      <c r="M217" s="53"/>
    </row>
    <row r="218" spans="1:13" x14ac:dyDescent="0.3">
      <c r="A218" s="205"/>
      <c r="B218" s="206"/>
      <c r="C218" s="214"/>
      <c r="D218" s="209" t="str">
        <f>IF(allSellings_table[[#This Row],[Date]]="","",TEXT(allSellings_table[[#This Row],[Date]],"mmmm"))</f>
        <v/>
      </c>
      <c r="E218" s="209"/>
      <c r="F218" s="210"/>
      <c r="H218" s="69"/>
      <c r="I218" s="228"/>
      <c r="J218" s="188"/>
      <c r="K218" s="54"/>
      <c r="L218" s="54"/>
      <c r="M218" s="54"/>
    </row>
    <row r="219" spans="1:13" x14ac:dyDescent="0.3">
      <c r="A219" s="205"/>
      <c r="B219" s="206"/>
      <c r="C219" s="214"/>
      <c r="D219" s="209" t="str">
        <f>IF(allSellings_table[[#This Row],[Date]]="","",TEXT(allSellings_table[[#This Row],[Date]],"mmmm"))</f>
        <v/>
      </c>
      <c r="E219" s="209"/>
      <c r="F219" s="210"/>
      <c r="H219" s="62"/>
      <c r="I219" s="227"/>
      <c r="J219" s="186"/>
      <c r="K219" s="53"/>
      <c r="L219" s="53"/>
      <c r="M219" s="53"/>
    </row>
    <row r="220" spans="1:13" x14ac:dyDescent="0.3">
      <c r="A220" s="205"/>
      <c r="B220" s="206"/>
      <c r="C220" s="214"/>
      <c r="D220" s="209" t="str">
        <f>IF(allSellings_table[[#This Row],[Date]]="","",TEXT(allSellings_table[[#This Row],[Date]],"mmmm"))</f>
        <v/>
      </c>
      <c r="E220" s="209"/>
      <c r="F220" s="210"/>
      <c r="H220" s="69"/>
      <c r="I220" s="228"/>
      <c r="J220" s="188"/>
      <c r="K220" s="54"/>
      <c r="L220" s="54"/>
      <c r="M220" s="54"/>
    </row>
    <row r="221" spans="1:13" x14ac:dyDescent="0.3">
      <c r="A221" s="205"/>
      <c r="B221" s="206"/>
      <c r="C221" s="214"/>
      <c r="D221" s="209" t="str">
        <f>IF(allSellings_table[[#This Row],[Date]]="","",TEXT(allSellings_table[[#This Row],[Date]],"mmmm"))</f>
        <v/>
      </c>
      <c r="E221" s="209"/>
      <c r="F221" s="210"/>
      <c r="H221" s="62"/>
      <c r="I221" s="227"/>
      <c r="J221" s="186"/>
      <c r="K221" s="53"/>
      <c r="L221" s="53"/>
      <c r="M221" s="53"/>
    </row>
    <row r="222" spans="1:13" x14ac:dyDescent="0.3">
      <c r="A222" s="205"/>
      <c r="B222" s="206"/>
      <c r="C222" s="214"/>
      <c r="D222" s="209" t="str">
        <f>IF(allSellings_table[[#This Row],[Date]]="","",TEXT(allSellings_table[[#This Row],[Date]],"mmmm"))</f>
        <v/>
      </c>
      <c r="E222" s="209"/>
      <c r="F222" s="210"/>
      <c r="H222" s="69"/>
      <c r="I222" s="228"/>
      <c r="J222" s="188"/>
      <c r="K222" s="54"/>
      <c r="L222" s="54"/>
      <c r="M222" s="54"/>
    </row>
    <row r="223" spans="1:13" x14ac:dyDescent="0.3">
      <c r="A223" s="205"/>
      <c r="B223" s="206"/>
      <c r="C223" s="214"/>
      <c r="D223" s="209" t="str">
        <f>IF(allSellings_table[[#This Row],[Date]]="","",TEXT(allSellings_table[[#This Row],[Date]],"mmmm"))</f>
        <v/>
      </c>
      <c r="E223" s="209"/>
      <c r="F223" s="210"/>
      <c r="H223" s="62"/>
      <c r="I223" s="227"/>
      <c r="J223" s="186"/>
      <c r="K223" s="53"/>
      <c r="L223" s="53"/>
      <c r="M223" s="53"/>
    </row>
    <row r="224" spans="1:13" x14ac:dyDescent="0.3">
      <c r="A224" s="205"/>
      <c r="B224" s="206"/>
      <c r="C224" s="214"/>
      <c r="D224" s="209" t="str">
        <f>IF(allSellings_table[[#This Row],[Date]]="","",TEXT(allSellings_table[[#This Row],[Date]],"mmmm"))</f>
        <v/>
      </c>
      <c r="E224" s="209"/>
      <c r="F224" s="210"/>
      <c r="H224" s="69"/>
      <c r="I224" s="228"/>
      <c r="J224" s="188"/>
      <c r="K224" s="54"/>
      <c r="L224" s="54"/>
      <c r="M224" s="54"/>
    </row>
    <row r="225" spans="1:13" x14ac:dyDescent="0.3">
      <c r="A225" s="205"/>
      <c r="B225" s="206"/>
      <c r="C225" s="214"/>
      <c r="D225" s="209" t="str">
        <f>IF(allSellings_table[[#This Row],[Date]]="","",TEXT(allSellings_table[[#This Row],[Date]],"mmmm"))</f>
        <v/>
      </c>
      <c r="E225" s="209"/>
      <c r="F225" s="210"/>
      <c r="H225" s="62"/>
      <c r="I225" s="227"/>
      <c r="J225" s="186"/>
      <c r="K225" s="53"/>
      <c r="L225" s="53"/>
      <c r="M225" s="53"/>
    </row>
    <row r="226" spans="1:13" x14ac:dyDescent="0.3">
      <c r="A226" s="205"/>
      <c r="B226" s="206"/>
      <c r="C226" s="214"/>
      <c r="D226" s="209" t="str">
        <f>IF(allSellings_table[[#This Row],[Date]]="","",TEXT(allSellings_table[[#This Row],[Date]],"mmmm"))</f>
        <v/>
      </c>
      <c r="E226" s="209"/>
      <c r="F226" s="210"/>
      <c r="H226" s="69"/>
      <c r="I226" s="228"/>
      <c r="J226" s="188"/>
      <c r="K226" s="54"/>
      <c r="L226" s="54"/>
      <c r="M226" s="54"/>
    </row>
    <row r="227" spans="1:13" x14ac:dyDescent="0.3">
      <c r="A227" s="205"/>
      <c r="B227" s="206"/>
      <c r="C227" s="214"/>
      <c r="D227" s="209" t="str">
        <f>IF(allSellings_table[[#This Row],[Date]]="","",TEXT(allSellings_table[[#This Row],[Date]],"mmmm"))</f>
        <v/>
      </c>
      <c r="E227" s="209"/>
      <c r="F227" s="210"/>
      <c r="H227" s="62"/>
      <c r="I227" s="227"/>
      <c r="J227" s="186"/>
      <c r="K227" s="53"/>
      <c r="L227" s="53"/>
      <c r="M227" s="53"/>
    </row>
    <row r="228" spans="1:13" x14ac:dyDescent="0.3">
      <c r="A228" s="205"/>
      <c r="B228" s="206"/>
      <c r="C228" s="214"/>
      <c r="D228" s="209" t="str">
        <f>IF(allSellings_table[[#This Row],[Date]]="","",TEXT(allSellings_table[[#This Row],[Date]],"mmmm"))</f>
        <v/>
      </c>
      <c r="E228" s="209"/>
      <c r="F228" s="210"/>
      <c r="H228" s="69"/>
      <c r="I228" s="228"/>
      <c r="J228" s="188"/>
      <c r="K228" s="54"/>
      <c r="L228" s="54"/>
      <c r="M228" s="54"/>
    </row>
    <row r="229" spans="1:13" x14ac:dyDescent="0.3">
      <c r="A229" s="205"/>
      <c r="B229" s="206"/>
      <c r="C229" s="214"/>
      <c r="D229" s="209" t="str">
        <f>IF(allSellings_table[[#This Row],[Date]]="","",TEXT(allSellings_table[[#This Row],[Date]],"mmmm"))</f>
        <v/>
      </c>
      <c r="E229" s="209"/>
      <c r="F229" s="210"/>
      <c r="H229" s="62"/>
      <c r="I229" s="227"/>
      <c r="J229" s="186"/>
      <c r="K229" s="53"/>
      <c r="L229" s="53"/>
      <c r="M229" s="53"/>
    </row>
    <row r="230" spans="1:13" x14ac:dyDescent="0.3">
      <c r="A230" s="205"/>
      <c r="B230" s="206"/>
      <c r="C230" s="214"/>
      <c r="D230" s="209" t="str">
        <f>IF(allSellings_table[[#This Row],[Date]]="","",TEXT(allSellings_table[[#This Row],[Date]],"mmmm"))</f>
        <v/>
      </c>
      <c r="E230" s="209"/>
      <c r="F230" s="210"/>
      <c r="H230" s="69"/>
      <c r="I230" s="228"/>
      <c r="J230" s="188"/>
      <c r="K230" s="54"/>
      <c r="L230" s="54"/>
      <c r="M230" s="54"/>
    </row>
    <row r="231" spans="1:13" x14ac:dyDescent="0.3">
      <c r="A231" s="205"/>
      <c r="B231" s="206"/>
      <c r="C231" s="214"/>
      <c r="D231" s="209" t="str">
        <f>IF(allSellings_table[[#This Row],[Date]]="","",TEXT(allSellings_table[[#This Row],[Date]],"mmmm"))</f>
        <v/>
      </c>
      <c r="E231" s="209"/>
      <c r="F231" s="210"/>
      <c r="H231" s="62"/>
      <c r="I231" s="227"/>
      <c r="J231" s="186"/>
      <c r="K231" s="53"/>
      <c r="L231" s="53"/>
      <c r="M231" s="53"/>
    </row>
    <row r="232" spans="1:13" x14ac:dyDescent="0.3">
      <c r="A232" s="205"/>
      <c r="B232" s="206"/>
      <c r="C232" s="214"/>
      <c r="D232" s="209" t="str">
        <f>IF(allSellings_table[[#This Row],[Date]]="","",TEXT(allSellings_table[[#This Row],[Date]],"mmmm"))</f>
        <v/>
      </c>
      <c r="E232" s="209"/>
      <c r="F232" s="210"/>
      <c r="H232" s="69"/>
      <c r="I232" s="228"/>
      <c r="J232" s="188"/>
      <c r="K232" s="54"/>
      <c r="L232" s="54"/>
      <c r="M232" s="54"/>
    </row>
    <row r="233" spans="1:13" x14ac:dyDescent="0.3">
      <c r="A233" s="205"/>
      <c r="B233" s="206"/>
      <c r="C233" s="214"/>
      <c r="D233" s="209" t="str">
        <f>IF(allSellings_table[[#This Row],[Date]]="","",TEXT(allSellings_table[[#This Row],[Date]],"mmmm"))</f>
        <v/>
      </c>
      <c r="E233" s="209"/>
      <c r="F233" s="210"/>
      <c r="H233" s="62"/>
      <c r="I233" s="227"/>
      <c r="J233" s="186"/>
      <c r="K233" s="53"/>
      <c r="L233" s="53"/>
      <c r="M233" s="53"/>
    </row>
    <row r="234" spans="1:13" x14ac:dyDescent="0.3">
      <c r="A234" s="205"/>
      <c r="B234" s="206"/>
      <c r="C234" s="214"/>
      <c r="D234" s="209" t="str">
        <f>IF(allSellings_table[[#This Row],[Date]]="","",TEXT(allSellings_table[[#This Row],[Date]],"mmmm"))</f>
        <v/>
      </c>
      <c r="E234" s="209"/>
      <c r="F234" s="210"/>
      <c r="H234" s="69"/>
      <c r="I234" s="228"/>
      <c r="J234" s="188"/>
      <c r="K234" s="54"/>
      <c r="L234" s="54"/>
      <c r="M234" s="54"/>
    </row>
    <row r="235" spans="1:13" x14ac:dyDescent="0.3">
      <c r="A235" s="205"/>
      <c r="B235" s="206"/>
      <c r="C235" s="214"/>
      <c r="D235" s="209" t="str">
        <f>IF(allSellings_table[[#This Row],[Date]]="","",TEXT(allSellings_table[[#This Row],[Date]],"mmmm"))</f>
        <v/>
      </c>
      <c r="E235" s="209"/>
      <c r="F235" s="210"/>
      <c r="H235" s="62"/>
      <c r="I235" s="227"/>
      <c r="J235" s="186"/>
      <c r="K235" s="53"/>
      <c r="L235" s="53"/>
      <c r="M235" s="53"/>
    </row>
    <row r="236" spans="1:13" x14ac:dyDescent="0.3">
      <c r="A236" s="205"/>
      <c r="B236" s="206"/>
      <c r="C236" s="214"/>
      <c r="D236" s="209" t="str">
        <f>IF(allSellings_table[[#This Row],[Date]]="","",TEXT(allSellings_table[[#This Row],[Date]],"mmmm"))</f>
        <v/>
      </c>
      <c r="E236" s="209"/>
      <c r="F236" s="210"/>
      <c r="H236" s="69"/>
      <c r="I236" s="228"/>
      <c r="J236" s="188"/>
      <c r="K236" s="54"/>
      <c r="L236" s="54"/>
      <c r="M236" s="54"/>
    </row>
    <row r="237" spans="1:13" x14ac:dyDescent="0.3">
      <c r="A237" s="205"/>
      <c r="B237" s="206"/>
      <c r="C237" s="214"/>
      <c r="D237" s="209" t="str">
        <f>IF(allSellings_table[[#This Row],[Date]]="","",TEXT(allSellings_table[[#This Row],[Date]],"mmmm"))</f>
        <v/>
      </c>
      <c r="E237" s="209"/>
      <c r="F237" s="210"/>
      <c r="H237" s="62"/>
      <c r="I237" s="227"/>
      <c r="J237" s="186"/>
      <c r="K237" s="53"/>
      <c r="L237" s="53"/>
      <c r="M237" s="53"/>
    </row>
    <row r="238" spans="1:13" x14ac:dyDescent="0.3">
      <c r="A238" s="205"/>
      <c r="B238" s="206"/>
      <c r="C238" s="214"/>
      <c r="D238" s="209" t="str">
        <f>IF(allSellings_table[[#This Row],[Date]]="","",TEXT(allSellings_table[[#This Row],[Date]],"mmmm"))</f>
        <v/>
      </c>
      <c r="E238" s="209"/>
      <c r="F238" s="210"/>
      <c r="H238" s="69"/>
      <c r="I238" s="228"/>
      <c r="J238" s="188"/>
      <c r="K238" s="54"/>
      <c r="L238" s="54"/>
      <c r="M238" s="54"/>
    </row>
    <row r="239" spans="1:13" x14ac:dyDescent="0.3">
      <c r="A239" s="205"/>
      <c r="B239" s="206"/>
      <c r="C239" s="214"/>
      <c r="D239" s="209" t="str">
        <f>IF(allSellings_table[[#This Row],[Date]]="","",TEXT(allSellings_table[[#This Row],[Date]],"mmmm"))</f>
        <v/>
      </c>
      <c r="E239" s="209"/>
      <c r="F239" s="210"/>
      <c r="H239" s="62"/>
      <c r="I239" s="227"/>
      <c r="J239" s="186"/>
      <c r="K239" s="53"/>
      <c r="L239" s="53"/>
      <c r="M239" s="53"/>
    </row>
    <row r="240" spans="1:13" x14ac:dyDescent="0.3">
      <c r="A240" s="205"/>
      <c r="B240" s="206"/>
      <c r="C240" s="214"/>
      <c r="D240" s="209" t="str">
        <f>IF(allSellings_table[[#This Row],[Date]]="","",TEXT(allSellings_table[[#This Row],[Date]],"mmmm"))</f>
        <v/>
      </c>
      <c r="E240" s="209"/>
      <c r="F240" s="210"/>
      <c r="H240" s="69"/>
      <c r="I240" s="228"/>
      <c r="J240" s="188"/>
      <c r="K240" s="54"/>
      <c r="L240" s="54"/>
      <c r="M240" s="54"/>
    </row>
    <row r="241" spans="1:13" x14ac:dyDescent="0.3">
      <c r="A241" s="205"/>
      <c r="B241" s="206"/>
      <c r="C241" s="214"/>
      <c r="D241" s="209" t="str">
        <f>IF(allSellings_table[[#This Row],[Date]]="","",TEXT(allSellings_table[[#This Row],[Date]],"mmmm"))</f>
        <v/>
      </c>
      <c r="E241" s="209"/>
      <c r="F241" s="210"/>
      <c r="H241" s="62"/>
      <c r="I241" s="227"/>
      <c r="J241" s="186"/>
      <c r="K241" s="53"/>
      <c r="L241" s="53"/>
      <c r="M241" s="53"/>
    </row>
    <row r="242" spans="1:13" x14ac:dyDescent="0.3">
      <c r="A242" s="205"/>
      <c r="B242" s="206"/>
      <c r="C242" s="214"/>
      <c r="D242" s="209" t="str">
        <f>IF(allSellings_table[[#This Row],[Date]]="","",TEXT(allSellings_table[[#This Row],[Date]],"mmmm"))</f>
        <v/>
      </c>
      <c r="E242" s="209"/>
      <c r="F242" s="210"/>
      <c r="H242" s="69"/>
      <c r="I242" s="228"/>
      <c r="J242" s="188"/>
      <c r="K242" s="54"/>
      <c r="L242" s="54"/>
      <c r="M242" s="54"/>
    </row>
    <row r="243" spans="1:13" x14ac:dyDescent="0.3">
      <c r="A243" s="205"/>
      <c r="B243" s="206"/>
      <c r="C243" s="214"/>
      <c r="D243" s="209" t="str">
        <f>IF(allSellings_table[[#This Row],[Date]]="","",TEXT(allSellings_table[[#This Row],[Date]],"mmmm"))</f>
        <v/>
      </c>
      <c r="E243" s="209"/>
      <c r="F243" s="210"/>
      <c r="H243" s="62"/>
      <c r="I243" s="227"/>
      <c r="J243" s="186"/>
      <c r="K243" s="53"/>
      <c r="L243" s="53"/>
      <c r="M243" s="53"/>
    </row>
    <row r="244" spans="1:13" x14ac:dyDescent="0.3">
      <c r="A244" s="205"/>
      <c r="B244" s="206"/>
      <c r="C244" s="214"/>
      <c r="D244" s="209" t="str">
        <f>IF(allSellings_table[[#This Row],[Date]]="","",TEXT(allSellings_table[[#This Row],[Date]],"mmmm"))</f>
        <v/>
      </c>
      <c r="E244" s="209"/>
      <c r="F244" s="210"/>
      <c r="H244" s="69"/>
      <c r="I244" s="228"/>
      <c r="J244" s="188"/>
      <c r="K244" s="54"/>
      <c r="L244" s="54"/>
      <c r="M244" s="54"/>
    </row>
    <row r="245" spans="1:13" x14ac:dyDescent="0.3">
      <c r="A245" s="205"/>
      <c r="B245" s="206"/>
      <c r="C245" s="214"/>
      <c r="D245" s="209" t="str">
        <f>IF(allSellings_table[[#This Row],[Date]]="","",TEXT(allSellings_table[[#This Row],[Date]],"mmmm"))</f>
        <v/>
      </c>
      <c r="E245" s="209"/>
      <c r="F245" s="210"/>
      <c r="H245" s="62"/>
      <c r="I245" s="227"/>
      <c r="J245" s="186"/>
      <c r="K245" s="53"/>
      <c r="L245" s="53"/>
      <c r="M245" s="53"/>
    </row>
    <row r="246" spans="1:13" x14ac:dyDescent="0.3">
      <c r="A246" s="205"/>
      <c r="B246" s="206"/>
      <c r="C246" s="214"/>
      <c r="D246" s="209" t="str">
        <f>IF(allSellings_table[[#This Row],[Date]]="","",TEXT(allSellings_table[[#This Row],[Date]],"mmmm"))</f>
        <v/>
      </c>
      <c r="E246" s="209"/>
      <c r="F246" s="210"/>
      <c r="H246" s="69"/>
      <c r="I246" s="228"/>
      <c r="J246" s="188"/>
      <c r="K246" s="54"/>
      <c r="L246" s="54"/>
      <c r="M246" s="54"/>
    </row>
    <row r="247" spans="1:13" x14ac:dyDescent="0.3">
      <c r="A247" s="205"/>
      <c r="B247" s="206"/>
      <c r="C247" s="214"/>
      <c r="D247" s="209" t="str">
        <f>IF(allSellings_table[[#This Row],[Date]]="","",TEXT(allSellings_table[[#This Row],[Date]],"mmmm"))</f>
        <v/>
      </c>
      <c r="E247" s="209"/>
      <c r="F247" s="210"/>
      <c r="H247" s="62"/>
      <c r="I247" s="227"/>
      <c r="J247" s="186"/>
      <c r="K247" s="53"/>
      <c r="L247" s="53"/>
      <c r="M247" s="53"/>
    </row>
    <row r="248" spans="1:13" x14ac:dyDescent="0.3">
      <c r="A248" s="205"/>
      <c r="B248" s="206"/>
      <c r="C248" s="214"/>
      <c r="D248" s="209" t="str">
        <f>IF(allSellings_table[[#This Row],[Date]]="","",TEXT(allSellings_table[[#This Row],[Date]],"mmmm"))</f>
        <v/>
      </c>
      <c r="E248" s="209"/>
      <c r="F248" s="210"/>
      <c r="H248" s="69"/>
      <c r="I248" s="228"/>
      <c r="J248" s="188"/>
      <c r="K248" s="54"/>
      <c r="L248" s="54"/>
      <c r="M248" s="54"/>
    </row>
    <row r="249" spans="1:13" x14ac:dyDescent="0.3">
      <c r="A249" s="205"/>
      <c r="B249" s="206"/>
      <c r="C249" s="214"/>
      <c r="D249" s="209" t="str">
        <f>IF(allSellings_table[[#This Row],[Date]]="","",TEXT(allSellings_table[[#This Row],[Date]],"mmmm"))</f>
        <v/>
      </c>
      <c r="E249" s="209"/>
      <c r="F249" s="210"/>
      <c r="H249" s="62"/>
      <c r="I249" s="227"/>
      <c r="J249" s="186"/>
      <c r="K249" s="53"/>
      <c r="L249" s="53"/>
      <c r="M249" s="53"/>
    </row>
    <row r="250" spans="1:13" x14ac:dyDescent="0.3">
      <c r="A250" s="205"/>
      <c r="B250" s="206"/>
      <c r="C250" s="214"/>
      <c r="D250" s="209" t="str">
        <f>IF(allSellings_table[[#This Row],[Date]]="","",TEXT(allSellings_table[[#This Row],[Date]],"mmmm"))</f>
        <v/>
      </c>
      <c r="E250" s="209"/>
      <c r="F250" s="210"/>
      <c r="H250" s="69"/>
      <c r="I250" s="228"/>
      <c r="J250" s="188"/>
      <c r="K250" s="54"/>
      <c r="L250" s="54"/>
      <c r="M250" s="54"/>
    </row>
    <row r="251" spans="1:13" x14ac:dyDescent="0.3">
      <c r="A251" s="205"/>
      <c r="B251" s="206"/>
      <c r="C251" s="214"/>
      <c r="D251" s="209" t="str">
        <f>IF(allSellings_table[[#This Row],[Date]]="","",TEXT(allSellings_table[[#This Row],[Date]],"mmmm"))</f>
        <v/>
      </c>
      <c r="E251" s="209"/>
      <c r="F251" s="210"/>
      <c r="H251" s="62"/>
      <c r="I251" s="227"/>
      <c r="J251" s="186"/>
      <c r="K251" s="53"/>
      <c r="L251" s="53"/>
      <c r="M251" s="53"/>
    </row>
    <row r="252" spans="1:13" x14ac:dyDescent="0.3">
      <c r="A252" s="205"/>
      <c r="B252" s="206"/>
      <c r="C252" s="214"/>
      <c r="D252" s="209" t="str">
        <f>IF(allSellings_table[[#This Row],[Date]]="","",TEXT(allSellings_table[[#This Row],[Date]],"mmmm"))</f>
        <v/>
      </c>
      <c r="E252" s="209"/>
      <c r="F252" s="210"/>
      <c r="H252" s="69"/>
      <c r="I252" s="228"/>
      <c r="J252" s="188"/>
      <c r="K252" s="54"/>
      <c r="L252" s="54"/>
      <c r="M252" s="54"/>
    </row>
    <row r="253" spans="1:13" x14ac:dyDescent="0.3">
      <c r="A253" s="205"/>
      <c r="B253" s="206"/>
      <c r="C253" s="214"/>
      <c r="D253" s="209" t="str">
        <f>IF(allSellings_table[[#This Row],[Date]]="","",TEXT(allSellings_table[[#This Row],[Date]],"mmmm"))</f>
        <v/>
      </c>
      <c r="E253" s="209"/>
      <c r="F253" s="210"/>
      <c r="H253" s="62"/>
      <c r="I253" s="227"/>
      <c r="J253" s="186"/>
      <c r="K253" s="53"/>
      <c r="L253" s="53"/>
      <c r="M253" s="53"/>
    </row>
    <row r="254" spans="1:13" x14ac:dyDescent="0.3">
      <c r="A254" s="205"/>
      <c r="B254" s="206"/>
      <c r="C254" s="214"/>
      <c r="D254" s="209" t="str">
        <f>IF(allSellings_table[[#This Row],[Date]]="","",TEXT(allSellings_table[[#This Row],[Date]],"mmmm"))</f>
        <v/>
      </c>
      <c r="E254" s="209"/>
      <c r="F254" s="210"/>
      <c r="H254" s="69"/>
      <c r="I254" s="228"/>
      <c r="J254" s="188"/>
      <c r="K254" s="54"/>
      <c r="L254" s="54"/>
      <c r="M254" s="54"/>
    </row>
    <row r="255" spans="1:13" x14ac:dyDescent="0.3">
      <c r="A255" s="205"/>
      <c r="B255" s="206"/>
      <c r="C255" s="214"/>
      <c r="D255" s="209" t="str">
        <f>IF(allSellings_table[[#This Row],[Date]]="","",TEXT(allSellings_table[[#This Row],[Date]],"mmmm"))</f>
        <v/>
      </c>
      <c r="E255" s="209"/>
      <c r="F255" s="210"/>
      <c r="H255" s="62"/>
      <c r="I255" s="227"/>
      <c r="J255" s="186"/>
      <c r="K255" s="53"/>
      <c r="L255" s="53"/>
      <c r="M255" s="53"/>
    </row>
    <row r="256" spans="1:13" x14ac:dyDescent="0.3">
      <c r="A256" s="205"/>
      <c r="B256" s="206"/>
      <c r="C256" s="214"/>
      <c r="D256" s="209" t="str">
        <f>IF(allSellings_table[[#This Row],[Date]]="","",TEXT(allSellings_table[[#This Row],[Date]],"mmmm"))</f>
        <v/>
      </c>
      <c r="E256" s="209"/>
      <c r="F256" s="210"/>
      <c r="H256" s="69"/>
      <c r="I256" s="228"/>
      <c r="J256" s="188"/>
      <c r="K256" s="54"/>
      <c r="L256" s="54"/>
      <c r="M256" s="54"/>
    </row>
    <row r="257" spans="1:13" x14ac:dyDescent="0.3">
      <c r="A257" s="205"/>
      <c r="B257" s="206"/>
      <c r="C257" s="214"/>
      <c r="D257" s="209" t="str">
        <f>IF(allSellings_table[[#This Row],[Date]]="","",TEXT(allSellings_table[[#This Row],[Date]],"mmmm"))</f>
        <v/>
      </c>
      <c r="E257" s="209"/>
      <c r="F257" s="210"/>
      <c r="H257" s="62"/>
      <c r="I257" s="227"/>
      <c r="J257" s="186"/>
      <c r="K257" s="53"/>
      <c r="L257" s="53"/>
      <c r="M257" s="53"/>
    </row>
    <row r="258" spans="1:13" x14ac:dyDescent="0.3">
      <c r="A258" s="205"/>
      <c r="B258" s="206"/>
      <c r="C258" s="214"/>
      <c r="D258" s="209" t="str">
        <f>IF(allSellings_table[[#This Row],[Date]]="","",TEXT(allSellings_table[[#This Row],[Date]],"mmmm"))</f>
        <v/>
      </c>
      <c r="E258" s="209"/>
      <c r="F258" s="210"/>
      <c r="H258" s="69"/>
      <c r="I258" s="228"/>
      <c r="J258" s="188"/>
      <c r="K258" s="54"/>
      <c r="L258" s="54"/>
      <c r="M258" s="54"/>
    </row>
    <row r="259" spans="1:13" x14ac:dyDescent="0.3">
      <c r="A259" s="205"/>
      <c r="B259" s="206"/>
      <c r="C259" s="214"/>
      <c r="D259" s="209" t="str">
        <f>IF(allSellings_table[[#This Row],[Date]]="","",TEXT(allSellings_table[[#This Row],[Date]],"mmmm"))</f>
        <v/>
      </c>
      <c r="E259" s="209"/>
      <c r="F259" s="210"/>
      <c r="H259" s="62"/>
      <c r="I259" s="227"/>
      <c r="J259" s="186"/>
      <c r="K259" s="53"/>
      <c r="L259" s="53"/>
      <c r="M259" s="53"/>
    </row>
    <row r="260" spans="1:13" x14ac:dyDescent="0.3">
      <c r="A260" s="205"/>
      <c r="B260" s="206"/>
      <c r="C260" s="214"/>
      <c r="D260" s="209" t="str">
        <f>IF(allSellings_table[[#This Row],[Date]]="","",TEXT(allSellings_table[[#This Row],[Date]],"mmmm"))</f>
        <v/>
      </c>
      <c r="E260" s="209"/>
      <c r="F260" s="210"/>
      <c r="H260" s="69"/>
      <c r="I260" s="228"/>
      <c r="J260" s="188"/>
      <c r="K260" s="54"/>
      <c r="L260" s="54"/>
      <c r="M260" s="54"/>
    </row>
    <row r="261" spans="1:13" x14ac:dyDescent="0.3">
      <c r="A261" s="205"/>
      <c r="B261" s="206"/>
      <c r="C261" s="214"/>
      <c r="D261" s="209" t="str">
        <f>IF(allSellings_table[[#This Row],[Date]]="","",TEXT(allSellings_table[[#This Row],[Date]],"mmmm"))</f>
        <v/>
      </c>
      <c r="E261" s="209"/>
      <c r="F261" s="210"/>
      <c r="H261" s="62"/>
      <c r="I261" s="227"/>
      <c r="J261" s="186"/>
      <c r="K261" s="53"/>
      <c r="L261" s="53"/>
      <c r="M261" s="53"/>
    </row>
    <row r="262" spans="1:13" x14ac:dyDescent="0.3">
      <c r="A262" s="205"/>
      <c r="B262" s="206"/>
      <c r="C262" s="214"/>
      <c r="D262" s="209" t="str">
        <f>IF(allSellings_table[[#This Row],[Date]]="","",TEXT(allSellings_table[[#This Row],[Date]],"mmmm"))</f>
        <v/>
      </c>
      <c r="E262" s="209"/>
      <c r="F262" s="210"/>
      <c r="H262" s="69"/>
      <c r="I262" s="228"/>
      <c r="J262" s="188"/>
      <c r="K262" s="54"/>
      <c r="L262" s="54"/>
      <c r="M262" s="54"/>
    </row>
    <row r="263" spans="1:13" x14ac:dyDescent="0.3">
      <c r="A263" s="205"/>
      <c r="B263" s="206"/>
      <c r="C263" s="214"/>
      <c r="D263" s="209" t="str">
        <f>IF(allSellings_table[[#This Row],[Date]]="","",TEXT(allSellings_table[[#This Row],[Date]],"mmmm"))</f>
        <v/>
      </c>
      <c r="E263" s="209"/>
      <c r="F263" s="210"/>
      <c r="H263" s="62"/>
      <c r="I263" s="227"/>
      <c r="J263" s="186"/>
      <c r="K263" s="53"/>
      <c r="L263" s="53"/>
      <c r="M263" s="53"/>
    </row>
    <row r="264" spans="1:13" x14ac:dyDescent="0.3">
      <c r="A264" s="205"/>
      <c r="B264" s="206"/>
      <c r="C264" s="214"/>
      <c r="D264" s="209" t="str">
        <f>IF(allSellings_table[[#This Row],[Date]]="","",TEXT(allSellings_table[[#This Row],[Date]],"mmmm"))</f>
        <v/>
      </c>
      <c r="E264" s="209"/>
      <c r="F264" s="210"/>
      <c r="H264" s="69"/>
      <c r="I264" s="228"/>
      <c r="J264" s="188"/>
      <c r="K264" s="54"/>
      <c r="L264" s="54"/>
      <c r="M264" s="54"/>
    </row>
    <row r="265" spans="1:13" x14ac:dyDescent="0.3">
      <c r="A265" s="205"/>
      <c r="B265" s="206"/>
      <c r="C265" s="214"/>
      <c r="D265" s="209" t="str">
        <f>IF(allSellings_table[[#This Row],[Date]]="","",TEXT(allSellings_table[[#This Row],[Date]],"mmmm"))</f>
        <v/>
      </c>
      <c r="E265" s="209"/>
      <c r="F265" s="210"/>
      <c r="H265" s="62"/>
      <c r="I265" s="227"/>
      <c r="J265" s="186"/>
      <c r="K265" s="53"/>
      <c r="L265" s="53"/>
      <c r="M265" s="53"/>
    </row>
    <row r="266" spans="1:13" x14ac:dyDescent="0.3">
      <c r="A266" s="205"/>
      <c r="B266" s="206"/>
      <c r="C266" s="214"/>
      <c r="D266" s="209" t="str">
        <f>IF(allSellings_table[[#This Row],[Date]]="","",TEXT(allSellings_table[[#This Row],[Date]],"mmmm"))</f>
        <v/>
      </c>
      <c r="E266" s="209"/>
      <c r="F266" s="210"/>
      <c r="H266" s="69"/>
      <c r="I266" s="228"/>
      <c r="J266" s="188"/>
      <c r="K266" s="54"/>
      <c r="L266" s="54"/>
      <c r="M266" s="54"/>
    </row>
    <row r="267" spans="1:13" x14ac:dyDescent="0.3">
      <c r="A267" s="205"/>
      <c r="B267" s="206"/>
      <c r="C267" s="214"/>
      <c r="D267" s="209" t="str">
        <f>IF(allSellings_table[[#This Row],[Date]]="","",TEXT(allSellings_table[[#This Row],[Date]],"mmmm"))</f>
        <v/>
      </c>
      <c r="E267" s="209"/>
      <c r="F267" s="210"/>
      <c r="H267" s="62"/>
      <c r="I267" s="227"/>
      <c r="J267" s="186"/>
      <c r="K267" s="53"/>
      <c r="L267" s="53"/>
      <c r="M267" s="53"/>
    </row>
    <row r="268" spans="1:13" x14ac:dyDescent="0.3">
      <c r="A268" s="205"/>
      <c r="B268" s="206"/>
      <c r="C268" s="214"/>
      <c r="D268" s="209" t="str">
        <f>IF(allSellings_table[[#This Row],[Date]]="","",TEXT(allSellings_table[[#This Row],[Date]],"mmmm"))</f>
        <v/>
      </c>
      <c r="E268" s="209"/>
      <c r="F268" s="210"/>
      <c r="H268" s="69"/>
      <c r="I268" s="228"/>
      <c r="J268" s="188"/>
      <c r="K268" s="54"/>
      <c r="L268" s="54"/>
      <c r="M268" s="54"/>
    </row>
    <row r="269" spans="1:13" x14ac:dyDescent="0.3">
      <c r="A269" s="205"/>
      <c r="B269" s="206"/>
      <c r="C269" s="214"/>
      <c r="D269" s="209" t="str">
        <f>IF(allSellings_table[[#This Row],[Date]]="","",TEXT(allSellings_table[[#This Row],[Date]],"mmmm"))</f>
        <v/>
      </c>
      <c r="E269" s="209"/>
      <c r="F269" s="210"/>
      <c r="H269" s="62"/>
      <c r="I269" s="227"/>
      <c r="J269" s="186"/>
      <c r="K269" s="53"/>
      <c r="L269" s="53"/>
      <c r="M269" s="53"/>
    </row>
    <row r="270" spans="1:13" x14ac:dyDescent="0.3">
      <c r="A270" s="205"/>
      <c r="B270" s="206"/>
      <c r="C270" s="214"/>
      <c r="D270" s="209" t="str">
        <f>IF(allSellings_table[[#This Row],[Date]]="","",TEXT(allSellings_table[[#This Row],[Date]],"mmmm"))</f>
        <v/>
      </c>
      <c r="E270" s="209"/>
      <c r="F270" s="210"/>
      <c r="H270" s="69"/>
      <c r="I270" s="228"/>
      <c r="J270" s="188"/>
      <c r="K270" s="54"/>
      <c r="L270" s="54"/>
      <c r="M270" s="54"/>
    </row>
    <row r="271" spans="1:13" x14ac:dyDescent="0.3">
      <c r="A271" s="205"/>
      <c r="B271" s="206"/>
      <c r="C271" s="214"/>
      <c r="D271" s="209" t="str">
        <f>IF(allSellings_table[[#This Row],[Date]]="","",TEXT(allSellings_table[[#This Row],[Date]],"mmmm"))</f>
        <v/>
      </c>
      <c r="E271" s="209"/>
      <c r="F271" s="210"/>
      <c r="H271" s="62"/>
      <c r="I271" s="227"/>
      <c r="J271" s="186"/>
      <c r="K271" s="53"/>
      <c r="L271" s="53"/>
      <c r="M271" s="53"/>
    </row>
    <row r="272" spans="1:13" x14ac:dyDescent="0.3">
      <c r="A272" s="205"/>
      <c r="B272" s="206"/>
      <c r="C272" s="214"/>
      <c r="D272" s="209" t="str">
        <f>IF(allSellings_table[[#This Row],[Date]]="","",TEXT(allSellings_table[[#This Row],[Date]],"mmmm"))</f>
        <v/>
      </c>
      <c r="E272" s="209"/>
      <c r="F272" s="210"/>
      <c r="H272" s="69"/>
      <c r="I272" s="228"/>
      <c r="J272" s="188"/>
      <c r="K272" s="54"/>
      <c r="L272" s="54"/>
      <c r="M272" s="54"/>
    </row>
    <row r="273" spans="1:13" x14ac:dyDescent="0.3">
      <c r="A273" s="205"/>
      <c r="B273" s="206"/>
      <c r="C273" s="214"/>
      <c r="D273" s="209" t="str">
        <f>IF(allSellings_table[[#This Row],[Date]]="","",TEXT(allSellings_table[[#This Row],[Date]],"mmmm"))</f>
        <v/>
      </c>
      <c r="E273" s="209"/>
      <c r="F273" s="210"/>
      <c r="H273" s="62"/>
      <c r="I273" s="227"/>
      <c r="J273" s="186"/>
      <c r="K273" s="53"/>
      <c r="L273" s="53"/>
      <c r="M273" s="53"/>
    </row>
    <row r="274" spans="1:13" x14ac:dyDescent="0.3">
      <c r="A274" s="205"/>
      <c r="B274" s="206"/>
      <c r="C274" s="214"/>
      <c r="D274" s="209" t="str">
        <f>IF(allSellings_table[[#This Row],[Date]]="","",TEXT(allSellings_table[[#This Row],[Date]],"mmmm"))</f>
        <v/>
      </c>
      <c r="E274" s="209"/>
      <c r="F274" s="210"/>
      <c r="H274" s="69"/>
      <c r="I274" s="228"/>
      <c r="J274" s="188"/>
      <c r="K274" s="54"/>
      <c r="L274" s="54"/>
      <c r="M274" s="54"/>
    </row>
    <row r="275" spans="1:13" x14ac:dyDescent="0.3">
      <c r="A275" s="205"/>
      <c r="B275" s="206"/>
      <c r="C275" s="214"/>
      <c r="D275" s="209" t="str">
        <f>IF(allSellings_table[[#This Row],[Date]]="","",TEXT(allSellings_table[[#This Row],[Date]],"mmmm"))</f>
        <v/>
      </c>
      <c r="E275" s="209"/>
      <c r="F275" s="210"/>
      <c r="H275" s="62"/>
      <c r="I275" s="227"/>
      <c r="J275" s="186"/>
      <c r="K275" s="53"/>
      <c r="L275" s="53"/>
      <c r="M275" s="53"/>
    </row>
    <row r="276" spans="1:13" x14ac:dyDescent="0.3">
      <c r="A276" s="205"/>
      <c r="B276" s="206"/>
      <c r="C276" s="214"/>
      <c r="D276" s="209" t="str">
        <f>IF(allSellings_table[[#This Row],[Date]]="","",TEXT(allSellings_table[[#This Row],[Date]],"mmmm"))</f>
        <v/>
      </c>
      <c r="E276" s="209"/>
      <c r="F276" s="210"/>
      <c r="H276" s="69"/>
      <c r="I276" s="228"/>
      <c r="J276" s="188"/>
      <c r="K276" s="54"/>
      <c r="L276" s="54"/>
      <c r="M276" s="54"/>
    </row>
    <row r="277" spans="1:13" x14ac:dyDescent="0.3">
      <c r="A277" s="205"/>
      <c r="B277" s="206"/>
      <c r="C277" s="214"/>
      <c r="D277" s="209" t="str">
        <f>IF(allSellings_table[[#This Row],[Date]]="","",TEXT(allSellings_table[[#This Row],[Date]],"mmmm"))</f>
        <v/>
      </c>
      <c r="E277" s="209"/>
      <c r="F277" s="210"/>
      <c r="H277" s="62"/>
      <c r="I277" s="227"/>
      <c r="J277" s="186"/>
      <c r="K277" s="53"/>
      <c r="L277" s="53"/>
      <c r="M277" s="53"/>
    </row>
    <row r="278" spans="1:13" x14ac:dyDescent="0.3">
      <c r="A278" s="205"/>
      <c r="B278" s="206"/>
      <c r="C278" s="214"/>
      <c r="D278" s="209" t="str">
        <f>IF(allSellings_table[[#This Row],[Date]]="","",TEXT(allSellings_table[[#This Row],[Date]],"mmmm"))</f>
        <v/>
      </c>
      <c r="E278" s="209"/>
      <c r="F278" s="210"/>
      <c r="H278" s="69"/>
      <c r="I278" s="228"/>
      <c r="J278" s="188"/>
      <c r="K278" s="54"/>
      <c r="L278" s="54"/>
      <c r="M278" s="54"/>
    </row>
    <row r="279" spans="1:13" x14ac:dyDescent="0.3">
      <c r="A279" s="205"/>
      <c r="B279" s="206"/>
      <c r="C279" s="214"/>
      <c r="D279" s="209" t="str">
        <f>IF(allSellings_table[[#This Row],[Date]]="","",TEXT(allSellings_table[[#This Row],[Date]],"mmmm"))</f>
        <v/>
      </c>
      <c r="E279" s="209"/>
      <c r="F279" s="210"/>
      <c r="H279" s="62"/>
      <c r="I279" s="227"/>
      <c r="J279" s="186"/>
      <c r="K279" s="53"/>
      <c r="L279" s="53"/>
      <c r="M279" s="53"/>
    </row>
    <row r="280" spans="1:13" x14ac:dyDescent="0.3">
      <c r="A280" s="205"/>
      <c r="B280" s="206"/>
      <c r="C280" s="214"/>
      <c r="D280" s="209" t="str">
        <f>IF(allSellings_table[[#This Row],[Date]]="","",TEXT(allSellings_table[[#This Row],[Date]],"mmmm"))</f>
        <v/>
      </c>
      <c r="E280" s="209"/>
      <c r="F280" s="210"/>
      <c r="H280" s="69"/>
      <c r="I280" s="228"/>
      <c r="J280" s="188"/>
      <c r="K280" s="54"/>
      <c r="L280" s="54"/>
      <c r="M280" s="54"/>
    </row>
    <row r="281" spans="1:13" x14ac:dyDescent="0.3">
      <c r="A281" s="205"/>
      <c r="B281" s="206"/>
      <c r="C281" s="214"/>
      <c r="D281" s="209" t="str">
        <f>IF(allSellings_table[[#This Row],[Date]]="","",TEXT(allSellings_table[[#This Row],[Date]],"mmmm"))</f>
        <v/>
      </c>
      <c r="E281" s="209"/>
      <c r="F281" s="210"/>
      <c r="H281" s="62"/>
      <c r="I281" s="227"/>
      <c r="J281" s="186"/>
      <c r="K281" s="53"/>
      <c r="L281" s="53"/>
      <c r="M281" s="53"/>
    </row>
    <row r="282" spans="1:13" x14ac:dyDescent="0.3">
      <c r="A282" s="205"/>
      <c r="B282" s="206"/>
      <c r="C282" s="214"/>
      <c r="D282" s="209" t="str">
        <f>IF(allSellings_table[[#This Row],[Date]]="","",TEXT(allSellings_table[[#This Row],[Date]],"mmmm"))</f>
        <v/>
      </c>
      <c r="E282" s="209"/>
      <c r="F282" s="210"/>
      <c r="H282" s="69"/>
      <c r="I282" s="228"/>
      <c r="J282" s="188"/>
      <c r="K282" s="54"/>
      <c r="L282" s="54"/>
      <c r="M282" s="54"/>
    </row>
    <row r="283" spans="1:13" x14ac:dyDescent="0.3">
      <c r="A283" s="205"/>
      <c r="B283" s="206"/>
      <c r="C283" s="214"/>
      <c r="D283" s="209" t="str">
        <f>IF(allSellings_table[[#This Row],[Date]]="","",TEXT(allSellings_table[[#This Row],[Date]],"mmmm"))</f>
        <v/>
      </c>
      <c r="E283" s="209"/>
      <c r="F283" s="210"/>
      <c r="H283" s="62"/>
      <c r="I283" s="227"/>
      <c r="J283" s="186"/>
      <c r="K283" s="53"/>
      <c r="L283" s="53"/>
      <c r="M283" s="53"/>
    </row>
    <row r="284" spans="1:13" x14ac:dyDescent="0.3">
      <c r="A284" s="205"/>
      <c r="B284" s="206"/>
      <c r="C284" s="214"/>
      <c r="D284" s="209" t="str">
        <f>IF(allSellings_table[[#This Row],[Date]]="","",TEXT(allSellings_table[[#This Row],[Date]],"mmmm"))</f>
        <v/>
      </c>
      <c r="E284" s="209"/>
      <c r="F284" s="210"/>
      <c r="H284" s="69"/>
      <c r="I284" s="228"/>
      <c r="J284" s="188"/>
      <c r="K284" s="54"/>
      <c r="L284" s="54"/>
      <c r="M284" s="54"/>
    </row>
    <row r="285" spans="1:13" x14ac:dyDescent="0.3">
      <c r="A285" s="205"/>
      <c r="B285" s="206"/>
      <c r="C285" s="214"/>
      <c r="D285" s="209" t="str">
        <f>IF(allSellings_table[[#This Row],[Date]]="","",TEXT(allSellings_table[[#This Row],[Date]],"mmmm"))</f>
        <v/>
      </c>
      <c r="E285" s="209"/>
      <c r="F285" s="210"/>
      <c r="H285" s="62"/>
      <c r="I285" s="227"/>
      <c r="J285" s="186"/>
      <c r="K285" s="53"/>
      <c r="L285" s="53"/>
      <c r="M285" s="53"/>
    </row>
    <row r="286" spans="1:13" x14ac:dyDescent="0.3">
      <c r="A286" s="205"/>
      <c r="B286" s="206"/>
      <c r="C286" s="214"/>
      <c r="D286" s="209" t="str">
        <f>IF(allSellings_table[[#This Row],[Date]]="","",TEXT(allSellings_table[[#This Row],[Date]],"mmmm"))</f>
        <v/>
      </c>
      <c r="E286" s="209"/>
      <c r="F286" s="210"/>
      <c r="H286" s="69"/>
      <c r="I286" s="228"/>
      <c r="J286" s="188"/>
      <c r="K286" s="54"/>
      <c r="L286" s="54"/>
      <c r="M286" s="54"/>
    </row>
    <row r="287" spans="1:13" x14ac:dyDescent="0.3">
      <c r="A287" s="205"/>
      <c r="B287" s="206"/>
      <c r="C287" s="214"/>
      <c r="D287" s="209" t="str">
        <f>IF(allSellings_table[[#This Row],[Date]]="","",TEXT(allSellings_table[[#This Row],[Date]],"mmmm"))</f>
        <v/>
      </c>
      <c r="E287" s="209"/>
      <c r="F287" s="210"/>
      <c r="H287" s="62"/>
      <c r="I287" s="227"/>
      <c r="J287" s="186"/>
      <c r="K287" s="53"/>
      <c r="L287" s="53"/>
      <c r="M287" s="53"/>
    </row>
    <row r="288" spans="1:13" x14ac:dyDescent="0.3">
      <c r="A288" s="205"/>
      <c r="B288" s="206"/>
      <c r="C288" s="214"/>
      <c r="D288" s="209" t="str">
        <f>IF(allSellings_table[[#This Row],[Date]]="","",TEXT(allSellings_table[[#This Row],[Date]],"mmmm"))</f>
        <v/>
      </c>
      <c r="E288" s="209"/>
      <c r="F288" s="210"/>
      <c r="H288" s="69"/>
      <c r="I288" s="228"/>
      <c r="J288" s="188"/>
      <c r="K288" s="54"/>
      <c r="L288" s="54"/>
      <c r="M288" s="54"/>
    </row>
    <row r="289" spans="1:13" x14ac:dyDescent="0.3">
      <c r="A289" s="205"/>
      <c r="B289" s="206"/>
      <c r="C289" s="214"/>
      <c r="D289" s="209" t="str">
        <f>IF(allSellings_table[[#This Row],[Date]]="","",TEXT(allSellings_table[[#This Row],[Date]],"mmmm"))</f>
        <v/>
      </c>
      <c r="E289" s="209"/>
      <c r="F289" s="210"/>
      <c r="H289" s="62"/>
      <c r="I289" s="227"/>
      <c r="J289" s="186"/>
      <c r="K289" s="53"/>
      <c r="L289" s="53"/>
      <c r="M289" s="53"/>
    </row>
    <row r="290" spans="1:13" x14ac:dyDescent="0.3">
      <c r="A290" s="205"/>
      <c r="B290" s="206"/>
      <c r="C290" s="214"/>
      <c r="D290" s="209" t="str">
        <f>IF(allSellings_table[[#This Row],[Date]]="","",TEXT(allSellings_table[[#This Row],[Date]],"mmmm"))</f>
        <v/>
      </c>
      <c r="E290" s="209"/>
      <c r="F290" s="210"/>
      <c r="H290" s="69"/>
      <c r="I290" s="228"/>
      <c r="J290" s="188"/>
      <c r="K290" s="54"/>
      <c r="L290" s="54"/>
      <c r="M290" s="54"/>
    </row>
    <row r="291" spans="1:13" x14ac:dyDescent="0.3">
      <c r="A291" s="205"/>
      <c r="B291" s="206"/>
      <c r="C291" s="214"/>
      <c r="D291" s="209" t="str">
        <f>IF(allSellings_table[[#This Row],[Date]]="","",TEXT(allSellings_table[[#This Row],[Date]],"mmmm"))</f>
        <v/>
      </c>
      <c r="E291" s="209"/>
      <c r="F291" s="210"/>
      <c r="H291" s="62"/>
      <c r="I291" s="227"/>
      <c r="J291" s="186"/>
      <c r="K291" s="53"/>
      <c r="L291" s="53"/>
      <c r="M291" s="53"/>
    </row>
    <row r="292" spans="1:13" x14ac:dyDescent="0.3">
      <c r="A292" s="205"/>
      <c r="B292" s="206"/>
      <c r="C292" s="214"/>
      <c r="D292" s="209" t="str">
        <f>IF(allSellings_table[[#This Row],[Date]]="","",TEXT(allSellings_table[[#This Row],[Date]],"mmmm"))</f>
        <v/>
      </c>
      <c r="E292" s="209"/>
      <c r="F292" s="210"/>
      <c r="H292" s="69"/>
      <c r="I292" s="228"/>
      <c r="J292" s="188"/>
      <c r="K292" s="54"/>
      <c r="L292" s="54"/>
      <c r="M292" s="54"/>
    </row>
    <row r="293" spans="1:13" x14ac:dyDescent="0.3">
      <c r="A293" s="205"/>
      <c r="B293" s="206"/>
      <c r="C293" s="214"/>
      <c r="D293" s="209" t="str">
        <f>IF(allSellings_table[[#This Row],[Date]]="","",TEXT(allSellings_table[[#This Row],[Date]],"mmmm"))</f>
        <v/>
      </c>
      <c r="E293" s="209"/>
      <c r="F293" s="210"/>
      <c r="H293" s="62"/>
      <c r="I293" s="227"/>
      <c r="J293" s="186"/>
      <c r="K293" s="53"/>
      <c r="L293" s="53"/>
      <c r="M293" s="53"/>
    </row>
    <row r="294" spans="1:13" x14ac:dyDescent="0.3">
      <c r="A294" s="205"/>
      <c r="B294" s="206"/>
      <c r="C294" s="214"/>
      <c r="D294" s="209" t="str">
        <f>IF(allSellings_table[[#This Row],[Date]]="","",TEXT(allSellings_table[[#This Row],[Date]],"mmmm"))</f>
        <v/>
      </c>
      <c r="E294" s="209"/>
      <c r="F294" s="210"/>
      <c r="H294" s="69"/>
      <c r="I294" s="228"/>
      <c r="J294" s="188"/>
      <c r="K294" s="54"/>
      <c r="L294" s="54"/>
      <c r="M294" s="54"/>
    </row>
    <row r="295" spans="1:13" x14ac:dyDescent="0.3">
      <c r="A295" s="205"/>
      <c r="B295" s="206"/>
      <c r="C295" s="214"/>
      <c r="D295" s="209" t="str">
        <f>IF(allSellings_table[[#This Row],[Date]]="","",TEXT(allSellings_table[[#This Row],[Date]],"mmmm"))</f>
        <v/>
      </c>
      <c r="E295" s="209"/>
      <c r="F295" s="210"/>
      <c r="H295" s="62"/>
      <c r="I295" s="227"/>
      <c r="J295" s="186"/>
      <c r="K295" s="53"/>
      <c r="L295" s="53"/>
      <c r="M295" s="53"/>
    </row>
    <row r="296" spans="1:13" x14ac:dyDescent="0.3">
      <c r="A296" s="205"/>
      <c r="B296" s="206"/>
      <c r="C296" s="214"/>
      <c r="D296" s="209" t="str">
        <f>IF(allSellings_table[[#This Row],[Date]]="","",TEXT(allSellings_table[[#This Row],[Date]],"mmmm"))</f>
        <v/>
      </c>
      <c r="E296" s="209"/>
      <c r="F296" s="210"/>
      <c r="H296" s="69"/>
      <c r="I296" s="228"/>
      <c r="J296" s="188"/>
      <c r="K296" s="54"/>
      <c r="L296" s="54"/>
      <c r="M296" s="54"/>
    </row>
    <row r="297" spans="1:13" x14ac:dyDescent="0.3">
      <c r="A297" s="205"/>
      <c r="B297" s="206"/>
      <c r="C297" s="214"/>
      <c r="D297" s="209" t="str">
        <f>IF(allSellings_table[[#This Row],[Date]]="","",TEXT(allSellings_table[[#This Row],[Date]],"mmmm"))</f>
        <v/>
      </c>
      <c r="E297" s="209"/>
      <c r="F297" s="210"/>
      <c r="H297" s="62"/>
      <c r="I297" s="227"/>
      <c r="J297" s="186"/>
      <c r="K297" s="53"/>
      <c r="L297" s="53"/>
      <c r="M297" s="53"/>
    </row>
    <row r="298" spans="1:13" x14ac:dyDescent="0.3">
      <c r="A298" s="205"/>
      <c r="B298" s="206"/>
      <c r="C298" s="214"/>
      <c r="D298" s="209" t="str">
        <f>IF(allSellings_table[[#This Row],[Date]]="","",TEXT(allSellings_table[[#This Row],[Date]],"mmmm"))</f>
        <v/>
      </c>
      <c r="E298" s="209"/>
      <c r="F298" s="210"/>
      <c r="H298" s="69"/>
      <c r="I298" s="228"/>
      <c r="J298" s="188"/>
      <c r="K298" s="54"/>
      <c r="L298" s="54"/>
      <c r="M298" s="54"/>
    </row>
    <row r="299" spans="1:13" x14ac:dyDescent="0.3">
      <c r="A299" s="205"/>
      <c r="B299" s="206"/>
      <c r="C299" s="214"/>
      <c r="D299" s="209" t="str">
        <f>IF(allSellings_table[[#This Row],[Date]]="","",TEXT(allSellings_table[[#This Row],[Date]],"mmmm"))</f>
        <v/>
      </c>
      <c r="E299" s="209"/>
      <c r="F299" s="210"/>
      <c r="H299" s="62"/>
      <c r="I299" s="227"/>
      <c r="J299" s="186"/>
      <c r="K299" s="53"/>
      <c r="L299" s="53"/>
      <c r="M299" s="53"/>
    </row>
    <row r="300" spans="1:13" x14ac:dyDescent="0.3">
      <c r="A300" s="205"/>
      <c r="B300" s="206"/>
      <c r="C300" s="214"/>
      <c r="D300" s="209" t="str">
        <f>IF(allSellings_table[[#This Row],[Date]]="","",TEXT(allSellings_table[[#This Row],[Date]],"mmmm"))</f>
        <v/>
      </c>
      <c r="E300" s="209"/>
      <c r="F300" s="210"/>
      <c r="H300" s="69"/>
      <c r="I300" s="228"/>
      <c r="J300" s="188"/>
      <c r="K300" s="54"/>
      <c r="L300" s="54"/>
      <c r="M300" s="54"/>
    </row>
    <row r="301" spans="1:13" x14ac:dyDescent="0.3">
      <c r="A301" s="205"/>
      <c r="B301" s="206"/>
      <c r="C301" s="214"/>
      <c r="D301" s="209" t="str">
        <f>IF(allSellings_table[[#This Row],[Date]]="","",TEXT(allSellings_table[[#This Row],[Date]],"mmmm"))</f>
        <v/>
      </c>
      <c r="E301" s="209"/>
      <c r="F301" s="210"/>
      <c r="H301" s="62"/>
      <c r="I301" s="227"/>
      <c r="J301" s="186"/>
      <c r="K301" s="53"/>
      <c r="L301" s="53"/>
      <c r="M301" s="53"/>
    </row>
    <row r="302" spans="1:13" x14ac:dyDescent="0.3">
      <c r="A302" s="205"/>
      <c r="B302" s="206"/>
      <c r="C302" s="214"/>
      <c r="D302" s="209" t="str">
        <f>IF(allSellings_table[[#This Row],[Date]]="","",TEXT(allSellings_table[[#This Row],[Date]],"mmmm"))</f>
        <v/>
      </c>
      <c r="E302" s="209"/>
      <c r="F302" s="210"/>
      <c r="H302" s="69"/>
      <c r="I302" s="228"/>
      <c r="J302" s="188"/>
      <c r="K302" s="54"/>
      <c r="L302" s="54"/>
      <c r="M302" s="54"/>
    </row>
    <row r="303" spans="1:13" x14ac:dyDescent="0.3">
      <c r="A303" s="205"/>
      <c r="B303" s="206"/>
      <c r="C303" s="214"/>
      <c r="D303" s="209" t="str">
        <f>IF(allSellings_table[[#This Row],[Date]]="","",TEXT(allSellings_table[[#This Row],[Date]],"mmmm"))</f>
        <v/>
      </c>
      <c r="E303" s="209"/>
      <c r="F303" s="210"/>
      <c r="H303" s="62"/>
      <c r="I303" s="227"/>
      <c r="J303" s="186"/>
      <c r="K303" s="53"/>
      <c r="L303" s="53"/>
      <c r="M303" s="53"/>
    </row>
    <row r="304" spans="1:13" x14ac:dyDescent="0.3">
      <c r="A304" s="205"/>
      <c r="B304" s="206"/>
      <c r="C304" s="214"/>
      <c r="D304" s="209" t="str">
        <f>IF(allSellings_table[[#This Row],[Date]]="","",TEXT(allSellings_table[[#This Row],[Date]],"mmmm"))</f>
        <v/>
      </c>
      <c r="E304" s="209"/>
      <c r="F304" s="210"/>
      <c r="H304" s="69"/>
      <c r="I304" s="228"/>
      <c r="J304" s="188"/>
      <c r="K304" s="54"/>
      <c r="L304" s="54"/>
      <c r="M304" s="54"/>
    </row>
    <row r="305" spans="1:13" x14ac:dyDescent="0.3">
      <c r="A305" s="205"/>
      <c r="B305" s="206"/>
      <c r="C305" s="214"/>
      <c r="D305" s="209" t="str">
        <f>IF(allSellings_table[[#This Row],[Date]]="","",TEXT(allSellings_table[[#This Row],[Date]],"mmmm"))</f>
        <v/>
      </c>
      <c r="E305" s="209"/>
      <c r="F305" s="210"/>
      <c r="H305" s="62"/>
      <c r="I305" s="227"/>
      <c r="J305" s="186"/>
      <c r="K305" s="53"/>
      <c r="L305" s="53"/>
      <c r="M305" s="53"/>
    </row>
    <row r="306" spans="1:13" x14ac:dyDescent="0.3">
      <c r="A306" s="205"/>
      <c r="B306" s="206"/>
      <c r="C306" s="214"/>
      <c r="D306" s="209" t="str">
        <f>IF(allSellings_table[[#This Row],[Date]]="","",TEXT(allSellings_table[[#This Row],[Date]],"mmmm"))</f>
        <v/>
      </c>
      <c r="E306" s="209"/>
      <c r="F306" s="210"/>
      <c r="H306" s="69"/>
      <c r="I306" s="228"/>
      <c r="J306" s="188"/>
      <c r="K306" s="54"/>
      <c r="L306" s="54"/>
      <c r="M306" s="54"/>
    </row>
    <row r="307" spans="1:13" x14ac:dyDescent="0.3">
      <c r="A307" s="205"/>
      <c r="B307" s="206"/>
      <c r="C307" s="214"/>
      <c r="D307" s="209" t="str">
        <f>IF(allSellings_table[[#This Row],[Date]]="","",TEXT(allSellings_table[[#This Row],[Date]],"mmmm"))</f>
        <v/>
      </c>
      <c r="E307" s="209"/>
      <c r="F307" s="210"/>
      <c r="H307" s="62"/>
      <c r="I307" s="227"/>
      <c r="J307" s="186"/>
      <c r="K307" s="53"/>
      <c r="L307" s="53"/>
      <c r="M307" s="53"/>
    </row>
    <row r="308" spans="1:13" x14ac:dyDescent="0.3">
      <c r="A308" s="205"/>
      <c r="B308" s="206"/>
      <c r="C308" s="214"/>
      <c r="D308" s="209" t="str">
        <f>IF(allSellings_table[[#This Row],[Date]]="","",TEXT(allSellings_table[[#This Row],[Date]],"mmmm"))</f>
        <v/>
      </c>
      <c r="E308" s="209"/>
      <c r="F308" s="210"/>
      <c r="H308" s="69"/>
      <c r="I308" s="228"/>
      <c r="J308" s="188"/>
      <c r="K308" s="54"/>
      <c r="L308" s="54"/>
      <c r="M308" s="54"/>
    </row>
    <row r="309" spans="1:13" x14ac:dyDescent="0.3">
      <c r="A309" s="205"/>
      <c r="B309" s="206"/>
      <c r="C309" s="214"/>
      <c r="D309" s="209" t="str">
        <f>IF(allSellings_table[[#This Row],[Date]]="","",TEXT(allSellings_table[[#This Row],[Date]],"mmmm"))</f>
        <v/>
      </c>
      <c r="E309" s="209"/>
      <c r="F309" s="210"/>
      <c r="H309" s="62"/>
      <c r="I309" s="227"/>
      <c r="J309" s="186"/>
      <c r="K309" s="53"/>
      <c r="L309" s="53"/>
      <c r="M309" s="53"/>
    </row>
    <row r="310" spans="1:13" x14ac:dyDescent="0.3">
      <c r="A310" s="205"/>
      <c r="B310" s="206"/>
      <c r="C310" s="214"/>
      <c r="D310" s="209" t="str">
        <f>IF(allSellings_table[[#This Row],[Date]]="","",TEXT(allSellings_table[[#This Row],[Date]],"mmmm"))</f>
        <v/>
      </c>
      <c r="E310" s="209"/>
      <c r="F310" s="210"/>
      <c r="H310" s="69"/>
      <c r="I310" s="228"/>
      <c r="J310" s="188"/>
      <c r="K310" s="54"/>
      <c r="L310" s="54"/>
      <c r="M310" s="54"/>
    </row>
    <row r="311" spans="1:13" x14ac:dyDescent="0.3">
      <c r="A311" s="205"/>
      <c r="B311" s="206"/>
      <c r="C311" s="214"/>
      <c r="D311" s="209" t="str">
        <f>IF(allSellings_table[[#This Row],[Date]]="","",TEXT(allSellings_table[[#This Row],[Date]],"mmmm"))</f>
        <v/>
      </c>
      <c r="E311" s="209"/>
      <c r="F311" s="210"/>
      <c r="H311" s="62"/>
      <c r="I311" s="227"/>
      <c r="J311" s="186"/>
      <c r="K311" s="53"/>
      <c r="L311" s="53"/>
      <c r="M311" s="53"/>
    </row>
    <row r="312" spans="1:13" x14ac:dyDescent="0.3">
      <c r="A312" s="205"/>
      <c r="B312" s="206"/>
      <c r="C312" s="214"/>
      <c r="D312" s="209" t="str">
        <f>IF(allSellings_table[[#This Row],[Date]]="","",TEXT(allSellings_table[[#This Row],[Date]],"mmmm"))</f>
        <v/>
      </c>
      <c r="E312" s="209"/>
      <c r="F312" s="210"/>
      <c r="H312" s="69"/>
      <c r="I312" s="228"/>
      <c r="J312" s="188"/>
      <c r="K312" s="54"/>
      <c r="L312" s="54"/>
      <c r="M312" s="54"/>
    </row>
    <row r="313" spans="1:13" x14ac:dyDescent="0.3">
      <c r="A313" s="205"/>
      <c r="B313" s="206"/>
      <c r="C313" s="214"/>
      <c r="D313" s="209" t="str">
        <f>IF(allSellings_table[[#This Row],[Date]]="","",TEXT(allSellings_table[[#This Row],[Date]],"mmmm"))</f>
        <v/>
      </c>
      <c r="E313" s="209"/>
      <c r="F313" s="210"/>
      <c r="H313" s="62"/>
      <c r="I313" s="227"/>
      <c r="J313" s="186"/>
      <c r="K313" s="53"/>
      <c r="L313" s="53"/>
      <c r="M313" s="53"/>
    </row>
    <row r="314" spans="1:13" x14ac:dyDescent="0.3">
      <c r="A314" s="205"/>
      <c r="B314" s="206"/>
      <c r="C314" s="214"/>
      <c r="D314" s="209" t="str">
        <f>IF(allSellings_table[[#This Row],[Date]]="","",TEXT(allSellings_table[[#This Row],[Date]],"mmmm"))</f>
        <v/>
      </c>
      <c r="E314" s="209"/>
      <c r="F314" s="210"/>
      <c r="H314" s="69"/>
      <c r="I314" s="228"/>
      <c r="J314" s="188"/>
      <c r="K314" s="54"/>
      <c r="L314" s="54"/>
      <c r="M314" s="54"/>
    </row>
    <row r="315" spans="1:13" x14ac:dyDescent="0.3">
      <c r="A315" s="205"/>
      <c r="B315" s="206"/>
      <c r="C315" s="214"/>
      <c r="D315" s="209" t="str">
        <f>IF(allSellings_table[[#This Row],[Date]]="","",TEXT(allSellings_table[[#This Row],[Date]],"mmmm"))</f>
        <v/>
      </c>
      <c r="E315" s="209"/>
      <c r="F315" s="210"/>
      <c r="H315" s="62"/>
      <c r="I315" s="227"/>
      <c r="J315" s="186"/>
      <c r="K315" s="53"/>
      <c r="L315" s="53"/>
      <c r="M315" s="53"/>
    </row>
    <row r="316" spans="1:13" x14ac:dyDescent="0.3">
      <c r="A316" s="205"/>
      <c r="B316" s="206"/>
      <c r="C316" s="214"/>
      <c r="D316" s="209" t="str">
        <f>IF(allSellings_table[[#This Row],[Date]]="","",TEXT(allSellings_table[[#This Row],[Date]],"mmmm"))</f>
        <v/>
      </c>
      <c r="E316" s="209"/>
      <c r="F316" s="210"/>
      <c r="H316" s="69"/>
      <c r="I316" s="228"/>
      <c r="J316" s="188"/>
      <c r="K316" s="54"/>
      <c r="L316" s="54"/>
      <c r="M316" s="54"/>
    </row>
    <row r="317" spans="1:13" x14ac:dyDescent="0.3">
      <c r="A317" s="205"/>
      <c r="B317" s="206"/>
      <c r="C317" s="214"/>
      <c r="D317" s="209" t="str">
        <f>IF(allSellings_table[[#This Row],[Date]]="","",TEXT(allSellings_table[[#This Row],[Date]],"mmmm"))</f>
        <v/>
      </c>
      <c r="E317" s="209"/>
      <c r="F317" s="210"/>
      <c r="H317" s="62"/>
      <c r="I317" s="227"/>
      <c r="J317" s="186"/>
      <c r="K317" s="53"/>
      <c r="L317" s="53"/>
      <c r="M317" s="53"/>
    </row>
    <row r="318" spans="1:13" x14ac:dyDescent="0.3">
      <c r="A318" s="205"/>
      <c r="B318" s="206"/>
      <c r="C318" s="214"/>
      <c r="D318" s="209" t="str">
        <f>IF(allSellings_table[[#This Row],[Date]]="","",TEXT(allSellings_table[[#This Row],[Date]],"mmmm"))</f>
        <v/>
      </c>
      <c r="E318" s="209"/>
      <c r="F318" s="210"/>
      <c r="H318" s="69"/>
      <c r="I318" s="228"/>
      <c r="J318" s="188"/>
      <c r="K318" s="54"/>
      <c r="L318" s="54"/>
      <c r="M318" s="54"/>
    </row>
    <row r="319" spans="1:13" x14ac:dyDescent="0.3">
      <c r="A319" s="205"/>
      <c r="B319" s="206"/>
      <c r="C319" s="214"/>
      <c r="D319" s="209" t="str">
        <f>IF(allSellings_table[[#This Row],[Date]]="","",TEXT(allSellings_table[[#This Row],[Date]],"mmmm"))</f>
        <v/>
      </c>
      <c r="E319" s="209"/>
      <c r="F319" s="210"/>
      <c r="H319" s="62"/>
      <c r="I319" s="227"/>
      <c r="J319" s="186"/>
      <c r="K319" s="53"/>
      <c r="L319" s="53"/>
      <c r="M319" s="53"/>
    </row>
    <row r="320" spans="1:13" x14ac:dyDescent="0.3">
      <c r="A320" s="205"/>
      <c r="B320" s="206"/>
      <c r="C320" s="214"/>
      <c r="D320" s="209" t="str">
        <f>IF(allSellings_table[[#This Row],[Date]]="","",TEXT(allSellings_table[[#This Row],[Date]],"mmmm"))</f>
        <v/>
      </c>
      <c r="E320" s="209"/>
      <c r="F320" s="210"/>
      <c r="H320" s="69"/>
      <c r="I320" s="228"/>
      <c r="J320" s="188"/>
      <c r="K320" s="54"/>
      <c r="L320" s="54"/>
      <c r="M320" s="54"/>
    </row>
    <row r="321" spans="1:13" x14ac:dyDescent="0.3">
      <c r="A321" s="205"/>
      <c r="B321" s="206"/>
      <c r="C321" s="214"/>
      <c r="D321" s="209" t="str">
        <f>IF(allSellings_table[[#This Row],[Date]]="","",TEXT(allSellings_table[[#This Row],[Date]],"mmmm"))</f>
        <v/>
      </c>
      <c r="E321" s="209"/>
      <c r="F321" s="210"/>
      <c r="H321" s="62"/>
      <c r="I321" s="227"/>
      <c r="J321" s="186"/>
      <c r="K321" s="53"/>
      <c r="L321" s="53"/>
      <c r="M321" s="53"/>
    </row>
    <row r="322" spans="1:13" x14ac:dyDescent="0.3">
      <c r="A322" s="205"/>
      <c r="B322" s="206"/>
      <c r="C322" s="214"/>
      <c r="D322" s="209" t="str">
        <f>IF(allSellings_table[[#This Row],[Date]]="","",TEXT(allSellings_table[[#This Row],[Date]],"mmmm"))</f>
        <v/>
      </c>
      <c r="E322" s="209"/>
      <c r="F322" s="210"/>
      <c r="H322" s="69"/>
      <c r="I322" s="228"/>
      <c r="J322" s="188"/>
      <c r="K322" s="54"/>
      <c r="L322" s="54"/>
      <c r="M322" s="54"/>
    </row>
    <row r="323" spans="1:13" x14ac:dyDescent="0.3">
      <c r="A323" s="205"/>
      <c r="B323" s="206"/>
      <c r="C323" s="214"/>
      <c r="D323" s="209" t="str">
        <f>IF(allSellings_table[[#This Row],[Date]]="","",TEXT(allSellings_table[[#This Row],[Date]],"mmmm"))</f>
        <v/>
      </c>
      <c r="E323" s="209"/>
      <c r="F323" s="210"/>
      <c r="H323" s="62"/>
      <c r="I323" s="227"/>
      <c r="J323" s="186"/>
      <c r="K323" s="53"/>
      <c r="L323" s="53"/>
      <c r="M323" s="53"/>
    </row>
    <row r="324" spans="1:13" x14ac:dyDescent="0.3">
      <c r="A324" s="205"/>
      <c r="B324" s="206"/>
      <c r="C324" s="214"/>
      <c r="D324" s="209" t="str">
        <f>IF(allSellings_table[[#This Row],[Date]]="","",TEXT(allSellings_table[[#This Row],[Date]],"mmmm"))</f>
        <v/>
      </c>
      <c r="E324" s="209"/>
      <c r="F324" s="210"/>
      <c r="H324" s="69"/>
      <c r="I324" s="228"/>
      <c r="J324" s="188"/>
      <c r="K324" s="54"/>
      <c r="L324" s="54"/>
      <c r="M324" s="54"/>
    </row>
    <row r="325" spans="1:13" x14ac:dyDescent="0.3">
      <c r="A325" s="205"/>
      <c r="B325" s="206"/>
      <c r="C325" s="214"/>
      <c r="D325" s="209" t="str">
        <f>IF(allSellings_table[[#This Row],[Date]]="","",TEXT(allSellings_table[[#This Row],[Date]],"mmmm"))</f>
        <v/>
      </c>
      <c r="E325" s="209"/>
      <c r="F325" s="210"/>
      <c r="H325" s="62"/>
      <c r="I325" s="227"/>
      <c r="J325" s="186"/>
      <c r="K325" s="53"/>
      <c r="L325" s="53"/>
      <c r="M325" s="53"/>
    </row>
    <row r="326" spans="1:13" x14ac:dyDescent="0.3">
      <c r="A326" s="205"/>
      <c r="B326" s="206"/>
      <c r="C326" s="214"/>
      <c r="D326" s="209" t="str">
        <f>IF(allSellings_table[[#This Row],[Date]]="","",TEXT(allSellings_table[[#This Row],[Date]],"mmmm"))</f>
        <v/>
      </c>
      <c r="E326" s="209"/>
      <c r="F326" s="210"/>
      <c r="H326" s="69"/>
      <c r="I326" s="228"/>
      <c r="J326" s="188"/>
      <c r="K326" s="54"/>
      <c r="L326" s="54"/>
      <c r="M326" s="54"/>
    </row>
    <row r="327" spans="1:13" x14ac:dyDescent="0.3">
      <c r="A327" s="205"/>
      <c r="B327" s="206"/>
      <c r="C327" s="214"/>
      <c r="D327" s="209" t="str">
        <f>IF(allSellings_table[[#This Row],[Date]]="","",TEXT(allSellings_table[[#This Row],[Date]],"mmmm"))</f>
        <v/>
      </c>
      <c r="E327" s="209"/>
      <c r="F327" s="210"/>
      <c r="H327" s="62"/>
      <c r="I327" s="227"/>
      <c r="J327" s="186"/>
      <c r="K327" s="53"/>
      <c r="L327" s="53"/>
      <c r="M327" s="53"/>
    </row>
    <row r="328" spans="1:13" x14ac:dyDescent="0.3">
      <c r="A328" s="205"/>
      <c r="B328" s="206"/>
      <c r="C328" s="214"/>
      <c r="D328" s="209" t="str">
        <f>IF(allSellings_table[[#This Row],[Date]]="","",TEXT(allSellings_table[[#This Row],[Date]],"mmmm"))</f>
        <v/>
      </c>
      <c r="E328" s="209"/>
      <c r="F328" s="210"/>
      <c r="H328" s="69"/>
      <c r="I328" s="228"/>
      <c r="J328" s="188"/>
      <c r="K328" s="54"/>
      <c r="L328" s="54"/>
      <c r="M328" s="54"/>
    </row>
    <row r="329" spans="1:13" x14ac:dyDescent="0.3">
      <c r="A329" s="205"/>
      <c r="B329" s="206"/>
      <c r="C329" s="214"/>
      <c r="D329" s="209" t="str">
        <f>IF(allSellings_table[[#This Row],[Date]]="","",TEXT(allSellings_table[[#This Row],[Date]],"mmmm"))</f>
        <v/>
      </c>
      <c r="E329" s="209"/>
      <c r="F329" s="210"/>
      <c r="H329" s="62"/>
      <c r="I329" s="227"/>
      <c r="J329" s="186"/>
      <c r="K329" s="53"/>
      <c r="L329" s="53"/>
      <c r="M329" s="53"/>
    </row>
    <row r="330" spans="1:13" x14ac:dyDescent="0.3">
      <c r="A330" s="205"/>
      <c r="B330" s="206"/>
      <c r="C330" s="214"/>
      <c r="D330" s="209" t="str">
        <f>IF(allSellings_table[[#This Row],[Date]]="","",TEXT(allSellings_table[[#This Row],[Date]],"mmmm"))</f>
        <v/>
      </c>
      <c r="E330" s="209"/>
      <c r="F330" s="210"/>
      <c r="H330" s="69"/>
      <c r="I330" s="228"/>
      <c r="J330" s="188"/>
      <c r="K330" s="54"/>
      <c r="L330" s="54"/>
      <c r="M330" s="54"/>
    </row>
    <row r="331" spans="1:13" x14ac:dyDescent="0.3">
      <c r="A331" s="205"/>
      <c r="B331" s="206"/>
      <c r="C331" s="214"/>
      <c r="D331" s="209" t="str">
        <f>IF(allSellings_table[[#This Row],[Date]]="","",TEXT(allSellings_table[[#This Row],[Date]],"mmmm"))</f>
        <v/>
      </c>
      <c r="E331" s="209"/>
      <c r="F331" s="210"/>
      <c r="H331" s="62"/>
      <c r="I331" s="227"/>
      <c r="J331" s="186"/>
      <c r="K331" s="53"/>
      <c r="L331" s="53"/>
      <c r="M331" s="53"/>
    </row>
    <row r="332" spans="1:13" x14ac:dyDescent="0.3">
      <c r="A332" s="205"/>
      <c r="B332" s="206"/>
      <c r="C332" s="214"/>
      <c r="D332" s="209" t="str">
        <f>IF(allSellings_table[[#This Row],[Date]]="","",TEXT(allSellings_table[[#This Row],[Date]],"mmmm"))</f>
        <v/>
      </c>
      <c r="E332" s="209"/>
      <c r="F332" s="210"/>
      <c r="H332" s="69"/>
      <c r="I332" s="228"/>
      <c r="J332" s="188"/>
      <c r="K332" s="54"/>
      <c r="L332" s="54"/>
      <c r="M332" s="54"/>
    </row>
    <row r="333" spans="1:13" x14ac:dyDescent="0.3">
      <c r="A333" s="205"/>
      <c r="B333" s="206"/>
      <c r="C333" s="214"/>
      <c r="D333" s="209" t="str">
        <f>IF(allSellings_table[[#This Row],[Date]]="","",TEXT(allSellings_table[[#This Row],[Date]],"mmmm"))</f>
        <v/>
      </c>
      <c r="E333" s="209"/>
      <c r="F333" s="210"/>
      <c r="H333" s="62"/>
      <c r="I333" s="227"/>
      <c r="J333" s="186"/>
      <c r="K333" s="53"/>
      <c r="L333" s="53"/>
      <c r="M333" s="53"/>
    </row>
    <row r="334" spans="1:13" x14ac:dyDescent="0.3">
      <c r="A334" s="205"/>
      <c r="B334" s="206"/>
      <c r="C334" s="214"/>
      <c r="D334" s="209" t="str">
        <f>IF(allSellings_table[[#This Row],[Date]]="","",TEXT(allSellings_table[[#This Row],[Date]],"mmmm"))</f>
        <v/>
      </c>
      <c r="E334" s="209"/>
      <c r="F334" s="210"/>
      <c r="H334" s="69"/>
      <c r="I334" s="228"/>
      <c r="J334" s="188"/>
      <c r="K334" s="54"/>
      <c r="L334" s="54"/>
      <c r="M334" s="54"/>
    </row>
    <row r="335" spans="1:13" x14ac:dyDescent="0.3">
      <c r="A335" s="205"/>
      <c r="B335" s="206"/>
      <c r="C335" s="214"/>
      <c r="D335" s="209" t="str">
        <f>IF(allSellings_table[[#This Row],[Date]]="","",TEXT(allSellings_table[[#This Row],[Date]],"mmmm"))</f>
        <v/>
      </c>
      <c r="E335" s="209"/>
      <c r="F335" s="210"/>
      <c r="H335" s="62"/>
      <c r="I335" s="227"/>
      <c r="J335" s="186"/>
      <c r="K335" s="53"/>
      <c r="L335" s="53"/>
      <c r="M335" s="53"/>
    </row>
    <row r="336" spans="1:13" x14ac:dyDescent="0.3">
      <c r="A336" s="205"/>
      <c r="B336" s="206"/>
      <c r="C336" s="214"/>
      <c r="D336" s="209" t="str">
        <f>IF(allSellings_table[[#This Row],[Date]]="","",TEXT(allSellings_table[[#This Row],[Date]],"mmmm"))</f>
        <v/>
      </c>
      <c r="E336" s="209"/>
      <c r="F336" s="210"/>
      <c r="H336" s="69"/>
      <c r="I336" s="228"/>
      <c r="J336" s="188"/>
      <c r="K336" s="54"/>
      <c r="L336" s="54"/>
      <c r="M336" s="54"/>
    </row>
    <row r="337" spans="1:13" x14ac:dyDescent="0.3">
      <c r="A337" s="205"/>
      <c r="B337" s="206"/>
      <c r="C337" s="214"/>
      <c r="D337" s="209" t="str">
        <f>IF(allSellings_table[[#This Row],[Date]]="","",TEXT(allSellings_table[[#This Row],[Date]],"mmmm"))</f>
        <v/>
      </c>
      <c r="E337" s="209"/>
      <c r="F337" s="210"/>
      <c r="H337" s="62"/>
      <c r="I337" s="227"/>
      <c r="J337" s="186"/>
      <c r="K337" s="53"/>
      <c r="L337" s="53"/>
      <c r="M337" s="53"/>
    </row>
    <row r="338" spans="1:13" x14ac:dyDescent="0.3">
      <c r="A338" s="205"/>
      <c r="B338" s="206"/>
      <c r="C338" s="214"/>
      <c r="D338" s="209" t="str">
        <f>IF(allSellings_table[[#This Row],[Date]]="","",TEXT(allSellings_table[[#This Row],[Date]],"mmmm"))</f>
        <v/>
      </c>
      <c r="E338" s="209"/>
      <c r="F338" s="210"/>
      <c r="H338" s="69"/>
      <c r="I338" s="228"/>
      <c r="J338" s="188"/>
      <c r="K338" s="54"/>
      <c r="L338" s="54"/>
      <c r="M338" s="54"/>
    </row>
    <row r="339" spans="1:13" x14ac:dyDescent="0.3">
      <c r="A339" s="205"/>
      <c r="B339" s="206"/>
      <c r="C339" s="214"/>
      <c r="D339" s="209" t="str">
        <f>IF(allSellings_table[[#This Row],[Date]]="","",TEXT(allSellings_table[[#This Row],[Date]],"mmmm"))</f>
        <v/>
      </c>
      <c r="E339" s="209"/>
      <c r="F339" s="210"/>
      <c r="H339" s="62"/>
      <c r="I339" s="227"/>
      <c r="J339" s="186"/>
      <c r="K339" s="53"/>
      <c r="L339" s="53"/>
      <c r="M339" s="53"/>
    </row>
    <row r="340" spans="1:13" x14ac:dyDescent="0.3">
      <c r="A340" s="205"/>
      <c r="B340" s="206"/>
      <c r="C340" s="214"/>
      <c r="D340" s="209" t="str">
        <f>IF(allSellings_table[[#This Row],[Date]]="","",TEXT(allSellings_table[[#This Row],[Date]],"mmmm"))</f>
        <v/>
      </c>
      <c r="E340" s="209"/>
      <c r="F340" s="210"/>
      <c r="H340" s="69"/>
      <c r="I340" s="228"/>
      <c r="J340" s="188"/>
      <c r="K340" s="54"/>
      <c r="L340" s="54"/>
      <c r="M340" s="54"/>
    </row>
    <row r="341" spans="1:13" x14ac:dyDescent="0.3">
      <c r="A341" s="205"/>
      <c r="B341" s="206"/>
      <c r="C341" s="214"/>
      <c r="D341" s="209" t="str">
        <f>IF(allSellings_table[[#This Row],[Date]]="","",TEXT(allSellings_table[[#This Row],[Date]],"mmmm"))</f>
        <v/>
      </c>
      <c r="E341" s="209"/>
      <c r="F341" s="210"/>
      <c r="H341" s="62"/>
      <c r="I341" s="227"/>
      <c r="J341" s="186"/>
      <c r="K341" s="53"/>
      <c r="L341" s="53"/>
      <c r="M341" s="53"/>
    </row>
    <row r="342" spans="1:13" x14ac:dyDescent="0.3">
      <c r="A342" s="205"/>
      <c r="B342" s="206"/>
      <c r="C342" s="214"/>
      <c r="D342" s="209" t="str">
        <f>IF(allSellings_table[[#This Row],[Date]]="","",TEXT(allSellings_table[[#This Row],[Date]],"mmmm"))</f>
        <v/>
      </c>
      <c r="E342" s="209"/>
      <c r="F342" s="210"/>
      <c r="H342" s="69"/>
      <c r="I342" s="228"/>
      <c r="J342" s="188"/>
      <c r="K342" s="54"/>
      <c r="L342" s="54"/>
      <c r="M342" s="54"/>
    </row>
    <row r="343" spans="1:13" x14ac:dyDescent="0.3">
      <c r="A343" s="205"/>
      <c r="B343" s="206"/>
      <c r="C343" s="214"/>
      <c r="D343" s="209" t="str">
        <f>IF(allSellings_table[[#This Row],[Date]]="","",TEXT(allSellings_table[[#This Row],[Date]],"mmmm"))</f>
        <v/>
      </c>
      <c r="E343" s="209"/>
      <c r="F343" s="210"/>
      <c r="H343" s="62"/>
      <c r="I343" s="227"/>
      <c r="J343" s="186"/>
      <c r="K343" s="53"/>
      <c r="L343" s="53"/>
      <c r="M343" s="53"/>
    </row>
    <row r="344" spans="1:13" x14ac:dyDescent="0.3">
      <c r="A344" s="205"/>
      <c r="B344" s="206"/>
      <c r="C344" s="214"/>
      <c r="D344" s="209" t="str">
        <f>IF(allSellings_table[[#This Row],[Date]]="","",TEXT(allSellings_table[[#This Row],[Date]],"mmmm"))</f>
        <v/>
      </c>
      <c r="E344" s="209"/>
      <c r="F344" s="210"/>
      <c r="H344" s="69"/>
      <c r="I344" s="228"/>
      <c r="J344" s="188"/>
      <c r="K344" s="54"/>
      <c r="L344" s="54"/>
      <c r="M344" s="54"/>
    </row>
    <row r="345" spans="1:13" x14ac:dyDescent="0.3">
      <c r="A345" s="205"/>
      <c r="B345" s="206"/>
      <c r="C345" s="214"/>
      <c r="D345" s="209" t="str">
        <f>IF(allSellings_table[[#This Row],[Date]]="","",TEXT(allSellings_table[[#This Row],[Date]],"mmmm"))</f>
        <v/>
      </c>
      <c r="E345" s="209"/>
      <c r="F345" s="210"/>
      <c r="H345" s="62"/>
      <c r="I345" s="227"/>
      <c r="J345" s="186"/>
      <c r="K345" s="53"/>
      <c r="L345" s="53"/>
      <c r="M345" s="53"/>
    </row>
    <row r="346" spans="1:13" x14ac:dyDescent="0.3">
      <c r="A346" s="205"/>
      <c r="B346" s="206"/>
      <c r="C346" s="214"/>
      <c r="D346" s="209" t="str">
        <f>IF(allSellings_table[[#This Row],[Date]]="","",TEXT(allSellings_table[[#This Row],[Date]],"mmmm"))</f>
        <v/>
      </c>
      <c r="E346" s="209"/>
      <c r="F346" s="210"/>
      <c r="H346" s="69"/>
      <c r="I346" s="228"/>
      <c r="J346" s="188"/>
      <c r="K346" s="54"/>
      <c r="L346" s="54"/>
      <c r="M346" s="54"/>
    </row>
    <row r="347" spans="1:13" x14ac:dyDescent="0.3">
      <c r="A347" s="205"/>
      <c r="B347" s="206"/>
      <c r="C347" s="214"/>
      <c r="D347" s="209" t="str">
        <f>IF(allSellings_table[[#This Row],[Date]]="","",TEXT(allSellings_table[[#This Row],[Date]],"mmmm"))</f>
        <v/>
      </c>
      <c r="E347" s="209"/>
      <c r="F347" s="210"/>
      <c r="H347" s="62"/>
      <c r="I347" s="227"/>
      <c r="J347" s="186"/>
      <c r="K347" s="53"/>
      <c r="L347" s="53"/>
      <c r="M347" s="53"/>
    </row>
    <row r="348" spans="1:13" x14ac:dyDescent="0.3">
      <c r="A348" s="205"/>
      <c r="B348" s="206"/>
      <c r="C348" s="214"/>
      <c r="D348" s="209" t="str">
        <f>IF(allSellings_table[[#This Row],[Date]]="","",TEXT(allSellings_table[[#This Row],[Date]],"mmmm"))</f>
        <v/>
      </c>
      <c r="E348" s="209"/>
      <c r="F348" s="210"/>
      <c r="H348" s="69"/>
      <c r="I348" s="228"/>
      <c r="J348" s="188"/>
      <c r="K348" s="54"/>
      <c r="L348" s="54"/>
      <c r="M348" s="54"/>
    </row>
    <row r="349" spans="1:13" x14ac:dyDescent="0.3">
      <c r="A349" s="205"/>
      <c r="B349" s="206"/>
      <c r="C349" s="214"/>
      <c r="D349" s="209" t="str">
        <f>IF(allSellings_table[[#This Row],[Date]]="","",TEXT(allSellings_table[[#This Row],[Date]],"mmmm"))</f>
        <v/>
      </c>
      <c r="E349" s="209"/>
      <c r="F349" s="210"/>
      <c r="H349" s="62"/>
      <c r="I349" s="227"/>
      <c r="J349" s="186"/>
      <c r="K349" s="53"/>
      <c r="L349" s="53"/>
      <c r="M349" s="53"/>
    </row>
    <row r="350" spans="1:13" x14ac:dyDescent="0.3">
      <c r="A350" s="205"/>
      <c r="B350" s="206"/>
      <c r="C350" s="214"/>
      <c r="D350" s="209" t="str">
        <f>IF(allSellings_table[[#This Row],[Date]]="","",TEXT(allSellings_table[[#This Row],[Date]],"mmmm"))</f>
        <v/>
      </c>
      <c r="E350" s="209"/>
      <c r="F350" s="210"/>
      <c r="H350" s="69"/>
      <c r="I350" s="228"/>
      <c r="J350" s="188"/>
      <c r="K350" s="54"/>
      <c r="L350" s="54"/>
      <c r="M350" s="54"/>
    </row>
    <row r="351" spans="1:13" x14ac:dyDescent="0.3">
      <c r="A351" s="205"/>
      <c r="B351" s="206"/>
      <c r="C351" s="214"/>
      <c r="D351" s="209" t="str">
        <f>IF(allSellings_table[[#This Row],[Date]]="","",TEXT(allSellings_table[[#This Row],[Date]],"mmmm"))</f>
        <v/>
      </c>
      <c r="E351" s="209"/>
      <c r="F351" s="210"/>
      <c r="H351" s="62"/>
      <c r="I351" s="227"/>
      <c r="J351" s="186"/>
      <c r="K351" s="53"/>
      <c r="L351" s="53"/>
      <c r="M351" s="53"/>
    </row>
    <row r="352" spans="1:13" x14ac:dyDescent="0.3">
      <c r="A352" s="205"/>
      <c r="B352" s="206"/>
      <c r="C352" s="214"/>
      <c r="D352" s="209" t="str">
        <f>IF(allSellings_table[[#This Row],[Date]]="","",TEXT(allSellings_table[[#This Row],[Date]],"mmmm"))</f>
        <v/>
      </c>
      <c r="E352" s="209"/>
      <c r="F352" s="210"/>
      <c r="H352" s="69"/>
      <c r="I352" s="228"/>
      <c r="J352" s="188"/>
      <c r="K352" s="54"/>
      <c r="L352" s="54"/>
      <c r="M352" s="54"/>
    </row>
    <row r="353" spans="1:13" x14ac:dyDescent="0.3">
      <c r="A353" s="205"/>
      <c r="B353" s="206"/>
      <c r="C353" s="214"/>
      <c r="D353" s="209" t="str">
        <f>IF(allSellings_table[[#This Row],[Date]]="","",TEXT(allSellings_table[[#This Row],[Date]],"mmmm"))</f>
        <v/>
      </c>
      <c r="E353" s="209"/>
      <c r="F353" s="210"/>
      <c r="H353" s="62"/>
      <c r="I353" s="227"/>
      <c r="J353" s="186"/>
      <c r="K353" s="53"/>
      <c r="L353" s="53"/>
      <c r="M353" s="53"/>
    </row>
    <row r="354" spans="1:13" x14ac:dyDescent="0.3">
      <c r="A354" s="205"/>
      <c r="B354" s="206"/>
      <c r="C354" s="214"/>
      <c r="D354" s="209" t="str">
        <f>IF(allSellings_table[[#This Row],[Date]]="","",TEXT(allSellings_table[[#This Row],[Date]],"mmmm"))</f>
        <v/>
      </c>
      <c r="E354" s="209"/>
      <c r="F354" s="210"/>
      <c r="H354" s="69"/>
      <c r="I354" s="228"/>
      <c r="J354" s="188"/>
      <c r="K354" s="54"/>
      <c r="L354" s="54"/>
      <c r="M354" s="54"/>
    </row>
    <row r="355" spans="1:13" x14ac:dyDescent="0.3">
      <c r="A355" s="205"/>
      <c r="B355" s="206"/>
      <c r="C355" s="214"/>
      <c r="D355" s="209" t="str">
        <f>IF(allSellings_table[[#This Row],[Date]]="","",TEXT(allSellings_table[[#This Row],[Date]],"mmmm"))</f>
        <v/>
      </c>
      <c r="E355" s="209"/>
      <c r="F355" s="210"/>
      <c r="H355" s="62"/>
      <c r="I355" s="227"/>
      <c r="J355" s="186"/>
      <c r="K355" s="53"/>
      <c r="L355" s="53"/>
      <c r="M355" s="53"/>
    </row>
    <row r="356" spans="1:13" x14ac:dyDescent="0.3">
      <c r="A356" s="205"/>
      <c r="B356" s="206"/>
      <c r="C356" s="214"/>
      <c r="D356" s="209" t="str">
        <f>IF(allSellings_table[[#This Row],[Date]]="","",TEXT(allSellings_table[[#This Row],[Date]],"mmmm"))</f>
        <v/>
      </c>
      <c r="E356" s="209"/>
      <c r="F356" s="210"/>
      <c r="H356" s="69"/>
      <c r="I356" s="228"/>
      <c r="J356" s="188"/>
      <c r="K356" s="54"/>
      <c r="L356" s="54"/>
      <c r="M356" s="54"/>
    </row>
    <row r="357" spans="1:13" x14ac:dyDescent="0.3">
      <c r="A357" s="205"/>
      <c r="B357" s="206"/>
      <c r="C357" s="214"/>
      <c r="D357" s="209" t="str">
        <f>IF(allSellings_table[[#This Row],[Date]]="","",TEXT(allSellings_table[[#This Row],[Date]],"mmmm"))</f>
        <v/>
      </c>
      <c r="E357" s="209"/>
      <c r="F357" s="210"/>
      <c r="H357" s="62"/>
      <c r="I357" s="227"/>
      <c r="J357" s="186"/>
      <c r="K357" s="53"/>
      <c r="L357" s="53"/>
      <c r="M357" s="53"/>
    </row>
    <row r="358" spans="1:13" x14ac:dyDescent="0.3">
      <c r="A358" s="205"/>
      <c r="B358" s="206"/>
      <c r="C358" s="214"/>
      <c r="D358" s="209" t="str">
        <f>IF(allSellings_table[[#This Row],[Date]]="","",TEXT(allSellings_table[[#This Row],[Date]],"mmmm"))</f>
        <v/>
      </c>
      <c r="E358" s="209"/>
      <c r="F358" s="210"/>
      <c r="H358" s="69"/>
      <c r="I358" s="228"/>
      <c r="J358" s="188"/>
      <c r="K358" s="54"/>
      <c r="L358" s="54"/>
      <c r="M358" s="54"/>
    </row>
    <row r="359" spans="1:13" x14ac:dyDescent="0.3">
      <c r="A359" s="205"/>
      <c r="B359" s="206"/>
      <c r="C359" s="214"/>
      <c r="D359" s="209" t="str">
        <f>IF(allSellings_table[[#This Row],[Date]]="","",TEXT(allSellings_table[[#This Row],[Date]],"mmmm"))</f>
        <v/>
      </c>
      <c r="E359" s="209"/>
      <c r="F359" s="210"/>
      <c r="H359" s="62"/>
      <c r="I359" s="227"/>
      <c r="J359" s="186"/>
      <c r="K359" s="53"/>
      <c r="L359" s="53"/>
      <c r="M359" s="53"/>
    </row>
    <row r="360" spans="1:13" x14ac:dyDescent="0.3">
      <c r="A360" s="205"/>
      <c r="B360" s="206"/>
      <c r="C360" s="214"/>
      <c r="D360" s="209" t="str">
        <f>IF(allSellings_table[[#This Row],[Date]]="","",TEXT(allSellings_table[[#This Row],[Date]],"mmmm"))</f>
        <v/>
      </c>
      <c r="E360" s="209"/>
      <c r="F360" s="210"/>
      <c r="H360" s="69"/>
      <c r="I360" s="228"/>
      <c r="J360" s="188"/>
      <c r="K360" s="54"/>
      <c r="L360" s="54"/>
      <c r="M360" s="54"/>
    </row>
    <row r="361" spans="1:13" x14ac:dyDescent="0.3">
      <c r="A361" s="205"/>
      <c r="B361" s="206"/>
      <c r="C361" s="214"/>
      <c r="D361" s="209" t="str">
        <f>IF(allSellings_table[[#This Row],[Date]]="","",TEXT(allSellings_table[[#This Row],[Date]],"mmmm"))</f>
        <v/>
      </c>
      <c r="E361" s="209"/>
      <c r="F361" s="210"/>
      <c r="H361" s="62"/>
      <c r="I361" s="227"/>
      <c r="J361" s="186"/>
      <c r="K361" s="53"/>
      <c r="L361" s="53"/>
      <c r="M361" s="53"/>
    </row>
    <row r="362" spans="1:13" x14ac:dyDescent="0.3">
      <c r="A362" s="205"/>
      <c r="B362" s="206"/>
      <c r="C362" s="214"/>
      <c r="D362" s="209" t="str">
        <f>IF(allSellings_table[[#This Row],[Date]]="","",TEXT(allSellings_table[[#This Row],[Date]],"mmmm"))</f>
        <v/>
      </c>
      <c r="E362" s="209"/>
      <c r="F362" s="210"/>
      <c r="H362" s="69"/>
      <c r="I362" s="228"/>
      <c r="J362" s="188"/>
      <c r="K362" s="54"/>
      <c r="L362" s="54"/>
      <c r="M362" s="54"/>
    </row>
    <row r="363" spans="1:13" x14ac:dyDescent="0.3">
      <c r="A363" s="205"/>
      <c r="B363" s="206"/>
      <c r="C363" s="214"/>
      <c r="D363" s="209" t="str">
        <f>IF(allSellings_table[[#This Row],[Date]]="","",TEXT(allSellings_table[[#This Row],[Date]],"mmmm"))</f>
        <v/>
      </c>
      <c r="E363" s="209"/>
      <c r="F363" s="210"/>
      <c r="H363" s="62"/>
      <c r="I363" s="227"/>
      <c r="J363" s="186"/>
      <c r="K363" s="53"/>
      <c r="L363" s="53"/>
      <c r="M363" s="53"/>
    </row>
    <row r="364" spans="1:13" x14ac:dyDescent="0.3">
      <c r="A364" s="205"/>
      <c r="B364" s="206"/>
      <c r="C364" s="214"/>
      <c r="D364" s="209" t="str">
        <f>IF(allSellings_table[[#This Row],[Date]]="","",TEXT(allSellings_table[[#This Row],[Date]],"mmmm"))</f>
        <v/>
      </c>
      <c r="E364" s="209"/>
      <c r="F364" s="210"/>
      <c r="H364" s="69"/>
      <c r="I364" s="228"/>
      <c r="J364" s="188"/>
      <c r="K364" s="54"/>
      <c r="L364" s="54"/>
      <c r="M364" s="54"/>
    </row>
    <row r="365" spans="1:13" x14ac:dyDescent="0.3">
      <c r="A365" s="205"/>
      <c r="B365" s="206"/>
      <c r="C365" s="214"/>
      <c r="D365" s="209" t="str">
        <f>IF(allSellings_table[[#This Row],[Date]]="","",TEXT(allSellings_table[[#This Row],[Date]],"mmmm"))</f>
        <v/>
      </c>
      <c r="E365" s="209"/>
      <c r="F365" s="210"/>
      <c r="H365" s="62"/>
      <c r="I365" s="227"/>
      <c r="J365" s="186"/>
      <c r="K365" s="53"/>
      <c r="L365" s="53"/>
      <c r="M365" s="53"/>
    </row>
    <row r="366" spans="1:13" x14ac:dyDescent="0.3">
      <c r="A366" s="205"/>
      <c r="B366" s="206"/>
      <c r="C366" s="214"/>
      <c r="D366" s="209" t="str">
        <f>IF(allSellings_table[[#This Row],[Date]]="","",TEXT(allSellings_table[[#This Row],[Date]],"mmmm"))</f>
        <v/>
      </c>
      <c r="E366" s="209"/>
      <c r="F366" s="210"/>
      <c r="H366" s="69"/>
      <c r="I366" s="228"/>
      <c r="J366" s="188"/>
      <c r="K366" s="54"/>
      <c r="L366" s="54"/>
      <c r="M366" s="54"/>
    </row>
    <row r="367" spans="1:13" x14ac:dyDescent="0.3">
      <c r="A367" s="205"/>
      <c r="B367" s="206"/>
      <c r="C367" s="214"/>
      <c r="D367" s="209" t="str">
        <f>IF(allSellings_table[[#This Row],[Date]]="","",TEXT(allSellings_table[[#This Row],[Date]],"mmmm"))</f>
        <v/>
      </c>
      <c r="E367" s="209"/>
      <c r="F367" s="210"/>
      <c r="H367" s="62"/>
      <c r="I367" s="227"/>
      <c r="J367" s="186"/>
      <c r="K367" s="53"/>
      <c r="L367" s="53"/>
      <c r="M367" s="53"/>
    </row>
    <row r="368" spans="1:13" x14ac:dyDescent="0.3">
      <c r="A368" s="205"/>
      <c r="B368" s="206"/>
      <c r="C368" s="214"/>
      <c r="D368" s="209" t="str">
        <f>IF(allSellings_table[[#This Row],[Date]]="","",TEXT(allSellings_table[[#This Row],[Date]],"mmmm"))</f>
        <v/>
      </c>
      <c r="E368" s="209"/>
      <c r="F368" s="210"/>
      <c r="H368" s="69"/>
      <c r="I368" s="228"/>
      <c r="J368" s="188"/>
      <c r="K368" s="54"/>
      <c r="L368" s="54"/>
      <c r="M368" s="54"/>
    </row>
    <row r="369" spans="1:13" x14ac:dyDescent="0.3">
      <c r="A369" s="205"/>
      <c r="B369" s="206"/>
      <c r="C369" s="214"/>
      <c r="D369" s="209" t="str">
        <f>IF(allSellings_table[[#This Row],[Date]]="","",TEXT(allSellings_table[[#This Row],[Date]],"mmmm"))</f>
        <v/>
      </c>
      <c r="E369" s="209"/>
      <c r="F369" s="210"/>
      <c r="H369" s="62"/>
      <c r="I369" s="227"/>
      <c r="J369" s="186"/>
      <c r="K369" s="53"/>
      <c r="L369" s="53"/>
      <c r="M369" s="53"/>
    </row>
    <row r="370" spans="1:13" x14ac:dyDescent="0.3">
      <c r="A370" s="205"/>
      <c r="B370" s="206"/>
      <c r="C370" s="214"/>
      <c r="D370" s="209" t="str">
        <f>IF(allSellings_table[[#This Row],[Date]]="","",TEXT(allSellings_table[[#This Row],[Date]],"mmmm"))</f>
        <v/>
      </c>
      <c r="E370" s="209"/>
      <c r="F370" s="210"/>
      <c r="H370" s="69"/>
      <c r="I370" s="228"/>
      <c r="J370" s="188"/>
      <c r="K370" s="54"/>
      <c r="L370" s="54"/>
      <c r="M370" s="54"/>
    </row>
    <row r="371" spans="1:13" x14ac:dyDescent="0.3">
      <c r="A371" s="205"/>
      <c r="B371" s="206"/>
      <c r="C371" s="214"/>
      <c r="D371" s="209" t="str">
        <f>IF(allSellings_table[[#This Row],[Date]]="","",TEXT(allSellings_table[[#This Row],[Date]],"mmmm"))</f>
        <v/>
      </c>
      <c r="E371" s="209"/>
      <c r="F371" s="210"/>
      <c r="H371" s="62"/>
      <c r="I371" s="227"/>
      <c r="J371" s="186"/>
      <c r="K371" s="53"/>
      <c r="L371" s="53"/>
      <c r="M371" s="53"/>
    </row>
    <row r="372" spans="1:13" x14ac:dyDescent="0.3">
      <c r="A372" s="205"/>
      <c r="B372" s="206"/>
      <c r="C372" s="214"/>
      <c r="D372" s="209" t="str">
        <f>IF(allSellings_table[[#This Row],[Date]]="","",TEXT(allSellings_table[[#This Row],[Date]],"mmmm"))</f>
        <v/>
      </c>
      <c r="E372" s="209"/>
      <c r="F372" s="210"/>
      <c r="H372" s="69"/>
      <c r="I372" s="228"/>
      <c r="J372" s="188"/>
      <c r="K372" s="54"/>
      <c r="L372" s="54"/>
      <c r="M372" s="54"/>
    </row>
    <row r="373" spans="1:13" x14ac:dyDescent="0.3">
      <c r="A373" s="205"/>
      <c r="B373" s="206"/>
      <c r="C373" s="214"/>
      <c r="D373" s="209" t="str">
        <f>IF(allSellings_table[[#This Row],[Date]]="","",TEXT(allSellings_table[[#This Row],[Date]],"mmmm"))</f>
        <v/>
      </c>
      <c r="E373" s="209"/>
      <c r="F373" s="210"/>
      <c r="H373" s="62"/>
      <c r="I373" s="227"/>
      <c r="J373" s="186"/>
      <c r="K373" s="53"/>
      <c r="L373" s="53"/>
      <c r="M373" s="53"/>
    </row>
    <row r="374" spans="1:13" x14ac:dyDescent="0.3">
      <c r="A374" s="205"/>
      <c r="B374" s="206"/>
      <c r="C374" s="214"/>
      <c r="D374" s="209" t="str">
        <f>IF(allSellings_table[[#This Row],[Date]]="","",TEXT(allSellings_table[[#This Row],[Date]],"mmmm"))</f>
        <v/>
      </c>
      <c r="E374" s="209"/>
      <c r="F374" s="210"/>
      <c r="H374" s="69"/>
      <c r="I374" s="228"/>
      <c r="J374" s="188"/>
      <c r="K374" s="54"/>
      <c r="L374" s="54"/>
      <c r="M374" s="54"/>
    </row>
    <row r="375" spans="1:13" x14ac:dyDescent="0.3">
      <c r="A375" s="205"/>
      <c r="B375" s="206"/>
      <c r="C375" s="214"/>
      <c r="D375" s="209" t="str">
        <f>IF(allSellings_table[[#This Row],[Date]]="","",TEXT(allSellings_table[[#This Row],[Date]],"mmmm"))</f>
        <v/>
      </c>
      <c r="E375" s="209"/>
      <c r="F375" s="210"/>
      <c r="H375" s="62"/>
      <c r="I375" s="227"/>
      <c r="J375" s="186"/>
      <c r="K375" s="53"/>
      <c r="L375" s="53"/>
      <c r="M375" s="53"/>
    </row>
    <row r="376" spans="1:13" x14ac:dyDescent="0.3">
      <c r="A376" s="205"/>
      <c r="B376" s="206"/>
      <c r="C376" s="214"/>
      <c r="D376" s="209" t="str">
        <f>IF(allSellings_table[[#This Row],[Date]]="","",TEXT(allSellings_table[[#This Row],[Date]],"mmmm"))</f>
        <v/>
      </c>
      <c r="E376" s="209"/>
      <c r="F376" s="210"/>
      <c r="H376" s="69"/>
      <c r="I376" s="228"/>
      <c r="J376" s="188"/>
      <c r="K376" s="54"/>
      <c r="L376" s="54"/>
      <c r="M376" s="54"/>
    </row>
    <row r="377" spans="1:13" x14ac:dyDescent="0.3">
      <c r="A377" s="205"/>
      <c r="B377" s="206"/>
      <c r="C377" s="214"/>
      <c r="D377" s="209" t="str">
        <f>IF(allSellings_table[[#This Row],[Date]]="","",TEXT(allSellings_table[[#This Row],[Date]],"mmmm"))</f>
        <v/>
      </c>
      <c r="E377" s="209"/>
      <c r="F377" s="210"/>
      <c r="H377" s="62"/>
      <c r="I377" s="227"/>
      <c r="J377" s="186"/>
      <c r="K377" s="53"/>
      <c r="L377" s="53"/>
      <c r="M377" s="53"/>
    </row>
    <row r="378" spans="1:13" x14ac:dyDescent="0.3">
      <c r="A378" s="205"/>
      <c r="B378" s="206"/>
      <c r="C378" s="214"/>
      <c r="D378" s="209" t="str">
        <f>IF(allSellings_table[[#This Row],[Date]]="","",TEXT(allSellings_table[[#This Row],[Date]],"mmmm"))</f>
        <v/>
      </c>
      <c r="E378" s="209"/>
      <c r="F378" s="210"/>
      <c r="H378" s="69"/>
      <c r="I378" s="228"/>
      <c r="J378" s="188"/>
      <c r="K378" s="54"/>
      <c r="L378" s="54"/>
      <c r="M378" s="54"/>
    </row>
    <row r="379" spans="1:13" x14ac:dyDescent="0.3">
      <c r="A379" s="205"/>
      <c r="B379" s="206"/>
      <c r="C379" s="214"/>
      <c r="D379" s="209" t="str">
        <f>IF(allSellings_table[[#This Row],[Date]]="","",TEXT(allSellings_table[[#This Row],[Date]],"mmmm"))</f>
        <v/>
      </c>
      <c r="E379" s="209"/>
      <c r="F379" s="210"/>
      <c r="H379" s="62"/>
      <c r="I379" s="227"/>
      <c r="J379" s="186"/>
      <c r="K379" s="53"/>
      <c r="L379" s="53"/>
      <c r="M379" s="53"/>
    </row>
    <row r="380" spans="1:13" x14ac:dyDescent="0.3">
      <c r="A380" s="205"/>
      <c r="B380" s="206"/>
      <c r="C380" s="214"/>
      <c r="D380" s="209" t="str">
        <f>IF(allSellings_table[[#This Row],[Date]]="","",TEXT(allSellings_table[[#This Row],[Date]],"mmmm"))</f>
        <v/>
      </c>
      <c r="E380" s="209"/>
      <c r="F380" s="210"/>
      <c r="H380" s="69"/>
      <c r="I380" s="228"/>
      <c r="J380" s="188"/>
      <c r="K380" s="54"/>
      <c r="L380" s="54"/>
      <c r="M380" s="54"/>
    </row>
    <row r="381" spans="1:13" x14ac:dyDescent="0.3">
      <c r="A381" s="205"/>
      <c r="B381" s="206"/>
      <c r="C381" s="214"/>
      <c r="D381" s="209" t="str">
        <f>IF(allSellings_table[[#This Row],[Date]]="","",TEXT(allSellings_table[[#This Row],[Date]],"mmmm"))</f>
        <v/>
      </c>
      <c r="E381" s="209"/>
      <c r="F381" s="210"/>
      <c r="H381" s="62"/>
      <c r="I381" s="227"/>
      <c r="J381" s="186"/>
      <c r="K381" s="53"/>
      <c r="L381" s="53"/>
      <c r="M381" s="53"/>
    </row>
    <row r="382" spans="1:13" x14ac:dyDescent="0.3">
      <c r="A382" s="205"/>
      <c r="B382" s="206"/>
      <c r="C382" s="214"/>
      <c r="D382" s="209" t="str">
        <f>IF(allSellings_table[[#This Row],[Date]]="","",TEXT(allSellings_table[[#This Row],[Date]],"mmmm"))</f>
        <v/>
      </c>
      <c r="E382" s="209"/>
      <c r="F382" s="210"/>
      <c r="H382" s="69"/>
      <c r="I382" s="228"/>
      <c r="J382" s="188"/>
      <c r="K382" s="54"/>
      <c r="L382" s="54"/>
      <c r="M382" s="54"/>
    </row>
    <row r="383" spans="1:13" x14ac:dyDescent="0.3">
      <c r="A383" s="205"/>
      <c r="B383" s="206"/>
      <c r="C383" s="214"/>
      <c r="D383" s="209" t="str">
        <f>IF(allSellings_table[[#This Row],[Date]]="","",TEXT(allSellings_table[[#This Row],[Date]],"mmmm"))</f>
        <v/>
      </c>
      <c r="E383" s="209"/>
      <c r="F383" s="210"/>
      <c r="H383" s="62"/>
      <c r="I383" s="227"/>
      <c r="J383" s="186"/>
      <c r="K383" s="53"/>
      <c r="L383" s="53"/>
      <c r="M383" s="53"/>
    </row>
    <row r="384" spans="1:13" x14ac:dyDescent="0.3">
      <c r="A384" s="205"/>
      <c r="B384" s="206"/>
      <c r="C384" s="214"/>
      <c r="D384" s="209" t="str">
        <f>IF(allSellings_table[[#This Row],[Date]]="","",TEXT(allSellings_table[[#This Row],[Date]],"mmmm"))</f>
        <v/>
      </c>
      <c r="E384" s="209"/>
      <c r="F384" s="210"/>
      <c r="H384" s="69"/>
      <c r="I384" s="228"/>
      <c r="J384" s="188"/>
      <c r="K384" s="54"/>
      <c r="L384" s="54"/>
      <c r="M384" s="54"/>
    </row>
    <row r="385" spans="1:13" x14ac:dyDescent="0.3">
      <c r="A385" s="205"/>
      <c r="B385" s="206"/>
      <c r="C385" s="214"/>
      <c r="D385" s="209" t="str">
        <f>IF(allSellings_table[[#This Row],[Date]]="","",TEXT(allSellings_table[[#This Row],[Date]],"mmmm"))</f>
        <v/>
      </c>
      <c r="E385" s="209"/>
      <c r="F385" s="210"/>
      <c r="H385" s="62"/>
      <c r="I385" s="227"/>
      <c r="J385" s="186"/>
      <c r="K385" s="53"/>
      <c r="L385" s="53"/>
      <c r="M385" s="53"/>
    </row>
    <row r="386" spans="1:13" x14ac:dyDescent="0.3">
      <c r="A386" s="205"/>
      <c r="B386" s="206"/>
      <c r="C386" s="214"/>
      <c r="D386" s="209" t="str">
        <f>IF(allSellings_table[[#This Row],[Date]]="","",TEXT(allSellings_table[[#This Row],[Date]],"mmmm"))</f>
        <v/>
      </c>
      <c r="E386" s="209"/>
      <c r="F386" s="210"/>
      <c r="H386" s="69"/>
      <c r="I386" s="228"/>
      <c r="J386" s="188"/>
      <c r="K386" s="54"/>
      <c r="L386" s="54"/>
      <c r="M386" s="54"/>
    </row>
    <row r="387" spans="1:13" x14ac:dyDescent="0.3">
      <c r="A387" s="205"/>
      <c r="B387" s="206"/>
      <c r="C387" s="214"/>
      <c r="D387" s="209" t="str">
        <f>IF(allSellings_table[[#This Row],[Date]]="","",TEXT(allSellings_table[[#This Row],[Date]],"mmmm"))</f>
        <v/>
      </c>
      <c r="E387" s="209"/>
      <c r="F387" s="210"/>
      <c r="H387" s="62"/>
      <c r="I387" s="227"/>
      <c r="J387" s="186"/>
      <c r="K387" s="53"/>
      <c r="L387" s="53"/>
      <c r="M387" s="53"/>
    </row>
    <row r="388" spans="1:13" x14ac:dyDescent="0.3">
      <c r="A388" s="205"/>
      <c r="B388" s="206"/>
      <c r="C388" s="214"/>
      <c r="D388" s="209" t="str">
        <f>IF(allSellings_table[[#This Row],[Date]]="","",TEXT(allSellings_table[[#This Row],[Date]],"mmmm"))</f>
        <v/>
      </c>
      <c r="E388" s="209"/>
      <c r="F388" s="210"/>
      <c r="H388" s="69"/>
      <c r="I388" s="228"/>
      <c r="J388" s="188"/>
      <c r="K388" s="54"/>
      <c r="L388" s="54"/>
      <c r="M388" s="54"/>
    </row>
    <row r="389" spans="1:13" x14ac:dyDescent="0.3">
      <c r="A389" s="205"/>
      <c r="B389" s="206"/>
      <c r="C389" s="214"/>
      <c r="D389" s="209" t="str">
        <f>IF(allSellings_table[[#This Row],[Date]]="","",TEXT(allSellings_table[[#This Row],[Date]],"mmmm"))</f>
        <v/>
      </c>
      <c r="E389" s="209"/>
      <c r="F389" s="210"/>
      <c r="H389" s="62"/>
      <c r="I389" s="227"/>
      <c r="J389" s="186"/>
      <c r="K389" s="53"/>
      <c r="L389" s="53"/>
      <c r="M389" s="53"/>
    </row>
    <row r="390" spans="1:13" x14ac:dyDescent="0.3">
      <c r="A390" s="205"/>
      <c r="B390" s="206"/>
      <c r="C390" s="214"/>
      <c r="D390" s="209" t="str">
        <f>IF(allSellings_table[[#This Row],[Date]]="","",TEXT(allSellings_table[[#This Row],[Date]],"mmmm"))</f>
        <v/>
      </c>
      <c r="E390" s="209"/>
      <c r="F390" s="210"/>
      <c r="H390" s="69"/>
      <c r="I390" s="228"/>
      <c r="J390" s="188"/>
      <c r="K390" s="54"/>
      <c r="L390" s="54"/>
      <c r="M390" s="54"/>
    </row>
    <row r="391" spans="1:13" x14ac:dyDescent="0.3">
      <c r="A391" s="205"/>
      <c r="B391" s="206"/>
      <c r="C391" s="214"/>
      <c r="D391" s="209" t="str">
        <f>IF(allSellings_table[[#This Row],[Date]]="","",TEXT(allSellings_table[[#This Row],[Date]],"mmmm"))</f>
        <v/>
      </c>
      <c r="E391" s="209"/>
      <c r="F391" s="210"/>
      <c r="H391" s="62"/>
      <c r="I391" s="227"/>
      <c r="J391" s="186"/>
      <c r="K391" s="53"/>
      <c r="L391" s="53"/>
      <c r="M391" s="53"/>
    </row>
    <row r="392" spans="1:13" x14ac:dyDescent="0.3">
      <c r="A392" s="205"/>
      <c r="B392" s="206"/>
      <c r="C392" s="214"/>
      <c r="D392" s="209" t="str">
        <f>IF(allSellings_table[[#This Row],[Date]]="","",TEXT(allSellings_table[[#This Row],[Date]],"mmmm"))</f>
        <v/>
      </c>
      <c r="E392" s="209"/>
      <c r="F392" s="210"/>
      <c r="H392" s="69"/>
      <c r="I392" s="228"/>
      <c r="J392" s="188"/>
      <c r="K392" s="54"/>
      <c r="L392" s="54"/>
      <c r="M392" s="54"/>
    </row>
    <row r="393" spans="1:13" x14ac:dyDescent="0.3">
      <c r="A393" s="205"/>
      <c r="B393" s="206"/>
      <c r="C393" s="214"/>
      <c r="D393" s="209" t="str">
        <f>IF(allSellings_table[[#This Row],[Date]]="","",TEXT(allSellings_table[[#This Row],[Date]],"mmmm"))</f>
        <v/>
      </c>
      <c r="E393" s="209"/>
      <c r="F393" s="210"/>
      <c r="H393" s="62"/>
      <c r="I393" s="227"/>
      <c r="J393" s="186"/>
      <c r="K393" s="53"/>
      <c r="L393" s="53"/>
      <c r="M393" s="53"/>
    </row>
    <row r="394" spans="1:13" x14ac:dyDescent="0.3">
      <c r="A394" s="205"/>
      <c r="B394" s="206"/>
      <c r="C394" s="214"/>
      <c r="D394" s="209" t="str">
        <f>IF(allSellings_table[[#This Row],[Date]]="","",TEXT(allSellings_table[[#This Row],[Date]],"mmmm"))</f>
        <v/>
      </c>
      <c r="E394" s="209"/>
      <c r="F394" s="210"/>
      <c r="H394" s="69"/>
      <c r="I394" s="228"/>
      <c r="J394" s="188"/>
      <c r="K394" s="54"/>
      <c r="L394" s="54"/>
      <c r="M394" s="54"/>
    </row>
    <row r="395" spans="1:13" x14ac:dyDescent="0.3">
      <c r="A395" s="205"/>
      <c r="B395" s="206"/>
      <c r="C395" s="214"/>
      <c r="D395" s="209" t="str">
        <f>IF(allSellings_table[[#This Row],[Date]]="","",TEXT(allSellings_table[[#This Row],[Date]],"mmmm"))</f>
        <v/>
      </c>
      <c r="E395" s="209"/>
      <c r="F395" s="210"/>
      <c r="H395" s="62"/>
      <c r="I395" s="227"/>
      <c r="J395" s="186"/>
      <c r="K395" s="53"/>
      <c r="L395" s="53"/>
      <c r="M395" s="53"/>
    </row>
    <row r="396" spans="1:13" x14ac:dyDescent="0.3">
      <c r="A396" s="205"/>
      <c r="B396" s="206"/>
      <c r="C396" s="214"/>
      <c r="D396" s="209" t="str">
        <f>IF(allSellings_table[[#This Row],[Date]]="","",TEXT(allSellings_table[[#This Row],[Date]],"mmmm"))</f>
        <v/>
      </c>
      <c r="E396" s="209"/>
      <c r="F396" s="210"/>
      <c r="H396" s="69"/>
      <c r="I396" s="228"/>
      <c r="J396" s="188"/>
      <c r="K396" s="54"/>
      <c r="L396" s="54"/>
      <c r="M396" s="54"/>
    </row>
    <row r="397" spans="1:13" x14ac:dyDescent="0.3">
      <c r="A397" s="205"/>
      <c r="B397" s="206"/>
      <c r="C397" s="214"/>
      <c r="D397" s="209" t="str">
        <f>IF(allSellings_table[[#This Row],[Date]]="","",TEXT(allSellings_table[[#This Row],[Date]],"mmmm"))</f>
        <v/>
      </c>
      <c r="E397" s="209"/>
      <c r="F397" s="210"/>
      <c r="H397" s="62"/>
      <c r="I397" s="227"/>
      <c r="J397" s="186"/>
      <c r="K397" s="53"/>
      <c r="L397" s="53"/>
      <c r="M397" s="53"/>
    </row>
    <row r="398" spans="1:13" x14ac:dyDescent="0.3">
      <c r="A398" s="205"/>
      <c r="B398" s="206"/>
      <c r="C398" s="214"/>
      <c r="D398" s="209" t="str">
        <f>IF(allSellings_table[[#This Row],[Date]]="","",TEXT(allSellings_table[[#This Row],[Date]],"mmmm"))</f>
        <v/>
      </c>
      <c r="E398" s="209"/>
      <c r="F398" s="210"/>
      <c r="H398" s="69"/>
      <c r="I398" s="228"/>
      <c r="J398" s="188"/>
      <c r="K398" s="54"/>
      <c r="L398" s="54"/>
      <c r="M398" s="54"/>
    </row>
    <row r="399" spans="1:13" x14ac:dyDescent="0.3">
      <c r="A399" s="205"/>
      <c r="B399" s="206"/>
      <c r="C399" s="214"/>
      <c r="D399" s="209" t="str">
        <f>IF(allSellings_table[[#This Row],[Date]]="","",TEXT(allSellings_table[[#This Row],[Date]],"mmmm"))</f>
        <v/>
      </c>
      <c r="E399" s="209"/>
      <c r="F399" s="210"/>
      <c r="H399" s="62"/>
      <c r="I399" s="227"/>
      <c r="J399" s="186"/>
      <c r="K399" s="53"/>
      <c r="L399" s="53"/>
      <c r="M399" s="53"/>
    </row>
    <row r="400" spans="1:13" x14ac:dyDescent="0.3">
      <c r="A400" s="205"/>
      <c r="B400" s="206"/>
      <c r="C400" s="214"/>
      <c r="D400" s="209" t="str">
        <f>IF(allSellings_table[[#This Row],[Date]]="","",TEXT(allSellings_table[[#This Row],[Date]],"mmmm"))</f>
        <v/>
      </c>
      <c r="E400" s="209"/>
      <c r="F400" s="210"/>
      <c r="H400" s="69"/>
      <c r="I400" s="228"/>
      <c r="J400" s="188"/>
      <c r="K400" s="54"/>
      <c r="L400" s="54"/>
      <c r="M400" s="54"/>
    </row>
    <row r="401" spans="1:13" x14ac:dyDescent="0.3">
      <c r="A401" s="205"/>
      <c r="B401" s="206"/>
      <c r="C401" s="214"/>
      <c r="D401" s="209" t="str">
        <f>IF(allSellings_table[[#This Row],[Date]]="","",TEXT(allSellings_table[[#This Row],[Date]],"mmmm"))</f>
        <v/>
      </c>
      <c r="E401" s="209"/>
      <c r="F401" s="210"/>
      <c r="H401" s="62"/>
      <c r="I401" s="227"/>
      <c r="J401" s="186"/>
      <c r="K401" s="53"/>
      <c r="L401" s="53"/>
      <c r="M401" s="53"/>
    </row>
    <row r="402" spans="1:13" x14ac:dyDescent="0.3">
      <c r="A402" s="205"/>
      <c r="B402" s="206"/>
      <c r="C402" s="214"/>
      <c r="D402" s="209" t="str">
        <f>IF(allSellings_table[[#This Row],[Date]]="","",TEXT(allSellings_table[[#This Row],[Date]],"mmmm"))</f>
        <v/>
      </c>
      <c r="E402" s="209"/>
      <c r="F402" s="210"/>
      <c r="H402" s="69"/>
      <c r="I402" s="228"/>
      <c r="J402" s="188"/>
      <c r="K402" s="54"/>
      <c r="L402" s="54"/>
      <c r="M402" s="54"/>
    </row>
    <row r="403" spans="1:13" x14ac:dyDescent="0.3">
      <c r="A403" s="205"/>
      <c r="B403" s="206"/>
      <c r="C403" s="214"/>
      <c r="D403" s="209" t="str">
        <f>IF(allSellings_table[[#This Row],[Date]]="","",TEXT(allSellings_table[[#This Row],[Date]],"mmmm"))</f>
        <v/>
      </c>
      <c r="E403" s="209"/>
      <c r="F403" s="210"/>
      <c r="H403" s="62"/>
      <c r="I403" s="227"/>
      <c r="J403" s="186"/>
      <c r="K403" s="53"/>
      <c r="L403" s="53"/>
      <c r="M403" s="53"/>
    </row>
    <row r="404" spans="1:13" x14ac:dyDescent="0.3">
      <c r="A404" s="205"/>
      <c r="B404" s="206"/>
      <c r="C404" s="214"/>
      <c r="D404" s="209" t="str">
        <f>IF(allSellings_table[[#This Row],[Date]]="","",TEXT(allSellings_table[[#This Row],[Date]],"mmmm"))</f>
        <v/>
      </c>
      <c r="E404" s="209"/>
      <c r="F404" s="210"/>
      <c r="H404" s="69"/>
      <c r="I404" s="228"/>
      <c r="J404" s="188"/>
      <c r="K404" s="54"/>
      <c r="L404" s="54"/>
      <c r="M404" s="54"/>
    </row>
    <row r="405" spans="1:13" x14ac:dyDescent="0.3">
      <c r="A405" s="205"/>
      <c r="B405" s="206"/>
      <c r="C405" s="214"/>
      <c r="D405" s="209" t="str">
        <f>IF(allSellings_table[[#This Row],[Date]]="","",TEXT(allSellings_table[[#This Row],[Date]],"mmmm"))</f>
        <v/>
      </c>
      <c r="E405" s="209"/>
      <c r="F405" s="210"/>
      <c r="H405" s="62"/>
      <c r="I405" s="227"/>
      <c r="J405" s="186"/>
      <c r="K405" s="53"/>
      <c r="L405" s="53"/>
      <c r="M405" s="53"/>
    </row>
    <row r="406" spans="1:13" x14ac:dyDescent="0.3">
      <c r="A406" s="205"/>
      <c r="B406" s="206"/>
      <c r="C406" s="214"/>
      <c r="D406" s="209" t="str">
        <f>IF(allSellings_table[[#This Row],[Date]]="","",TEXT(allSellings_table[[#This Row],[Date]],"mmmm"))</f>
        <v/>
      </c>
      <c r="E406" s="209"/>
      <c r="F406" s="210"/>
      <c r="H406" s="69"/>
      <c r="I406" s="228"/>
      <c r="J406" s="188"/>
      <c r="K406" s="54"/>
      <c r="L406" s="54"/>
      <c r="M406" s="54"/>
    </row>
    <row r="407" spans="1:13" x14ac:dyDescent="0.3">
      <c r="A407" s="205"/>
      <c r="B407" s="206"/>
      <c r="C407" s="214"/>
      <c r="D407" s="209" t="str">
        <f>IF(allSellings_table[[#This Row],[Date]]="","",TEXT(allSellings_table[[#This Row],[Date]],"mmmm"))</f>
        <v/>
      </c>
      <c r="E407" s="209"/>
      <c r="F407" s="210"/>
      <c r="H407" s="62"/>
      <c r="I407" s="227"/>
      <c r="J407" s="186"/>
      <c r="K407" s="53"/>
      <c r="L407" s="53"/>
      <c r="M407" s="53"/>
    </row>
    <row r="408" spans="1:13" x14ac:dyDescent="0.3">
      <c r="A408" s="205"/>
      <c r="B408" s="206"/>
      <c r="C408" s="214"/>
      <c r="D408" s="209" t="str">
        <f>IF(allSellings_table[[#This Row],[Date]]="","",TEXT(allSellings_table[[#This Row],[Date]],"mmmm"))</f>
        <v/>
      </c>
      <c r="E408" s="209"/>
      <c r="F408" s="210"/>
      <c r="H408" s="69"/>
      <c r="I408" s="228"/>
      <c r="J408" s="188"/>
      <c r="K408" s="54"/>
      <c r="L408" s="54"/>
      <c r="M408" s="54"/>
    </row>
    <row r="409" spans="1:13" x14ac:dyDescent="0.3">
      <c r="A409" s="205"/>
      <c r="B409" s="206"/>
      <c r="C409" s="214"/>
      <c r="D409" s="209" t="str">
        <f>IF(allSellings_table[[#This Row],[Date]]="","",TEXT(allSellings_table[[#This Row],[Date]],"mmmm"))</f>
        <v/>
      </c>
      <c r="E409" s="209"/>
      <c r="F409" s="210"/>
      <c r="H409" s="62"/>
      <c r="I409" s="227"/>
      <c r="J409" s="186"/>
      <c r="K409" s="53"/>
      <c r="L409" s="53"/>
      <c r="M409" s="53"/>
    </row>
    <row r="410" spans="1:13" x14ac:dyDescent="0.3">
      <c r="A410" s="205"/>
      <c r="B410" s="206"/>
      <c r="C410" s="214"/>
      <c r="D410" s="209" t="str">
        <f>IF(allSellings_table[[#This Row],[Date]]="","",TEXT(allSellings_table[[#This Row],[Date]],"mmmm"))</f>
        <v/>
      </c>
      <c r="E410" s="209"/>
      <c r="F410" s="210"/>
      <c r="H410" s="69"/>
      <c r="I410" s="228"/>
      <c r="J410" s="188"/>
      <c r="K410" s="54"/>
      <c r="L410" s="54"/>
      <c r="M410" s="54"/>
    </row>
    <row r="411" spans="1:13" x14ac:dyDescent="0.3">
      <c r="A411" s="205"/>
      <c r="B411" s="206"/>
      <c r="C411" s="214"/>
      <c r="D411" s="209" t="str">
        <f>IF(allSellings_table[[#This Row],[Date]]="","",TEXT(allSellings_table[[#This Row],[Date]],"mmmm"))</f>
        <v/>
      </c>
      <c r="E411" s="209"/>
      <c r="F411" s="210"/>
      <c r="H411" s="62"/>
      <c r="I411" s="227"/>
      <c r="J411" s="186"/>
      <c r="K411" s="53"/>
      <c r="L411" s="53"/>
      <c r="M411" s="53"/>
    </row>
    <row r="412" spans="1:13" x14ac:dyDescent="0.3">
      <c r="A412" s="205"/>
      <c r="B412" s="206"/>
      <c r="C412" s="214"/>
      <c r="D412" s="209" t="str">
        <f>IF(allSellings_table[[#This Row],[Date]]="","",TEXT(allSellings_table[[#This Row],[Date]],"mmmm"))</f>
        <v/>
      </c>
      <c r="E412" s="209"/>
      <c r="F412" s="210"/>
      <c r="H412" s="69"/>
      <c r="I412" s="228"/>
      <c r="J412" s="188"/>
      <c r="K412" s="54"/>
      <c r="L412" s="54"/>
      <c r="M412" s="54"/>
    </row>
    <row r="413" spans="1:13" x14ac:dyDescent="0.3">
      <c r="A413" s="205"/>
      <c r="B413" s="206"/>
      <c r="C413" s="214"/>
      <c r="D413" s="209" t="str">
        <f>IF(allSellings_table[[#This Row],[Date]]="","",TEXT(allSellings_table[[#This Row],[Date]],"mmmm"))</f>
        <v/>
      </c>
      <c r="E413" s="209"/>
      <c r="F413" s="210"/>
      <c r="H413" s="62"/>
      <c r="I413" s="227"/>
      <c r="J413" s="186"/>
      <c r="K413" s="53"/>
      <c r="L413" s="53"/>
      <c r="M413" s="53"/>
    </row>
    <row r="414" spans="1:13" x14ac:dyDescent="0.3">
      <c r="A414" s="205"/>
      <c r="B414" s="206"/>
      <c r="C414" s="214"/>
      <c r="D414" s="209" t="str">
        <f>IF(allSellings_table[[#This Row],[Date]]="","",TEXT(allSellings_table[[#This Row],[Date]],"mmmm"))</f>
        <v/>
      </c>
      <c r="E414" s="209"/>
      <c r="F414" s="210"/>
      <c r="H414" s="69"/>
      <c r="I414" s="228"/>
      <c r="J414" s="188"/>
      <c r="K414" s="54"/>
      <c r="L414" s="54"/>
      <c r="M414" s="54"/>
    </row>
    <row r="415" spans="1:13" x14ac:dyDescent="0.3">
      <c r="A415" s="205"/>
      <c r="B415" s="206"/>
      <c r="C415" s="214"/>
      <c r="D415" s="209" t="str">
        <f>IF(allSellings_table[[#This Row],[Date]]="","",TEXT(allSellings_table[[#This Row],[Date]],"mmmm"))</f>
        <v/>
      </c>
      <c r="E415" s="209"/>
      <c r="F415" s="210"/>
      <c r="H415" s="62"/>
      <c r="I415" s="227"/>
      <c r="J415" s="186"/>
      <c r="K415" s="53"/>
      <c r="L415" s="53"/>
      <c r="M415" s="53"/>
    </row>
    <row r="416" spans="1:13" x14ac:dyDescent="0.3">
      <c r="A416" s="205"/>
      <c r="B416" s="206"/>
      <c r="C416" s="214"/>
      <c r="D416" s="209" t="str">
        <f>IF(allSellings_table[[#This Row],[Date]]="","",TEXT(allSellings_table[[#This Row],[Date]],"mmmm"))</f>
        <v/>
      </c>
      <c r="E416" s="209"/>
      <c r="F416" s="210"/>
      <c r="H416" s="69"/>
      <c r="I416" s="228"/>
      <c r="J416" s="188"/>
      <c r="K416" s="54"/>
      <c r="L416" s="54"/>
      <c r="M416" s="54"/>
    </row>
    <row r="417" spans="1:13" x14ac:dyDescent="0.3">
      <c r="A417" s="205"/>
      <c r="B417" s="206"/>
      <c r="C417" s="214"/>
      <c r="D417" s="209" t="str">
        <f>IF(allSellings_table[[#This Row],[Date]]="","",TEXT(allSellings_table[[#This Row],[Date]],"mmmm"))</f>
        <v/>
      </c>
      <c r="E417" s="209"/>
      <c r="F417" s="210"/>
      <c r="H417" s="62"/>
      <c r="I417" s="227"/>
      <c r="J417" s="186"/>
      <c r="K417" s="53"/>
      <c r="L417" s="53"/>
      <c r="M417" s="53"/>
    </row>
    <row r="418" spans="1:13" x14ac:dyDescent="0.3">
      <c r="A418" s="205"/>
      <c r="B418" s="206"/>
      <c r="C418" s="214"/>
      <c r="D418" s="209" t="str">
        <f>IF(allSellings_table[[#This Row],[Date]]="","",TEXT(allSellings_table[[#This Row],[Date]],"mmmm"))</f>
        <v/>
      </c>
      <c r="E418" s="209"/>
      <c r="F418" s="210"/>
      <c r="H418" s="69"/>
      <c r="I418" s="228"/>
      <c r="J418" s="188"/>
      <c r="K418" s="54"/>
      <c r="L418" s="54"/>
      <c r="M418" s="54"/>
    </row>
    <row r="419" spans="1:13" x14ac:dyDescent="0.3">
      <c r="A419" s="205"/>
      <c r="B419" s="206"/>
      <c r="C419" s="214"/>
      <c r="D419" s="209" t="str">
        <f>IF(allSellings_table[[#This Row],[Date]]="","",TEXT(allSellings_table[[#This Row],[Date]],"mmmm"))</f>
        <v/>
      </c>
      <c r="E419" s="209"/>
      <c r="F419" s="210"/>
      <c r="H419" s="62"/>
      <c r="I419" s="227"/>
      <c r="J419" s="186"/>
      <c r="K419" s="53"/>
      <c r="L419" s="53"/>
      <c r="M419" s="53"/>
    </row>
    <row r="420" spans="1:13" x14ac:dyDescent="0.3">
      <c r="A420" s="205"/>
      <c r="B420" s="206"/>
      <c r="C420" s="214"/>
      <c r="D420" s="209" t="str">
        <f>IF(allSellings_table[[#This Row],[Date]]="","",TEXT(allSellings_table[[#This Row],[Date]],"mmmm"))</f>
        <v/>
      </c>
      <c r="E420" s="209"/>
      <c r="F420" s="210"/>
      <c r="H420" s="69"/>
      <c r="I420" s="228"/>
      <c r="J420" s="188"/>
      <c r="K420" s="54"/>
      <c r="L420" s="54"/>
      <c r="M420" s="54"/>
    </row>
    <row r="421" spans="1:13" x14ac:dyDescent="0.3">
      <c r="A421" s="205"/>
      <c r="B421" s="206"/>
      <c r="C421" s="214"/>
      <c r="D421" s="209" t="str">
        <f>IF(allSellings_table[[#This Row],[Date]]="","",TEXT(allSellings_table[[#This Row],[Date]],"mmmm"))</f>
        <v/>
      </c>
      <c r="E421" s="209"/>
      <c r="F421" s="210"/>
      <c r="H421" s="62"/>
      <c r="I421" s="227"/>
      <c r="J421" s="186"/>
      <c r="K421" s="53"/>
      <c r="L421" s="53"/>
      <c r="M421" s="53"/>
    </row>
    <row r="422" spans="1:13" x14ac:dyDescent="0.3">
      <c r="A422" s="205"/>
      <c r="B422" s="206"/>
      <c r="C422" s="214"/>
      <c r="D422" s="209" t="str">
        <f>IF(allSellings_table[[#This Row],[Date]]="","",TEXT(allSellings_table[[#This Row],[Date]],"mmmm"))</f>
        <v/>
      </c>
      <c r="E422" s="209"/>
      <c r="F422" s="210"/>
      <c r="H422" s="69"/>
      <c r="I422" s="228"/>
      <c r="J422" s="188"/>
      <c r="K422" s="54"/>
      <c r="L422" s="54"/>
      <c r="M422" s="54"/>
    </row>
    <row r="423" spans="1:13" x14ac:dyDescent="0.3">
      <c r="A423" s="205"/>
      <c r="B423" s="206"/>
      <c r="C423" s="214"/>
      <c r="D423" s="209" t="str">
        <f>IF(allSellings_table[[#This Row],[Date]]="","",TEXT(allSellings_table[[#This Row],[Date]],"mmmm"))</f>
        <v/>
      </c>
      <c r="E423" s="209"/>
      <c r="F423" s="210"/>
      <c r="H423" s="62"/>
      <c r="I423" s="227"/>
      <c r="J423" s="186"/>
      <c r="K423" s="53"/>
      <c r="L423" s="53"/>
      <c r="M423" s="53"/>
    </row>
    <row r="424" spans="1:13" x14ac:dyDescent="0.3">
      <c r="A424" s="205"/>
      <c r="B424" s="206"/>
      <c r="C424" s="214"/>
      <c r="D424" s="209" t="str">
        <f>IF(allSellings_table[[#This Row],[Date]]="","",TEXT(allSellings_table[[#This Row],[Date]],"mmmm"))</f>
        <v/>
      </c>
      <c r="E424" s="209"/>
      <c r="F424" s="210"/>
      <c r="H424" s="69"/>
      <c r="I424" s="228"/>
      <c r="J424" s="188"/>
      <c r="K424" s="54"/>
      <c r="L424" s="54"/>
      <c r="M424" s="54"/>
    </row>
    <row r="425" spans="1:13" x14ac:dyDescent="0.3">
      <c r="A425" s="205"/>
      <c r="B425" s="206"/>
      <c r="C425" s="214"/>
      <c r="D425" s="209" t="str">
        <f>IF(allSellings_table[[#This Row],[Date]]="","",TEXT(allSellings_table[[#This Row],[Date]],"mmmm"))</f>
        <v/>
      </c>
      <c r="E425" s="209"/>
      <c r="F425" s="210"/>
      <c r="H425" s="62"/>
      <c r="I425" s="227"/>
      <c r="J425" s="186"/>
      <c r="K425" s="53"/>
      <c r="L425" s="53"/>
      <c r="M425" s="53"/>
    </row>
    <row r="426" spans="1:13" x14ac:dyDescent="0.3">
      <c r="A426" s="205"/>
      <c r="B426" s="206"/>
      <c r="C426" s="214"/>
      <c r="D426" s="209" t="str">
        <f>IF(allSellings_table[[#This Row],[Date]]="","",TEXT(allSellings_table[[#This Row],[Date]],"mmmm"))</f>
        <v/>
      </c>
      <c r="E426" s="209"/>
      <c r="F426" s="210"/>
      <c r="H426" s="69"/>
      <c r="I426" s="228"/>
      <c r="J426" s="188"/>
      <c r="K426" s="54"/>
      <c r="L426" s="54"/>
      <c r="M426" s="54"/>
    </row>
    <row r="427" spans="1:13" x14ac:dyDescent="0.3">
      <c r="A427" s="205"/>
      <c r="B427" s="206"/>
      <c r="C427" s="214"/>
      <c r="D427" s="209" t="str">
        <f>IF(allSellings_table[[#This Row],[Date]]="","",TEXT(allSellings_table[[#This Row],[Date]],"mmmm"))</f>
        <v/>
      </c>
      <c r="E427" s="209"/>
      <c r="F427" s="210"/>
      <c r="H427" s="62"/>
      <c r="I427" s="227"/>
      <c r="J427" s="186"/>
      <c r="K427" s="53"/>
      <c r="L427" s="53"/>
      <c r="M427" s="53"/>
    </row>
    <row r="428" spans="1:13" x14ac:dyDescent="0.3">
      <c r="A428" s="205"/>
      <c r="B428" s="206"/>
      <c r="C428" s="214"/>
      <c r="D428" s="209" t="str">
        <f>IF(allSellings_table[[#This Row],[Date]]="","",TEXT(allSellings_table[[#This Row],[Date]],"mmmm"))</f>
        <v/>
      </c>
      <c r="E428" s="209"/>
      <c r="F428" s="210"/>
      <c r="H428" s="69"/>
      <c r="I428" s="228"/>
      <c r="J428" s="188"/>
      <c r="K428" s="54"/>
      <c r="L428" s="54"/>
      <c r="M428" s="54"/>
    </row>
    <row r="429" spans="1:13" x14ac:dyDescent="0.3">
      <c r="A429" s="205"/>
      <c r="B429" s="206"/>
      <c r="C429" s="214"/>
      <c r="D429" s="209" t="str">
        <f>IF(allSellings_table[[#This Row],[Date]]="","",TEXT(allSellings_table[[#This Row],[Date]],"mmmm"))</f>
        <v/>
      </c>
      <c r="E429" s="209"/>
      <c r="F429" s="210"/>
      <c r="H429" s="62"/>
      <c r="I429" s="227"/>
      <c r="J429" s="186"/>
      <c r="K429" s="53"/>
      <c r="L429" s="53"/>
      <c r="M429" s="53"/>
    </row>
    <row r="430" spans="1:13" x14ac:dyDescent="0.3">
      <c r="A430" s="205"/>
      <c r="B430" s="206"/>
      <c r="C430" s="214"/>
      <c r="D430" s="209" t="str">
        <f>IF(allSellings_table[[#This Row],[Date]]="","",TEXT(allSellings_table[[#This Row],[Date]],"mmmm"))</f>
        <v/>
      </c>
      <c r="E430" s="209"/>
      <c r="F430" s="210"/>
      <c r="H430" s="69"/>
      <c r="I430" s="228"/>
      <c r="J430" s="188"/>
      <c r="K430" s="54"/>
      <c r="L430" s="54"/>
      <c r="M430" s="54"/>
    </row>
    <row r="431" spans="1:13" x14ac:dyDescent="0.3">
      <c r="A431" s="205"/>
      <c r="B431" s="206"/>
      <c r="C431" s="214"/>
      <c r="D431" s="209" t="str">
        <f>IF(allSellings_table[[#This Row],[Date]]="","",TEXT(allSellings_table[[#This Row],[Date]],"mmmm"))</f>
        <v/>
      </c>
      <c r="E431" s="209"/>
      <c r="F431" s="210"/>
      <c r="H431" s="62"/>
      <c r="I431" s="227"/>
      <c r="J431" s="186"/>
      <c r="K431" s="53"/>
      <c r="L431" s="53"/>
      <c r="M431" s="53"/>
    </row>
    <row r="432" spans="1:13" x14ac:dyDescent="0.3">
      <c r="A432" s="205"/>
      <c r="B432" s="206"/>
      <c r="C432" s="214"/>
      <c r="D432" s="209" t="str">
        <f>IF(allSellings_table[[#This Row],[Date]]="","",TEXT(allSellings_table[[#This Row],[Date]],"mmmm"))</f>
        <v/>
      </c>
      <c r="E432" s="209"/>
      <c r="F432" s="210"/>
      <c r="H432" s="69"/>
      <c r="I432" s="228"/>
      <c r="J432" s="188"/>
      <c r="K432" s="54"/>
      <c r="L432" s="54"/>
      <c r="M432" s="54"/>
    </row>
    <row r="433" spans="1:13" x14ac:dyDescent="0.3">
      <c r="A433" s="205"/>
      <c r="B433" s="206"/>
      <c r="C433" s="214"/>
      <c r="D433" s="209" t="str">
        <f>IF(allSellings_table[[#This Row],[Date]]="","",TEXT(allSellings_table[[#This Row],[Date]],"mmmm"))</f>
        <v/>
      </c>
      <c r="E433" s="209"/>
      <c r="F433" s="210"/>
      <c r="H433" s="62"/>
      <c r="I433" s="227"/>
      <c r="J433" s="186"/>
      <c r="K433" s="53"/>
      <c r="L433" s="53"/>
      <c r="M433" s="53"/>
    </row>
    <row r="434" spans="1:13" x14ac:dyDescent="0.3">
      <c r="A434" s="205"/>
      <c r="B434" s="206"/>
      <c r="C434" s="214"/>
      <c r="D434" s="209" t="str">
        <f>IF(allSellings_table[[#This Row],[Date]]="","",TEXT(allSellings_table[[#This Row],[Date]],"mmmm"))</f>
        <v/>
      </c>
      <c r="E434" s="209"/>
      <c r="F434" s="210"/>
      <c r="H434" s="69"/>
      <c r="I434" s="228"/>
      <c r="J434" s="188"/>
      <c r="K434" s="54"/>
      <c r="L434" s="54"/>
      <c r="M434" s="54"/>
    </row>
    <row r="435" spans="1:13" x14ac:dyDescent="0.3">
      <c r="A435" s="205"/>
      <c r="B435" s="206"/>
      <c r="C435" s="214"/>
      <c r="D435" s="209" t="str">
        <f>IF(allSellings_table[[#This Row],[Date]]="","",TEXT(allSellings_table[[#This Row],[Date]],"mmmm"))</f>
        <v/>
      </c>
      <c r="E435" s="209"/>
      <c r="F435" s="210"/>
      <c r="H435" s="62"/>
      <c r="I435" s="227"/>
      <c r="J435" s="186"/>
      <c r="K435" s="53"/>
      <c r="L435" s="53"/>
      <c r="M435" s="53"/>
    </row>
    <row r="436" spans="1:13" x14ac:dyDescent="0.3">
      <c r="A436" s="205"/>
      <c r="B436" s="206"/>
      <c r="C436" s="214"/>
      <c r="D436" s="209" t="str">
        <f>IF(allSellings_table[[#This Row],[Date]]="","",TEXT(allSellings_table[[#This Row],[Date]],"mmmm"))</f>
        <v/>
      </c>
      <c r="E436" s="209"/>
      <c r="F436" s="210"/>
      <c r="H436" s="69"/>
      <c r="I436" s="228"/>
      <c r="J436" s="188"/>
      <c r="K436" s="54"/>
      <c r="L436" s="54"/>
      <c r="M436" s="54"/>
    </row>
    <row r="437" spans="1:13" x14ac:dyDescent="0.3">
      <c r="A437" s="205"/>
      <c r="B437" s="206"/>
      <c r="C437" s="214"/>
      <c r="D437" s="209" t="str">
        <f>IF(allSellings_table[[#This Row],[Date]]="","",TEXT(allSellings_table[[#This Row],[Date]],"mmmm"))</f>
        <v/>
      </c>
      <c r="E437" s="209"/>
      <c r="F437" s="210"/>
      <c r="H437" s="62"/>
      <c r="I437" s="227"/>
      <c r="J437" s="186"/>
      <c r="K437" s="53"/>
      <c r="L437" s="53"/>
      <c r="M437" s="53"/>
    </row>
    <row r="438" spans="1:13" x14ac:dyDescent="0.3">
      <c r="A438" s="205"/>
      <c r="B438" s="206"/>
      <c r="C438" s="214"/>
      <c r="D438" s="209" t="str">
        <f>IF(allSellings_table[[#This Row],[Date]]="","",TEXT(allSellings_table[[#This Row],[Date]],"mmmm"))</f>
        <v/>
      </c>
      <c r="E438" s="209"/>
      <c r="F438" s="210"/>
      <c r="H438" s="69"/>
      <c r="I438" s="228"/>
      <c r="J438" s="188"/>
      <c r="K438" s="54"/>
      <c r="L438" s="54"/>
      <c r="M438" s="54"/>
    </row>
    <row r="439" spans="1:13" x14ac:dyDescent="0.3">
      <c r="A439" s="205"/>
      <c r="B439" s="206"/>
      <c r="C439" s="214"/>
      <c r="D439" s="209" t="str">
        <f>IF(allSellings_table[[#This Row],[Date]]="","",TEXT(allSellings_table[[#This Row],[Date]],"mmmm"))</f>
        <v/>
      </c>
      <c r="E439" s="209"/>
      <c r="F439" s="210"/>
      <c r="H439" s="62"/>
      <c r="I439" s="227"/>
      <c r="J439" s="186"/>
      <c r="K439" s="53"/>
      <c r="L439" s="53"/>
      <c r="M439" s="53"/>
    </row>
    <row r="440" spans="1:13" x14ac:dyDescent="0.3">
      <c r="A440" s="205"/>
      <c r="B440" s="206"/>
      <c r="C440" s="214"/>
      <c r="D440" s="209" t="str">
        <f>IF(allSellings_table[[#This Row],[Date]]="","",TEXT(allSellings_table[[#This Row],[Date]],"mmmm"))</f>
        <v/>
      </c>
      <c r="E440" s="209"/>
      <c r="F440" s="210"/>
      <c r="H440" s="69"/>
      <c r="I440" s="228"/>
      <c r="J440" s="188"/>
      <c r="K440" s="54"/>
      <c r="L440" s="54"/>
      <c r="M440" s="54"/>
    </row>
    <row r="441" spans="1:13" x14ac:dyDescent="0.3">
      <c r="A441" s="205"/>
      <c r="B441" s="206"/>
      <c r="C441" s="214"/>
      <c r="D441" s="209" t="str">
        <f>IF(allSellings_table[[#This Row],[Date]]="","",TEXT(allSellings_table[[#This Row],[Date]],"mmmm"))</f>
        <v/>
      </c>
      <c r="E441" s="209"/>
      <c r="F441" s="210"/>
      <c r="H441" s="62"/>
      <c r="I441" s="227"/>
      <c r="J441" s="186"/>
      <c r="K441" s="53"/>
      <c r="L441" s="53"/>
      <c r="M441" s="53"/>
    </row>
    <row r="442" spans="1:13" x14ac:dyDescent="0.3">
      <c r="A442" s="205"/>
      <c r="B442" s="206"/>
      <c r="C442" s="214"/>
      <c r="D442" s="209" t="str">
        <f>IF(allSellings_table[[#This Row],[Date]]="","",TEXT(allSellings_table[[#This Row],[Date]],"mmmm"))</f>
        <v/>
      </c>
      <c r="E442" s="209"/>
      <c r="F442" s="210"/>
      <c r="H442" s="69"/>
      <c r="I442" s="228"/>
      <c r="J442" s="188"/>
      <c r="K442" s="54"/>
      <c r="L442" s="54"/>
      <c r="M442" s="54"/>
    </row>
    <row r="443" spans="1:13" x14ac:dyDescent="0.3">
      <c r="A443" s="205"/>
      <c r="B443" s="206"/>
      <c r="C443" s="214"/>
      <c r="D443" s="209" t="str">
        <f>IF(allSellings_table[[#This Row],[Date]]="","",TEXT(allSellings_table[[#This Row],[Date]],"mmmm"))</f>
        <v/>
      </c>
      <c r="E443" s="209"/>
      <c r="F443" s="210"/>
      <c r="H443" s="62"/>
      <c r="I443" s="227"/>
      <c r="J443" s="186"/>
      <c r="K443" s="53"/>
      <c r="L443" s="53"/>
      <c r="M443" s="53"/>
    </row>
    <row r="444" spans="1:13" x14ac:dyDescent="0.3">
      <c r="A444" s="205"/>
      <c r="B444" s="206"/>
      <c r="C444" s="214"/>
      <c r="D444" s="209" t="str">
        <f>IF(allSellings_table[[#This Row],[Date]]="","",TEXT(allSellings_table[[#This Row],[Date]],"mmmm"))</f>
        <v/>
      </c>
      <c r="E444" s="209"/>
      <c r="F444" s="210"/>
      <c r="H444" s="69"/>
      <c r="I444" s="228"/>
      <c r="J444" s="188"/>
      <c r="K444" s="54"/>
      <c r="L444" s="54"/>
      <c r="M444" s="54"/>
    </row>
    <row r="445" spans="1:13" x14ac:dyDescent="0.3">
      <c r="A445" s="205"/>
      <c r="B445" s="206"/>
      <c r="C445" s="214"/>
      <c r="D445" s="209" t="str">
        <f>IF(allSellings_table[[#This Row],[Date]]="","",TEXT(allSellings_table[[#This Row],[Date]],"mmmm"))</f>
        <v/>
      </c>
      <c r="E445" s="209"/>
      <c r="F445" s="210"/>
      <c r="H445" s="62"/>
      <c r="I445" s="227"/>
      <c r="J445" s="186"/>
      <c r="K445" s="53"/>
      <c r="L445" s="53"/>
      <c r="M445" s="53"/>
    </row>
    <row r="446" spans="1:13" x14ac:dyDescent="0.3">
      <c r="A446" s="205"/>
      <c r="B446" s="206"/>
      <c r="C446" s="214"/>
      <c r="D446" s="209" t="str">
        <f>IF(allSellings_table[[#This Row],[Date]]="","",TEXT(allSellings_table[[#This Row],[Date]],"mmmm"))</f>
        <v/>
      </c>
      <c r="E446" s="209"/>
      <c r="F446" s="210"/>
      <c r="H446" s="69"/>
      <c r="I446" s="228"/>
      <c r="J446" s="188"/>
      <c r="K446" s="54"/>
      <c r="L446" s="54"/>
      <c r="M446" s="54"/>
    </row>
    <row r="447" spans="1:13" x14ac:dyDescent="0.3">
      <c r="A447" s="205"/>
      <c r="B447" s="206"/>
      <c r="C447" s="214"/>
      <c r="D447" s="209" t="str">
        <f>IF(allSellings_table[[#This Row],[Date]]="","",TEXT(allSellings_table[[#This Row],[Date]],"mmmm"))</f>
        <v/>
      </c>
      <c r="E447" s="209"/>
      <c r="F447" s="210"/>
      <c r="H447" s="62"/>
      <c r="I447" s="227"/>
      <c r="J447" s="186"/>
      <c r="K447" s="53"/>
      <c r="L447" s="53"/>
      <c r="M447" s="53"/>
    </row>
    <row r="448" spans="1:13" x14ac:dyDescent="0.3">
      <c r="A448" s="205"/>
      <c r="B448" s="206"/>
      <c r="C448" s="214"/>
      <c r="D448" s="209" t="str">
        <f>IF(allSellings_table[[#This Row],[Date]]="","",TEXT(allSellings_table[[#This Row],[Date]],"mmmm"))</f>
        <v/>
      </c>
      <c r="E448" s="209"/>
      <c r="F448" s="210"/>
      <c r="H448" s="69"/>
      <c r="I448" s="228"/>
      <c r="J448" s="188"/>
      <c r="K448" s="54"/>
      <c r="L448" s="54"/>
      <c r="M448" s="54"/>
    </row>
    <row r="449" spans="1:13" x14ac:dyDescent="0.3">
      <c r="A449" s="205"/>
      <c r="B449" s="206"/>
      <c r="C449" s="214"/>
      <c r="D449" s="209" t="str">
        <f>IF(allSellings_table[[#This Row],[Date]]="","",TEXT(allSellings_table[[#This Row],[Date]],"mmmm"))</f>
        <v/>
      </c>
      <c r="E449" s="209"/>
      <c r="F449" s="210"/>
      <c r="H449" s="62"/>
      <c r="I449" s="227"/>
      <c r="J449" s="186"/>
      <c r="K449" s="53"/>
      <c r="L449" s="53"/>
      <c r="M449" s="53"/>
    </row>
    <row r="450" spans="1:13" x14ac:dyDescent="0.3">
      <c r="A450" s="205"/>
      <c r="B450" s="206"/>
      <c r="C450" s="214"/>
      <c r="D450" s="209" t="str">
        <f>IF(allSellings_table[[#This Row],[Date]]="","",TEXT(allSellings_table[[#This Row],[Date]],"mmmm"))</f>
        <v/>
      </c>
      <c r="E450" s="209"/>
      <c r="F450" s="210"/>
      <c r="H450" s="69"/>
      <c r="I450" s="228"/>
      <c r="J450" s="188"/>
      <c r="K450" s="54"/>
      <c r="L450" s="54"/>
      <c r="M450" s="54"/>
    </row>
    <row r="451" spans="1:13" x14ac:dyDescent="0.3">
      <c r="A451" s="205"/>
      <c r="B451" s="206"/>
      <c r="C451" s="214"/>
      <c r="D451" s="209" t="str">
        <f>IF(allSellings_table[[#This Row],[Date]]="","",TEXT(allSellings_table[[#This Row],[Date]],"mmmm"))</f>
        <v/>
      </c>
      <c r="E451" s="209"/>
      <c r="F451" s="210"/>
      <c r="H451" s="62"/>
      <c r="I451" s="227"/>
      <c r="J451" s="186"/>
      <c r="K451" s="53"/>
      <c r="L451" s="53"/>
      <c r="M451" s="53"/>
    </row>
    <row r="452" spans="1:13" x14ac:dyDescent="0.3">
      <c r="A452" s="205"/>
      <c r="B452" s="206"/>
      <c r="C452" s="214"/>
      <c r="D452" s="209" t="str">
        <f>IF(allSellings_table[[#This Row],[Date]]="","",TEXT(allSellings_table[[#This Row],[Date]],"mmmm"))</f>
        <v/>
      </c>
      <c r="E452" s="209"/>
      <c r="F452" s="210"/>
      <c r="H452" s="69"/>
      <c r="I452" s="228"/>
      <c r="J452" s="188"/>
      <c r="K452" s="54"/>
      <c r="L452" s="54"/>
      <c r="M452" s="54"/>
    </row>
    <row r="453" spans="1:13" x14ac:dyDescent="0.3">
      <c r="A453" s="205"/>
      <c r="B453" s="206"/>
      <c r="C453" s="214"/>
      <c r="D453" s="209" t="str">
        <f>IF(allSellings_table[[#This Row],[Date]]="","",TEXT(allSellings_table[[#This Row],[Date]],"mmmm"))</f>
        <v/>
      </c>
      <c r="E453" s="209"/>
      <c r="F453" s="210"/>
      <c r="H453" s="62"/>
      <c r="I453" s="227"/>
      <c r="J453" s="186"/>
      <c r="K453" s="53"/>
      <c r="L453" s="53"/>
      <c r="M453" s="53"/>
    </row>
    <row r="454" spans="1:13" x14ac:dyDescent="0.3">
      <c r="A454" s="205"/>
      <c r="B454" s="206"/>
      <c r="C454" s="214"/>
      <c r="D454" s="209" t="str">
        <f>IF(allSellings_table[[#This Row],[Date]]="","",TEXT(allSellings_table[[#This Row],[Date]],"mmmm"))</f>
        <v/>
      </c>
      <c r="E454" s="209"/>
      <c r="F454" s="210"/>
      <c r="H454" s="69"/>
      <c r="I454" s="228"/>
      <c r="J454" s="188"/>
      <c r="K454" s="54"/>
      <c r="L454" s="54"/>
      <c r="M454" s="54"/>
    </row>
    <row r="455" spans="1:13" x14ac:dyDescent="0.3">
      <c r="A455" s="205"/>
      <c r="B455" s="206"/>
      <c r="C455" s="214"/>
      <c r="D455" s="209" t="str">
        <f>IF(allSellings_table[[#This Row],[Date]]="","",TEXT(allSellings_table[[#This Row],[Date]],"mmmm"))</f>
        <v/>
      </c>
      <c r="E455" s="209"/>
      <c r="F455" s="210"/>
      <c r="H455" s="62"/>
      <c r="I455" s="227"/>
      <c r="J455" s="186"/>
      <c r="K455" s="53"/>
      <c r="L455" s="53"/>
      <c r="M455" s="53"/>
    </row>
    <row r="456" spans="1:13" x14ac:dyDescent="0.3">
      <c r="A456" s="205"/>
      <c r="B456" s="206"/>
      <c r="C456" s="214"/>
      <c r="D456" s="209" t="str">
        <f>IF(allSellings_table[[#This Row],[Date]]="","",TEXT(allSellings_table[[#This Row],[Date]],"mmmm"))</f>
        <v/>
      </c>
      <c r="E456" s="209"/>
      <c r="F456" s="210"/>
      <c r="H456" s="69"/>
      <c r="I456" s="228"/>
      <c r="J456" s="188"/>
      <c r="K456" s="54"/>
      <c r="L456" s="54"/>
      <c r="M456" s="54"/>
    </row>
    <row r="457" spans="1:13" x14ac:dyDescent="0.3">
      <c r="A457" s="205"/>
      <c r="B457" s="206"/>
      <c r="C457" s="214"/>
      <c r="D457" s="209" t="str">
        <f>IF(allSellings_table[[#This Row],[Date]]="","",TEXT(allSellings_table[[#This Row],[Date]],"mmmm"))</f>
        <v/>
      </c>
      <c r="E457" s="209"/>
      <c r="F457" s="210"/>
      <c r="H457" s="62"/>
      <c r="I457" s="227"/>
      <c r="J457" s="186"/>
      <c r="K457" s="53"/>
      <c r="L457" s="53"/>
      <c r="M457" s="53"/>
    </row>
    <row r="458" spans="1:13" x14ac:dyDescent="0.3">
      <c r="A458" s="205"/>
      <c r="B458" s="206"/>
      <c r="C458" s="214"/>
      <c r="D458" s="209" t="str">
        <f>IF(allSellings_table[[#This Row],[Date]]="","",TEXT(allSellings_table[[#This Row],[Date]],"mmmm"))</f>
        <v/>
      </c>
      <c r="E458" s="209"/>
      <c r="F458" s="210"/>
      <c r="H458" s="69"/>
      <c r="I458" s="228"/>
      <c r="J458" s="188"/>
      <c r="K458" s="54"/>
      <c r="L458" s="54"/>
      <c r="M458" s="54"/>
    </row>
    <row r="459" spans="1:13" x14ac:dyDescent="0.3">
      <c r="A459" s="205"/>
      <c r="B459" s="206"/>
      <c r="C459" s="214"/>
      <c r="D459" s="209" t="str">
        <f>IF(allSellings_table[[#This Row],[Date]]="","",TEXT(allSellings_table[[#This Row],[Date]],"mmmm"))</f>
        <v/>
      </c>
      <c r="E459" s="209"/>
      <c r="F459" s="210"/>
      <c r="H459" s="62"/>
      <c r="I459" s="227"/>
      <c r="J459" s="186"/>
      <c r="K459" s="53"/>
      <c r="L459" s="53"/>
      <c r="M459" s="53"/>
    </row>
    <row r="460" spans="1:13" x14ac:dyDescent="0.3">
      <c r="A460" s="205"/>
      <c r="B460" s="206"/>
      <c r="C460" s="214"/>
      <c r="D460" s="209" t="str">
        <f>IF(allSellings_table[[#This Row],[Date]]="","",TEXT(allSellings_table[[#This Row],[Date]],"mmmm"))</f>
        <v/>
      </c>
      <c r="E460" s="209"/>
      <c r="F460" s="210"/>
      <c r="H460" s="69"/>
      <c r="I460" s="228"/>
      <c r="J460" s="188"/>
      <c r="K460" s="54"/>
      <c r="L460" s="54"/>
      <c r="M460" s="54"/>
    </row>
    <row r="461" spans="1:13" x14ac:dyDescent="0.3">
      <c r="A461" s="205"/>
      <c r="B461" s="206"/>
      <c r="C461" s="214"/>
      <c r="D461" s="209" t="str">
        <f>IF(allSellings_table[[#This Row],[Date]]="","",TEXT(allSellings_table[[#This Row],[Date]],"mmmm"))</f>
        <v/>
      </c>
      <c r="E461" s="209"/>
      <c r="F461" s="210"/>
      <c r="H461" s="62"/>
      <c r="I461" s="227"/>
      <c r="J461" s="186"/>
      <c r="K461" s="53"/>
      <c r="L461" s="53"/>
      <c r="M461" s="53"/>
    </row>
    <row r="462" spans="1:13" x14ac:dyDescent="0.3">
      <c r="A462" s="205"/>
      <c r="B462" s="206"/>
      <c r="C462" s="214"/>
      <c r="D462" s="209" t="str">
        <f>IF(allSellings_table[[#This Row],[Date]]="","",TEXT(allSellings_table[[#This Row],[Date]],"mmmm"))</f>
        <v/>
      </c>
      <c r="E462" s="209"/>
      <c r="F462" s="210"/>
      <c r="H462" s="69"/>
      <c r="I462" s="228"/>
      <c r="J462" s="188"/>
      <c r="K462" s="54"/>
      <c r="L462" s="54"/>
      <c r="M462" s="54"/>
    </row>
    <row r="463" spans="1:13" x14ac:dyDescent="0.3">
      <c r="A463" s="205"/>
      <c r="B463" s="206"/>
      <c r="C463" s="214"/>
      <c r="D463" s="209" t="str">
        <f>IF(allSellings_table[[#This Row],[Date]]="","",TEXT(allSellings_table[[#This Row],[Date]],"mmmm"))</f>
        <v/>
      </c>
      <c r="E463" s="209"/>
      <c r="F463" s="210"/>
      <c r="H463" s="62"/>
      <c r="I463" s="227"/>
      <c r="J463" s="186"/>
      <c r="K463" s="53"/>
      <c r="L463" s="53"/>
      <c r="M463" s="53"/>
    </row>
    <row r="464" spans="1:13" x14ac:dyDescent="0.3">
      <c r="A464" s="205"/>
      <c r="B464" s="206"/>
      <c r="C464" s="214"/>
      <c r="D464" s="209" t="str">
        <f>IF(allSellings_table[[#This Row],[Date]]="","",TEXT(allSellings_table[[#This Row],[Date]],"mmmm"))</f>
        <v/>
      </c>
      <c r="E464" s="209"/>
      <c r="F464" s="210"/>
      <c r="H464" s="69"/>
      <c r="I464" s="228"/>
      <c r="J464" s="188"/>
      <c r="K464" s="54"/>
      <c r="L464" s="54"/>
      <c r="M464" s="54"/>
    </row>
    <row r="465" spans="1:13" x14ac:dyDescent="0.3">
      <c r="A465" s="205"/>
      <c r="B465" s="206"/>
      <c r="C465" s="214"/>
      <c r="D465" s="209" t="str">
        <f>IF(allSellings_table[[#This Row],[Date]]="","",TEXT(allSellings_table[[#This Row],[Date]],"mmmm"))</f>
        <v/>
      </c>
      <c r="E465" s="209"/>
      <c r="F465" s="210"/>
      <c r="H465" s="62"/>
      <c r="I465" s="227"/>
      <c r="J465" s="186"/>
      <c r="K465" s="53"/>
      <c r="L465" s="53"/>
      <c r="M465" s="53"/>
    </row>
    <row r="466" spans="1:13" x14ac:dyDescent="0.3">
      <c r="A466" s="205"/>
      <c r="B466" s="206"/>
      <c r="C466" s="214"/>
      <c r="D466" s="209" t="str">
        <f>IF(allSellings_table[[#This Row],[Date]]="","",TEXT(allSellings_table[[#This Row],[Date]],"mmmm"))</f>
        <v/>
      </c>
      <c r="E466" s="209"/>
      <c r="F466" s="210"/>
      <c r="H466" s="69"/>
      <c r="I466" s="228"/>
      <c r="J466" s="188"/>
      <c r="K466" s="54"/>
      <c r="L466" s="54"/>
      <c r="M466" s="54"/>
    </row>
    <row r="467" spans="1:13" x14ac:dyDescent="0.3">
      <c r="A467" s="205"/>
      <c r="B467" s="206"/>
      <c r="C467" s="214"/>
      <c r="D467" s="209" t="str">
        <f>IF(allSellings_table[[#This Row],[Date]]="","",TEXT(allSellings_table[[#This Row],[Date]],"mmmm"))</f>
        <v/>
      </c>
      <c r="E467" s="209"/>
      <c r="F467" s="210"/>
      <c r="H467" s="62"/>
      <c r="I467" s="227"/>
      <c r="J467" s="186"/>
      <c r="K467" s="53"/>
      <c r="L467" s="53"/>
      <c r="M467" s="53"/>
    </row>
    <row r="468" spans="1:13" x14ac:dyDescent="0.3">
      <c r="A468" s="205"/>
      <c r="B468" s="206"/>
      <c r="C468" s="214"/>
      <c r="D468" s="209" t="str">
        <f>IF(allSellings_table[[#This Row],[Date]]="","",TEXT(allSellings_table[[#This Row],[Date]],"mmmm"))</f>
        <v/>
      </c>
      <c r="E468" s="209"/>
      <c r="F468" s="210"/>
      <c r="H468" s="69"/>
      <c r="I468" s="228"/>
      <c r="J468" s="188"/>
      <c r="K468" s="54"/>
      <c r="L468" s="54"/>
      <c r="M468" s="54"/>
    </row>
    <row r="469" spans="1:13" x14ac:dyDescent="0.3">
      <c r="A469" s="205"/>
      <c r="B469" s="206"/>
      <c r="C469" s="214"/>
      <c r="D469" s="209" t="str">
        <f>IF(allSellings_table[[#This Row],[Date]]="","",TEXT(allSellings_table[[#This Row],[Date]],"mmmm"))</f>
        <v/>
      </c>
      <c r="E469" s="209"/>
      <c r="F469" s="210"/>
      <c r="H469" s="62"/>
      <c r="I469" s="227"/>
      <c r="J469" s="186"/>
      <c r="K469" s="53"/>
      <c r="L469" s="53"/>
      <c r="M469" s="53"/>
    </row>
    <row r="470" spans="1:13" x14ac:dyDescent="0.3">
      <c r="A470" s="205"/>
      <c r="B470" s="206"/>
      <c r="C470" s="214"/>
      <c r="D470" s="209" t="str">
        <f>IF(allSellings_table[[#This Row],[Date]]="","",TEXT(allSellings_table[[#This Row],[Date]],"mmmm"))</f>
        <v/>
      </c>
      <c r="E470" s="209"/>
      <c r="F470" s="210"/>
      <c r="H470" s="69"/>
      <c r="I470" s="228"/>
      <c r="J470" s="188"/>
      <c r="K470" s="54"/>
      <c r="L470" s="54"/>
      <c r="M470" s="54"/>
    </row>
    <row r="471" spans="1:13" x14ac:dyDescent="0.3">
      <c r="A471" s="205"/>
      <c r="B471" s="206"/>
      <c r="C471" s="214"/>
      <c r="D471" s="209" t="str">
        <f>IF(allSellings_table[[#This Row],[Date]]="","",TEXT(allSellings_table[[#This Row],[Date]],"mmmm"))</f>
        <v/>
      </c>
      <c r="E471" s="209"/>
      <c r="F471" s="210"/>
      <c r="H471" s="62"/>
      <c r="I471" s="227"/>
      <c r="J471" s="186"/>
      <c r="K471" s="53"/>
      <c r="L471" s="53"/>
      <c r="M471" s="53"/>
    </row>
    <row r="472" spans="1:13" x14ac:dyDescent="0.3">
      <c r="A472" s="205"/>
      <c r="B472" s="206"/>
      <c r="C472" s="214"/>
      <c r="D472" s="209" t="str">
        <f>IF(allSellings_table[[#This Row],[Date]]="","",TEXT(allSellings_table[[#This Row],[Date]],"mmmm"))</f>
        <v/>
      </c>
      <c r="E472" s="209"/>
      <c r="F472" s="210"/>
      <c r="H472" s="69"/>
      <c r="I472" s="228"/>
      <c r="J472" s="188"/>
      <c r="K472" s="54"/>
      <c r="L472" s="54"/>
      <c r="M472" s="54"/>
    </row>
    <row r="473" spans="1:13" x14ac:dyDescent="0.3">
      <c r="A473" s="205"/>
      <c r="B473" s="206"/>
      <c r="C473" s="214"/>
      <c r="D473" s="209" t="str">
        <f>IF(allSellings_table[[#This Row],[Date]]="","",TEXT(allSellings_table[[#This Row],[Date]],"mmmm"))</f>
        <v/>
      </c>
      <c r="E473" s="209"/>
      <c r="F473" s="210"/>
      <c r="H473" s="62"/>
      <c r="I473" s="227"/>
      <c r="J473" s="186"/>
      <c r="K473" s="53"/>
      <c r="L473" s="53"/>
      <c r="M473" s="53"/>
    </row>
    <row r="474" spans="1:13" x14ac:dyDescent="0.3">
      <c r="A474" s="205"/>
      <c r="B474" s="206"/>
      <c r="C474" s="214"/>
      <c r="D474" s="209" t="str">
        <f>IF(allSellings_table[[#This Row],[Date]]="","",TEXT(allSellings_table[[#This Row],[Date]],"mmmm"))</f>
        <v/>
      </c>
      <c r="E474" s="209"/>
      <c r="F474" s="210"/>
      <c r="H474" s="69"/>
      <c r="I474" s="228"/>
      <c r="J474" s="188"/>
      <c r="K474" s="54"/>
      <c r="L474" s="54"/>
      <c r="M474" s="54"/>
    </row>
    <row r="475" spans="1:13" x14ac:dyDescent="0.3">
      <c r="A475" s="205"/>
      <c r="B475" s="206"/>
      <c r="C475" s="214"/>
      <c r="D475" s="209" t="str">
        <f>IF(allSellings_table[[#This Row],[Date]]="","",TEXT(allSellings_table[[#This Row],[Date]],"mmmm"))</f>
        <v/>
      </c>
      <c r="E475" s="209"/>
      <c r="F475" s="210"/>
      <c r="H475" s="62"/>
      <c r="I475" s="227"/>
      <c r="J475" s="186"/>
      <c r="K475" s="53"/>
      <c r="L475" s="53"/>
      <c r="M475" s="53"/>
    </row>
    <row r="476" spans="1:13" x14ac:dyDescent="0.3">
      <c r="A476" s="205"/>
      <c r="B476" s="206"/>
      <c r="C476" s="214"/>
      <c r="D476" s="209" t="str">
        <f>IF(allSellings_table[[#This Row],[Date]]="","",TEXT(allSellings_table[[#This Row],[Date]],"mmmm"))</f>
        <v/>
      </c>
      <c r="E476" s="209"/>
      <c r="F476" s="210"/>
      <c r="H476" s="69"/>
      <c r="I476" s="228"/>
      <c r="J476" s="188"/>
      <c r="K476" s="54"/>
      <c r="L476" s="54"/>
      <c r="M476" s="54"/>
    </row>
    <row r="477" spans="1:13" x14ac:dyDescent="0.3">
      <c r="A477" s="205"/>
      <c r="B477" s="206"/>
      <c r="C477" s="214"/>
      <c r="D477" s="209" t="str">
        <f>IF(allSellings_table[[#This Row],[Date]]="","",TEXT(allSellings_table[[#This Row],[Date]],"mmmm"))</f>
        <v/>
      </c>
      <c r="E477" s="209"/>
      <c r="F477" s="210"/>
      <c r="H477" s="62"/>
      <c r="I477" s="227"/>
      <c r="J477" s="186"/>
      <c r="K477" s="53"/>
      <c r="L477" s="53"/>
      <c r="M477" s="53"/>
    </row>
    <row r="478" spans="1:13" x14ac:dyDescent="0.3">
      <c r="A478" s="205"/>
      <c r="B478" s="206"/>
      <c r="C478" s="214"/>
      <c r="D478" s="209" t="str">
        <f>IF(allSellings_table[[#This Row],[Date]]="","",TEXT(allSellings_table[[#This Row],[Date]],"mmmm"))</f>
        <v/>
      </c>
      <c r="E478" s="209"/>
      <c r="F478" s="210"/>
      <c r="H478" s="69"/>
      <c r="I478" s="228"/>
      <c r="J478" s="188"/>
      <c r="K478" s="54"/>
      <c r="L478" s="54"/>
      <c r="M478" s="54"/>
    </row>
    <row r="479" spans="1:13" x14ac:dyDescent="0.3">
      <c r="A479" s="205"/>
      <c r="B479" s="206"/>
      <c r="C479" s="214"/>
      <c r="D479" s="209" t="str">
        <f>IF(allSellings_table[[#This Row],[Date]]="","",TEXT(allSellings_table[[#This Row],[Date]],"mmmm"))</f>
        <v/>
      </c>
      <c r="E479" s="209"/>
      <c r="F479" s="210"/>
      <c r="H479" s="62"/>
      <c r="I479" s="227"/>
      <c r="J479" s="186"/>
      <c r="K479" s="53"/>
      <c r="L479" s="53"/>
      <c r="M479" s="53"/>
    </row>
    <row r="480" spans="1:13" x14ac:dyDescent="0.3">
      <c r="A480" s="205"/>
      <c r="B480" s="206"/>
      <c r="C480" s="214"/>
      <c r="D480" s="209" t="str">
        <f>IF(allSellings_table[[#This Row],[Date]]="","",TEXT(allSellings_table[[#This Row],[Date]],"mmmm"))</f>
        <v/>
      </c>
      <c r="E480" s="209"/>
      <c r="F480" s="210"/>
      <c r="H480" s="69"/>
      <c r="I480" s="228"/>
      <c r="J480" s="188"/>
      <c r="K480" s="54"/>
      <c r="L480" s="54"/>
      <c r="M480" s="54"/>
    </row>
    <row r="481" spans="1:13" x14ac:dyDescent="0.3">
      <c r="A481" s="205"/>
      <c r="B481" s="206"/>
      <c r="C481" s="214"/>
      <c r="D481" s="209" t="str">
        <f>IF(allSellings_table[[#This Row],[Date]]="","",TEXT(allSellings_table[[#This Row],[Date]],"mmmm"))</f>
        <v/>
      </c>
      <c r="E481" s="209"/>
      <c r="F481" s="210"/>
      <c r="H481" s="62"/>
      <c r="I481" s="227"/>
      <c r="J481" s="186"/>
      <c r="K481" s="53"/>
      <c r="L481" s="53"/>
      <c r="M481" s="53"/>
    </row>
    <row r="482" spans="1:13" x14ac:dyDescent="0.3">
      <c r="A482" s="205"/>
      <c r="B482" s="206"/>
      <c r="C482" s="214"/>
      <c r="D482" s="209" t="str">
        <f>IF(allSellings_table[[#This Row],[Date]]="","",TEXT(allSellings_table[[#This Row],[Date]],"mmmm"))</f>
        <v/>
      </c>
      <c r="E482" s="209"/>
      <c r="F482" s="210"/>
      <c r="H482" s="69"/>
      <c r="I482" s="228"/>
      <c r="J482" s="188"/>
      <c r="K482" s="54"/>
      <c r="L482" s="54"/>
      <c r="M482" s="54"/>
    </row>
    <row r="483" spans="1:13" x14ac:dyDescent="0.3">
      <c r="A483" s="205"/>
      <c r="B483" s="206"/>
      <c r="C483" s="214"/>
      <c r="D483" s="209" t="str">
        <f>IF(allSellings_table[[#This Row],[Date]]="","",TEXT(allSellings_table[[#This Row],[Date]],"mmmm"))</f>
        <v/>
      </c>
      <c r="E483" s="209"/>
      <c r="F483" s="210"/>
      <c r="H483" s="62"/>
      <c r="I483" s="227"/>
      <c r="J483" s="186"/>
      <c r="K483" s="53"/>
      <c r="L483" s="53"/>
      <c r="M483" s="53"/>
    </row>
    <row r="484" spans="1:13" x14ac:dyDescent="0.3">
      <c r="A484" s="205"/>
      <c r="B484" s="206"/>
      <c r="C484" s="214"/>
      <c r="D484" s="209" t="str">
        <f>IF(allSellings_table[[#This Row],[Date]]="","",TEXT(allSellings_table[[#This Row],[Date]],"mmmm"))</f>
        <v/>
      </c>
      <c r="E484" s="209"/>
      <c r="F484" s="210"/>
      <c r="H484" s="69"/>
      <c r="I484" s="228"/>
      <c r="J484" s="188"/>
      <c r="K484" s="54"/>
      <c r="L484" s="54"/>
      <c r="M484" s="54"/>
    </row>
    <row r="485" spans="1:13" x14ac:dyDescent="0.3">
      <c r="A485" s="205"/>
      <c r="B485" s="206"/>
      <c r="C485" s="214"/>
      <c r="D485" s="209" t="str">
        <f>IF(allSellings_table[[#This Row],[Date]]="","",TEXT(allSellings_table[[#This Row],[Date]],"mmmm"))</f>
        <v/>
      </c>
      <c r="E485" s="209"/>
      <c r="F485" s="210"/>
      <c r="H485" s="62"/>
      <c r="I485" s="227"/>
      <c r="J485" s="186"/>
      <c r="K485" s="53"/>
      <c r="L485" s="53"/>
      <c r="M485" s="53"/>
    </row>
    <row r="486" spans="1:13" x14ac:dyDescent="0.3">
      <c r="A486" s="205"/>
      <c r="B486" s="206"/>
      <c r="C486" s="214"/>
      <c r="D486" s="209" t="str">
        <f>IF(allSellings_table[[#This Row],[Date]]="","",TEXT(allSellings_table[[#This Row],[Date]],"mmmm"))</f>
        <v/>
      </c>
      <c r="E486" s="209"/>
      <c r="F486" s="210"/>
      <c r="H486" s="69"/>
      <c r="I486" s="228"/>
      <c r="J486" s="188"/>
      <c r="K486" s="54"/>
      <c r="L486" s="54"/>
      <c r="M486" s="54"/>
    </row>
    <row r="487" spans="1:13" x14ac:dyDescent="0.3">
      <c r="A487" s="205"/>
      <c r="B487" s="206"/>
      <c r="C487" s="214"/>
      <c r="D487" s="209" t="str">
        <f>IF(allSellings_table[[#This Row],[Date]]="","",TEXT(allSellings_table[[#This Row],[Date]],"mmmm"))</f>
        <v/>
      </c>
      <c r="E487" s="209"/>
      <c r="F487" s="210"/>
      <c r="H487" s="62"/>
      <c r="I487" s="227"/>
      <c r="J487" s="186"/>
      <c r="K487" s="53"/>
      <c r="L487" s="53"/>
      <c r="M487" s="53"/>
    </row>
    <row r="488" spans="1:13" x14ac:dyDescent="0.3">
      <c r="A488" s="205"/>
      <c r="B488" s="206"/>
      <c r="C488" s="214"/>
      <c r="D488" s="209" t="str">
        <f>IF(allSellings_table[[#This Row],[Date]]="","",TEXT(allSellings_table[[#This Row],[Date]],"mmmm"))</f>
        <v/>
      </c>
      <c r="E488" s="209"/>
      <c r="F488" s="210"/>
      <c r="H488" s="69"/>
      <c r="I488" s="228"/>
      <c r="J488" s="188"/>
      <c r="K488" s="54"/>
      <c r="L488" s="54"/>
      <c r="M488" s="54"/>
    </row>
    <row r="489" spans="1:13" x14ac:dyDescent="0.3">
      <c r="A489" s="205"/>
      <c r="B489" s="206"/>
      <c r="C489" s="214"/>
      <c r="D489" s="209" t="str">
        <f>IF(allSellings_table[[#This Row],[Date]]="","",TEXT(allSellings_table[[#This Row],[Date]],"mmmm"))</f>
        <v/>
      </c>
      <c r="E489" s="209"/>
      <c r="F489" s="210"/>
      <c r="H489" s="62"/>
      <c r="I489" s="227"/>
      <c r="J489" s="186"/>
      <c r="K489" s="53"/>
      <c r="L489" s="53"/>
      <c r="M489" s="53"/>
    </row>
    <row r="490" spans="1:13" x14ac:dyDescent="0.3">
      <c r="A490" s="205"/>
      <c r="B490" s="206"/>
      <c r="C490" s="214"/>
      <c r="D490" s="209" t="str">
        <f>IF(allSellings_table[[#This Row],[Date]]="","",TEXT(allSellings_table[[#This Row],[Date]],"mmmm"))</f>
        <v/>
      </c>
      <c r="E490" s="209"/>
      <c r="F490" s="210"/>
      <c r="H490" s="69"/>
      <c r="I490" s="228"/>
      <c r="J490" s="188"/>
      <c r="K490" s="54"/>
      <c r="L490" s="54"/>
      <c r="M490" s="54"/>
    </row>
    <row r="491" spans="1:13" x14ac:dyDescent="0.3">
      <c r="A491" s="205"/>
      <c r="B491" s="206"/>
      <c r="C491" s="214"/>
      <c r="D491" s="209" t="str">
        <f>IF(allSellings_table[[#This Row],[Date]]="","",TEXT(allSellings_table[[#This Row],[Date]],"mmmm"))</f>
        <v/>
      </c>
      <c r="E491" s="209"/>
      <c r="F491" s="210"/>
      <c r="H491" s="62"/>
      <c r="I491" s="227"/>
      <c r="J491" s="186"/>
      <c r="K491" s="53"/>
      <c r="L491" s="53"/>
      <c r="M491" s="53"/>
    </row>
    <row r="492" spans="1:13" x14ac:dyDescent="0.3">
      <c r="A492" s="205"/>
      <c r="B492" s="206"/>
      <c r="C492" s="214"/>
      <c r="D492" s="209" t="str">
        <f>IF(allSellings_table[[#This Row],[Date]]="","",TEXT(allSellings_table[[#This Row],[Date]],"mmmm"))</f>
        <v/>
      </c>
      <c r="E492" s="209"/>
      <c r="F492" s="210"/>
      <c r="H492" s="69"/>
      <c r="I492" s="228"/>
      <c r="J492" s="188"/>
      <c r="K492" s="54"/>
      <c r="L492" s="54"/>
      <c r="M492" s="54"/>
    </row>
    <row r="493" spans="1:13" x14ac:dyDescent="0.3">
      <c r="A493" s="205"/>
      <c r="B493" s="206"/>
      <c r="C493" s="214"/>
      <c r="D493" s="209" t="str">
        <f>IF(allSellings_table[[#This Row],[Date]]="","",TEXT(allSellings_table[[#This Row],[Date]],"mmmm"))</f>
        <v/>
      </c>
      <c r="E493" s="209"/>
      <c r="F493" s="210"/>
      <c r="H493" s="62"/>
      <c r="I493" s="227"/>
      <c r="J493" s="186"/>
      <c r="K493" s="53"/>
      <c r="L493" s="53"/>
      <c r="M493" s="53"/>
    </row>
    <row r="494" spans="1:13" x14ac:dyDescent="0.3">
      <c r="A494" s="205"/>
      <c r="B494" s="206"/>
      <c r="C494" s="214"/>
      <c r="D494" s="209" t="str">
        <f>IF(allSellings_table[[#This Row],[Date]]="","",TEXT(allSellings_table[[#This Row],[Date]],"mmmm"))</f>
        <v/>
      </c>
      <c r="E494" s="209"/>
      <c r="F494" s="210"/>
      <c r="H494" s="69"/>
      <c r="I494" s="228"/>
      <c r="J494" s="188"/>
      <c r="K494" s="54"/>
      <c r="L494" s="54"/>
      <c r="M494" s="54"/>
    </row>
    <row r="495" spans="1:13" x14ac:dyDescent="0.3">
      <c r="A495" s="205"/>
      <c r="B495" s="206"/>
      <c r="C495" s="214"/>
      <c r="D495" s="209" t="str">
        <f>IF(allSellings_table[[#This Row],[Date]]="","",TEXT(allSellings_table[[#This Row],[Date]],"mmmm"))</f>
        <v/>
      </c>
      <c r="E495" s="209"/>
      <c r="F495" s="210"/>
      <c r="H495" s="62"/>
      <c r="I495" s="227"/>
      <c r="J495" s="186"/>
      <c r="K495" s="53"/>
      <c r="L495" s="53"/>
      <c r="M495" s="53"/>
    </row>
    <row r="496" spans="1:13" x14ac:dyDescent="0.3">
      <c r="A496" s="205"/>
      <c r="B496" s="206"/>
      <c r="C496" s="214"/>
      <c r="D496" s="209" t="str">
        <f>IF(allSellings_table[[#This Row],[Date]]="","",TEXT(allSellings_table[[#This Row],[Date]],"mmmm"))</f>
        <v/>
      </c>
      <c r="E496" s="209"/>
      <c r="F496" s="210"/>
      <c r="H496" s="69"/>
      <c r="I496" s="228"/>
      <c r="J496" s="188"/>
      <c r="K496" s="54"/>
      <c r="L496" s="54"/>
      <c r="M496" s="54"/>
    </row>
    <row r="497" spans="1:13" x14ac:dyDescent="0.3">
      <c r="A497" s="205"/>
      <c r="B497" s="206"/>
      <c r="C497" s="214"/>
      <c r="D497" s="209" t="str">
        <f>IF(allSellings_table[[#This Row],[Date]]="","",TEXT(allSellings_table[[#This Row],[Date]],"mmmm"))</f>
        <v/>
      </c>
      <c r="E497" s="209"/>
      <c r="F497" s="210"/>
      <c r="H497" s="62"/>
      <c r="I497" s="227"/>
      <c r="J497" s="186"/>
      <c r="K497" s="53"/>
      <c r="L497" s="53"/>
      <c r="M497" s="53"/>
    </row>
    <row r="498" spans="1:13" x14ac:dyDescent="0.3">
      <c r="A498" s="205"/>
      <c r="B498" s="206"/>
      <c r="C498" s="214"/>
      <c r="D498" s="209" t="str">
        <f>IF(allSellings_table[[#This Row],[Date]]="","",TEXT(allSellings_table[[#This Row],[Date]],"mmmm"))</f>
        <v/>
      </c>
      <c r="E498" s="209"/>
      <c r="F498" s="210"/>
      <c r="H498" s="69"/>
      <c r="I498" s="228"/>
      <c r="J498" s="188"/>
      <c r="K498" s="54"/>
      <c r="L498" s="54"/>
      <c r="M498" s="54"/>
    </row>
    <row r="499" spans="1:13" x14ac:dyDescent="0.3">
      <c r="A499" s="205"/>
      <c r="B499" s="206"/>
      <c r="C499" s="214"/>
      <c r="D499" s="209" t="str">
        <f>IF(allSellings_table[[#This Row],[Date]]="","",TEXT(allSellings_table[[#This Row],[Date]],"mmmm"))</f>
        <v/>
      </c>
      <c r="E499" s="209"/>
      <c r="F499" s="210"/>
      <c r="H499" s="62"/>
      <c r="I499" s="227"/>
      <c r="J499" s="186"/>
      <c r="K499" s="53"/>
      <c r="L499" s="53"/>
      <c r="M499" s="53"/>
    </row>
    <row r="500" spans="1:13" x14ac:dyDescent="0.3">
      <c r="A500" s="205"/>
      <c r="B500" s="206"/>
      <c r="C500" s="214"/>
      <c r="D500" s="209" t="str">
        <f>IF(allSellings_table[[#This Row],[Date]]="","",TEXT(allSellings_table[[#This Row],[Date]],"mmmm"))</f>
        <v/>
      </c>
      <c r="E500" s="209"/>
      <c r="F500" s="210"/>
      <c r="H500" s="69"/>
      <c r="I500" s="228"/>
      <c r="J500" s="188"/>
      <c r="K500" s="54"/>
      <c r="L500" s="54"/>
      <c r="M500" s="54"/>
    </row>
    <row r="501" spans="1:13" x14ac:dyDescent="0.3">
      <c r="A501" s="205"/>
      <c r="B501" s="206"/>
      <c r="C501" s="214"/>
      <c r="D501" s="209" t="str">
        <f>IF(allSellings_table[[#This Row],[Date]]="","",TEXT(allSellings_table[[#This Row],[Date]],"mmmm"))</f>
        <v/>
      </c>
      <c r="E501" s="209"/>
      <c r="F501" s="210"/>
    </row>
    <row r="502" spans="1:13" x14ac:dyDescent="0.3">
      <c r="A502" s="205"/>
      <c r="B502" s="206"/>
      <c r="C502" s="214"/>
      <c r="D502" s="209" t="str">
        <f>IF(allSellings_table[[#This Row],[Date]]="","",TEXT(allSellings_table[[#This Row],[Date]],"mmmm"))</f>
        <v/>
      </c>
      <c r="E502" s="209"/>
      <c r="F502" s="210"/>
    </row>
    <row r="503" spans="1:13" x14ac:dyDescent="0.3">
      <c r="A503" s="205"/>
      <c r="B503" s="206"/>
      <c r="C503" s="214"/>
      <c r="D503" s="209" t="str">
        <f>IF(allSellings_table[[#This Row],[Date]]="","",TEXT(allSellings_table[[#This Row],[Date]],"mmmm"))</f>
        <v/>
      </c>
      <c r="E503" s="209"/>
      <c r="F503" s="210"/>
    </row>
    <row r="504" spans="1:13" x14ac:dyDescent="0.3">
      <c r="A504" s="205"/>
      <c r="B504" s="206"/>
      <c r="C504" s="214"/>
      <c r="D504" s="209" t="str">
        <f>IF(allSellings_table[[#This Row],[Date]]="","",TEXT(allSellings_table[[#This Row],[Date]],"mmmm"))</f>
        <v/>
      </c>
      <c r="E504" s="209"/>
      <c r="F504" s="210"/>
    </row>
    <row r="505" spans="1:13" x14ac:dyDescent="0.3">
      <c r="A505" s="205"/>
      <c r="B505" s="206"/>
      <c r="C505" s="214"/>
      <c r="D505" s="209" t="str">
        <f>IF(allSellings_table[[#This Row],[Date]]="","",TEXT(allSellings_table[[#This Row],[Date]],"mmmm"))</f>
        <v/>
      </c>
      <c r="E505" s="209"/>
      <c r="F505" s="210"/>
    </row>
    <row r="506" spans="1:13" x14ac:dyDescent="0.3">
      <c r="A506" s="205"/>
      <c r="B506" s="206"/>
      <c r="C506" s="214"/>
      <c r="D506" s="209" t="str">
        <f>IF(allSellings_table[[#This Row],[Date]]="","",TEXT(allSellings_table[[#This Row],[Date]],"mmmm"))</f>
        <v/>
      </c>
      <c r="E506" s="209"/>
      <c r="F506" s="210"/>
    </row>
    <row r="507" spans="1:13" x14ac:dyDescent="0.3">
      <c r="A507" s="205"/>
      <c r="B507" s="206"/>
      <c r="C507" s="214"/>
      <c r="D507" s="209" t="str">
        <f>IF(allSellings_table[[#This Row],[Date]]="","",TEXT(allSellings_table[[#This Row],[Date]],"mmmm"))</f>
        <v/>
      </c>
      <c r="E507" s="209"/>
      <c r="F507" s="210"/>
    </row>
    <row r="508" spans="1:13" x14ac:dyDescent="0.3">
      <c r="A508" s="205"/>
      <c r="B508" s="206"/>
      <c r="C508" s="214"/>
      <c r="D508" s="209" t="str">
        <f>IF(allSellings_table[[#This Row],[Date]]="","",TEXT(allSellings_table[[#This Row],[Date]],"mmmm"))</f>
        <v/>
      </c>
      <c r="E508" s="209"/>
      <c r="F508" s="210"/>
    </row>
    <row r="509" spans="1:13" x14ac:dyDescent="0.3">
      <c r="A509" s="205"/>
      <c r="B509" s="206"/>
      <c r="C509" s="214"/>
      <c r="D509" s="209" t="str">
        <f>IF(allSellings_table[[#This Row],[Date]]="","",TEXT(allSellings_table[[#This Row],[Date]],"mmmm"))</f>
        <v/>
      </c>
      <c r="E509" s="209"/>
      <c r="F509" s="210"/>
    </row>
    <row r="510" spans="1:13" x14ac:dyDescent="0.3">
      <c r="A510" s="205"/>
      <c r="B510" s="206"/>
      <c r="C510" s="214"/>
      <c r="D510" s="209" t="str">
        <f>IF(allSellings_table[[#This Row],[Date]]="","",TEXT(allSellings_table[[#This Row],[Date]],"mmmm"))</f>
        <v/>
      </c>
      <c r="E510" s="209"/>
      <c r="F510" s="210"/>
    </row>
    <row r="511" spans="1:13" x14ac:dyDescent="0.3">
      <c r="A511" s="205"/>
      <c r="B511" s="206"/>
      <c r="C511" s="214"/>
      <c r="D511" s="209" t="str">
        <f>IF(allSellings_table[[#This Row],[Date]]="","",TEXT(allSellings_table[[#This Row],[Date]],"mmmm"))</f>
        <v/>
      </c>
      <c r="E511" s="209"/>
      <c r="F511" s="210"/>
    </row>
    <row r="512" spans="1:13" x14ac:dyDescent="0.3">
      <c r="A512" s="205"/>
      <c r="B512" s="206"/>
      <c r="C512" s="214"/>
      <c r="D512" s="209" t="str">
        <f>IF(allSellings_table[[#This Row],[Date]]="","",TEXT(allSellings_table[[#This Row],[Date]],"mmmm"))</f>
        <v/>
      </c>
      <c r="E512" s="209"/>
      <c r="F512" s="210"/>
    </row>
    <row r="513" spans="1:6" x14ac:dyDescent="0.3">
      <c r="A513" s="205"/>
      <c r="B513" s="206"/>
      <c r="C513" s="214"/>
      <c r="D513" s="209" t="str">
        <f>IF(allSellings_table[[#This Row],[Date]]="","",TEXT(allSellings_table[[#This Row],[Date]],"mmmm"))</f>
        <v/>
      </c>
      <c r="E513" s="209"/>
      <c r="F513" s="210"/>
    </row>
    <row r="514" spans="1:6" x14ac:dyDescent="0.3">
      <c r="A514" s="205"/>
      <c r="B514" s="206"/>
      <c r="C514" s="214"/>
      <c r="D514" s="209" t="str">
        <f>IF(allSellings_table[[#This Row],[Date]]="","",TEXT(allSellings_table[[#This Row],[Date]],"mmmm"))</f>
        <v/>
      </c>
      <c r="E514" s="209"/>
      <c r="F514" s="210"/>
    </row>
    <row r="515" spans="1:6" x14ac:dyDescent="0.3">
      <c r="A515" s="205"/>
      <c r="B515" s="206"/>
      <c r="C515" s="214"/>
      <c r="D515" s="209" t="str">
        <f>IF(allSellings_table[[#This Row],[Date]]="","",TEXT(allSellings_table[[#This Row],[Date]],"mmmm"))</f>
        <v/>
      </c>
      <c r="E515" s="209"/>
      <c r="F515" s="210"/>
    </row>
    <row r="516" spans="1:6" x14ac:dyDescent="0.3">
      <c r="A516" s="205"/>
      <c r="B516" s="206"/>
      <c r="C516" s="214"/>
      <c r="D516" s="209" t="str">
        <f>IF(allSellings_table[[#This Row],[Date]]="","",TEXT(allSellings_table[[#This Row],[Date]],"mmmm"))</f>
        <v/>
      </c>
      <c r="E516" s="209"/>
      <c r="F516" s="210"/>
    </row>
    <row r="517" spans="1:6" x14ac:dyDescent="0.3">
      <c r="A517" s="205"/>
      <c r="B517" s="206"/>
      <c r="C517" s="214"/>
      <c r="D517" s="209" t="str">
        <f>IF(allSellings_table[[#This Row],[Date]]="","",TEXT(allSellings_table[[#This Row],[Date]],"mmmm"))</f>
        <v/>
      </c>
      <c r="E517" s="209"/>
      <c r="F517" s="210"/>
    </row>
    <row r="518" spans="1:6" x14ac:dyDescent="0.3">
      <c r="A518" s="205"/>
      <c r="B518" s="206"/>
      <c r="C518" s="214"/>
      <c r="D518" s="209" t="str">
        <f>IF(allSellings_table[[#This Row],[Date]]="","",TEXT(allSellings_table[[#This Row],[Date]],"mmmm"))</f>
        <v/>
      </c>
      <c r="E518" s="209"/>
      <c r="F518" s="210"/>
    </row>
    <row r="519" spans="1:6" x14ac:dyDescent="0.3">
      <c r="A519" s="205"/>
      <c r="B519" s="206"/>
      <c r="C519" s="214"/>
      <c r="D519" s="209" t="str">
        <f>IF(allSellings_table[[#This Row],[Date]]="","",TEXT(allSellings_table[[#This Row],[Date]],"mmmm"))</f>
        <v/>
      </c>
      <c r="E519" s="209"/>
      <c r="F519" s="210"/>
    </row>
    <row r="520" spans="1:6" x14ac:dyDescent="0.3">
      <c r="A520" s="205"/>
      <c r="B520" s="206"/>
      <c r="C520" s="214"/>
      <c r="D520" s="209" t="str">
        <f>IF(allSellings_table[[#This Row],[Date]]="","",TEXT(allSellings_table[[#This Row],[Date]],"mmmm"))</f>
        <v/>
      </c>
      <c r="E520" s="209"/>
      <c r="F520" s="210"/>
    </row>
    <row r="521" spans="1:6" x14ac:dyDescent="0.3">
      <c r="A521" s="205"/>
      <c r="B521" s="206"/>
      <c r="C521" s="214"/>
      <c r="D521" s="209" t="str">
        <f>IF(allSellings_table[[#This Row],[Date]]="","",TEXT(allSellings_table[[#This Row],[Date]],"mmmm"))</f>
        <v/>
      </c>
      <c r="E521" s="209"/>
      <c r="F521" s="210"/>
    </row>
    <row r="522" spans="1:6" x14ac:dyDescent="0.3">
      <c r="A522" s="205"/>
      <c r="B522" s="206"/>
      <c r="C522" s="214"/>
      <c r="D522" s="209" t="str">
        <f>IF(allSellings_table[[#This Row],[Date]]="","",TEXT(allSellings_table[[#This Row],[Date]],"mmmm"))</f>
        <v/>
      </c>
      <c r="E522" s="209"/>
      <c r="F522" s="210"/>
    </row>
    <row r="523" spans="1:6" x14ac:dyDescent="0.3">
      <c r="A523" s="205"/>
      <c r="B523" s="206"/>
      <c r="C523" s="214"/>
      <c r="D523" s="209" t="str">
        <f>IF(allSellings_table[[#This Row],[Date]]="","",TEXT(allSellings_table[[#This Row],[Date]],"mmmm"))</f>
        <v/>
      </c>
      <c r="E523" s="209"/>
      <c r="F523" s="210"/>
    </row>
    <row r="524" spans="1:6" x14ac:dyDescent="0.3">
      <c r="A524" s="205"/>
      <c r="B524" s="206"/>
      <c r="C524" s="214"/>
      <c r="D524" s="209" t="str">
        <f>IF(allSellings_table[[#This Row],[Date]]="","",TEXT(allSellings_table[[#This Row],[Date]],"mmmm"))</f>
        <v/>
      </c>
      <c r="E524" s="209"/>
      <c r="F524" s="210"/>
    </row>
    <row r="525" spans="1:6" x14ac:dyDescent="0.3">
      <c r="A525" s="205"/>
      <c r="B525" s="206"/>
      <c r="C525" s="214"/>
      <c r="D525" s="209" t="str">
        <f>IF(allSellings_table[[#This Row],[Date]]="","",TEXT(allSellings_table[[#This Row],[Date]],"mmmm"))</f>
        <v/>
      </c>
      <c r="E525" s="209"/>
      <c r="F525" s="210"/>
    </row>
    <row r="526" spans="1:6" x14ac:dyDescent="0.3">
      <c r="A526" s="205"/>
      <c r="B526" s="206"/>
      <c r="C526" s="214"/>
      <c r="D526" s="209" t="str">
        <f>IF(allSellings_table[[#This Row],[Date]]="","",TEXT(allSellings_table[[#This Row],[Date]],"mmmm"))</f>
        <v/>
      </c>
      <c r="E526" s="209"/>
      <c r="F526" s="210"/>
    </row>
    <row r="527" spans="1:6" x14ac:dyDescent="0.3">
      <c r="A527" s="205"/>
      <c r="B527" s="206"/>
      <c r="C527" s="214"/>
      <c r="D527" s="209" t="str">
        <f>IF(allSellings_table[[#This Row],[Date]]="","",TEXT(allSellings_table[[#This Row],[Date]],"mmmm"))</f>
        <v/>
      </c>
      <c r="E527" s="209"/>
      <c r="F527" s="210"/>
    </row>
    <row r="528" spans="1:6" x14ac:dyDescent="0.3">
      <c r="A528" s="205"/>
      <c r="B528" s="206"/>
      <c r="C528" s="214"/>
      <c r="D528" s="209" t="str">
        <f>IF(allSellings_table[[#This Row],[Date]]="","",TEXT(allSellings_table[[#This Row],[Date]],"mmmm"))</f>
        <v/>
      </c>
      <c r="E528" s="209"/>
      <c r="F528" s="210"/>
    </row>
    <row r="529" spans="1:6" x14ac:dyDescent="0.3">
      <c r="A529" s="205"/>
      <c r="B529" s="206"/>
      <c r="C529" s="214"/>
      <c r="D529" s="209" t="str">
        <f>IF(allSellings_table[[#This Row],[Date]]="","",TEXT(allSellings_table[[#This Row],[Date]],"mmmm"))</f>
        <v/>
      </c>
      <c r="E529" s="209"/>
      <c r="F529" s="210"/>
    </row>
    <row r="530" spans="1:6" x14ac:dyDescent="0.3">
      <c r="A530" s="205"/>
      <c r="B530" s="206"/>
      <c r="C530" s="214"/>
      <c r="D530" s="209" t="str">
        <f>IF(allSellings_table[[#This Row],[Date]]="","",TEXT(allSellings_table[[#This Row],[Date]],"mmmm"))</f>
        <v/>
      </c>
      <c r="E530" s="209"/>
      <c r="F530" s="210"/>
    </row>
    <row r="531" spans="1:6" x14ac:dyDescent="0.3">
      <c r="A531" s="205"/>
      <c r="B531" s="206"/>
      <c r="C531" s="214"/>
      <c r="D531" s="209" t="str">
        <f>IF(allSellings_table[[#This Row],[Date]]="","",TEXT(allSellings_table[[#This Row],[Date]],"mmmm"))</f>
        <v/>
      </c>
      <c r="E531" s="209"/>
      <c r="F531" s="210"/>
    </row>
    <row r="532" spans="1:6" x14ac:dyDescent="0.3">
      <c r="A532" s="205"/>
      <c r="B532" s="206"/>
      <c r="C532" s="214"/>
      <c r="D532" s="209" t="str">
        <f>IF(allSellings_table[[#This Row],[Date]]="","",TEXT(allSellings_table[[#This Row],[Date]],"mmmm"))</f>
        <v/>
      </c>
      <c r="E532" s="209"/>
      <c r="F532" s="210"/>
    </row>
    <row r="533" spans="1:6" x14ac:dyDescent="0.3">
      <c r="A533" s="205"/>
      <c r="B533" s="206"/>
      <c r="C533" s="214"/>
      <c r="D533" s="209" t="str">
        <f>IF(allSellings_table[[#This Row],[Date]]="","",TEXT(allSellings_table[[#This Row],[Date]],"mmmm"))</f>
        <v/>
      </c>
      <c r="E533" s="209"/>
      <c r="F533" s="210"/>
    </row>
    <row r="534" spans="1:6" x14ac:dyDescent="0.3">
      <c r="A534" s="205"/>
      <c r="B534" s="206"/>
      <c r="C534" s="214"/>
      <c r="D534" s="209" t="str">
        <f>IF(allSellings_table[[#This Row],[Date]]="","",TEXT(allSellings_table[[#This Row],[Date]],"mmmm"))</f>
        <v/>
      </c>
      <c r="E534" s="209"/>
      <c r="F534" s="210"/>
    </row>
    <row r="535" spans="1:6" x14ac:dyDescent="0.3">
      <c r="A535" s="205"/>
      <c r="B535" s="206"/>
      <c r="C535" s="214"/>
      <c r="D535" s="209" t="str">
        <f>IF(allSellings_table[[#This Row],[Date]]="","",TEXT(allSellings_table[[#This Row],[Date]],"mmmm"))</f>
        <v/>
      </c>
      <c r="E535" s="209"/>
      <c r="F535" s="210"/>
    </row>
    <row r="536" spans="1:6" x14ac:dyDescent="0.3">
      <c r="A536" s="205"/>
      <c r="B536" s="206"/>
      <c r="C536" s="214"/>
      <c r="D536" s="209" t="str">
        <f>IF(allSellings_table[[#This Row],[Date]]="","",TEXT(allSellings_table[[#This Row],[Date]],"mmmm"))</f>
        <v/>
      </c>
      <c r="E536" s="209"/>
      <c r="F536" s="210"/>
    </row>
    <row r="537" spans="1:6" x14ac:dyDescent="0.3">
      <c r="A537" s="205"/>
      <c r="B537" s="206"/>
      <c r="C537" s="214"/>
      <c r="D537" s="209" t="str">
        <f>IF(allSellings_table[[#This Row],[Date]]="","",TEXT(allSellings_table[[#This Row],[Date]],"mmmm"))</f>
        <v/>
      </c>
      <c r="E537" s="209"/>
      <c r="F537" s="210"/>
    </row>
    <row r="538" spans="1:6" x14ac:dyDescent="0.3">
      <c r="A538" s="205"/>
      <c r="B538" s="206"/>
      <c r="C538" s="214"/>
      <c r="D538" s="209" t="str">
        <f>IF(allSellings_table[[#This Row],[Date]]="","",TEXT(allSellings_table[[#This Row],[Date]],"mmmm"))</f>
        <v/>
      </c>
      <c r="E538" s="209"/>
      <c r="F538" s="210"/>
    </row>
    <row r="539" spans="1:6" x14ac:dyDescent="0.3">
      <c r="A539" s="205"/>
      <c r="B539" s="206"/>
      <c r="C539" s="214"/>
      <c r="D539" s="209" t="str">
        <f>IF(allSellings_table[[#This Row],[Date]]="","",TEXT(allSellings_table[[#This Row],[Date]],"mmmm"))</f>
        <v/>
      </c>
      <c r="E539" s="209"/>
      <c r="F539" s="210"/>
    </row>
    <row r="540" spans="1:6" x14ac:dyDescent="0.3">
      <c r="A540" s="205"/>
      <c r="B540" s="206"/>
      <c r="C540" s="214"/>
      <c r="D540" s="209" t="str">
        <f>IF(allSellings_table[[#This Row],[Date]]="","",TEXT(allSellings_table[[#This Row],[Date]],"mmmm"))</f>
        <v/>
      </c>
      <c r="E540" s="209"/>
      <c r="F540" s="210"/>
    </row>
    <row r="541" spans="1:6" x14ac:dyDescent="0.3">
      <c r="A541" s="205"/>
      <c r="B541" s="206"/>
      <c r="C541" s="214"/>
      <c r="D541" s="209" t="str">
        <f>IF(allSellings_table[[#This Row],[Date]]="","",TEXT(allSellings_table[[#This Row],[Date]],"mmmm"))</f>
        <v/>
      </c>
      <c r="E541" s="209"/>
      <c r="F541" s="210"/>
    </row>
    <row r="542" spans="1:6" x14ac:dyDescent="0.3">
      <c r="A542" s="205"/>
      <c r="B542" s="206"/>
      <c r="C542" s="214"/>
      <c r="D542" s="209" t="str">
        <f>IF(allSellings_table[[#This Row],[Date]]="","",TEXT(allSellings_table[[#This Row],[Date]],"mmmm"))</f>
        <v/>
      </c>
      <c r="E542" s="209"/>
      <c r="F542" s="210"/>
    </row>
    <row r="543" spans="1:6" x14ac:dyDescent="0.3">
      <c r="A543" s="205"/>
      <c r="B543" s="206"/>
      <c r="C543" s="214"/>
      <c r="D543" s="209" t="str">
        <f>IF(allSellings_table[[#This Row],[Date]]="","",TEXT(allSellings_table[[#This Row],[Date]],"mmmm"))</f>
        <v/>
      </c>
      <c r="E543" s="209"/>
      <c r="F543" s="210"/>
    </row>
    <row r="544" spans="1:6" x14ac:dyDescent="0.3">
      <c r="A544" s="205"/>
      <c r="B544" s="206"/>
      <c r="C544" s="214"/>
      <c r="D544" s="209" t="str">
        <f>IF(allSellings_table[[#This Row],[Date]]="","",TEXT(allSellings_table[[#This Row],[Date]],"mmmm"))</f>
        <v/>
      </c>
      <c r="E544" s="209"/>
      <c r="F544" s="210"/>
    </row>
    <row r="545" spans="1:6" x14ac:dyDescent="0.3">
      <c r="A545" s="205"/>
      <c r="B545" s="206"/>
      <c r="C545" s="214"/>
      <c r="D545" s="209" t="str">
        <f>IF(allSellings_table[[#This Row],[Date]]="","",TEXT(allSellings_table[[#This Row],[Date]],"mmmm"))</f>
        <v/>
      </c>
      <c r="E545" s="209"/>
      <c r="F545" s="210"/>
    </row>
    <row r="546" spans="1:6" x14ac:dyDescent="0.3">
      <c r="A546" s="205"/>
      <c r="B546" s="206"/>
      <c r="C546" s="214"/>
      <c r="D546" s="209" t="str">
        <f>IF(allSellings_table[[#This Row],[Date]]="","",TEXT(allSellings_table[[#This Row],[Date]],"mmmm"))</f>
        <v/>
      </c>
      <c r="E546" s="209"/>
      <c r="F546" s="210"/>
    </row>
    <row r="547" spans="1:6" x14ac:dyDescent="0.3">
      <c r="A547" s="205"/>
      <c r="B547" s="206"/>
      <c r="C547" s="214"/>
      <c r="D547" s="209" t="str">
        <f>IF(allSellings_table[[#This Row],[Date]]="","",TEXT(allSellings_table[[#This Row],[Date]],"mmmm"))</f>
        <v/>
      </c>
      <c r="E547" s="209"/>
      <c r="F547" s="210"/>
    </row>
    <row r="548" spans="1:6" x14ac:dyDescent="0.3">
      <c r="A548" s="205"/>
      <c r="B548" s="206"/>
      <c r="C548" s="214"/>
      <c r="D548" s="209" t="str">
        <f>IF(allSellings_table[[#This Row],[Date]]="","",TEXT(allSellings_table[[#This Row],[Date]],"mmmm"))</f>
        <v/>
      </c>
      <c r="E548" s="209"/>
      <c r="F548" s="210"/>
    </row>
    <row r="549" spans="1:6" x14ac:dyDescent="0.3">
      <c r="A549" s="205"/>
      <c r="B549" s="206"/>
      <c r="C549" s="214"/>
      <c r="D549" s="209" t="str">
        <f>IF(allSellings_table[[#This Row],[Date]]="","",TEXT(allSellings_table[[#This Row],[Date]],"mmmm"))</f>
        <v/>
      </c>
      <c r="E549" s="209"/>
      <c r="F549" s="210"/>
    </row>
    <row r="550" spans="1:6" x14ac:dyDescent="0.3">
      <c r="A550" s="205"/>
      <c r="B550" s="206"/>
      <c r="C550" s="214"/>
      <c r="D550" s="209" t="str">
        <f>IF(allSellings_table[[#This Row],[Date]]="","",TEXT(allSellings_table[[#This Row],[Date]],"mmmm"))</f>
        <v/>
      </c>
      <c r="E550" s="209"/>
      <c r="F550" s="210"/>
    </row>
    <row r="551" spans="1:6" x14ac:dyDescent="0.3">
      <c r="A551" s="205"/>
      <c r="B551" s="206"/>
      <c r="C551" s="214"/>
      <c r="D551" s="209" t="str">
        <f>IF(allSellings_table[[#This Row],[Date]]="","",TEXT(allSellings_table[[#This Row],[Date]],"mmmm"))</f>
        <v/>
      </c>
      <c r="E551" s="209"/>
      <c r="F551" s="210"/>
    </row>
    <row r="552" spans="1:6" x14ac:dyDescent="0.3">
      <c r="A552" s="205"/>
      <c r="B552" s="206"/>
      <c r="C552" s="214"/>
      <c r="D552" s="209" t="str">
        <f>IF(allSellings_table[[#This Row],[Date]]="","",TEXT(allSellings_table[[#This Row],[Date]],"mmmm"))</f>
        <v/>
      </c>
      <c r="E552" s="209"/>
      <c r="F552" s="210"/>
    </row>
    <row r="553" spans="1:6" x14ac:dyDescent="0.3">
      <c r="A553" s="205"/>
      <c r="B553" s="206"/>
      <c r="C553" s="214"/>
      <c r="D553" s="209" t="str">
        <f>IF(allSellings_table[[#This Row],[Date]]="","",TEXT(allSellings_table[[#This Row],[Date]],"mmmm"))</f>
        <v/>
      </c>
      <c r="E553" s="209"/>
      <c r="F553" s="210"/>
    </row>
    <row r="554" spans="1:6" x14ac:dyDescent="0.3">
      <c r="A554" s="205"/>
      <c r="B554" s="206"/>
      <c r="C554" s="214"/>
      <c r="D554" s="209" t="str">
        <f>IF(allSellings_table[[#This Row],[Date]]="","",TEXT(allSellings_table[[#This Row],[Date]],"mmmm"))</f>
        <v/>
      </c>
      <c r="E554" s="209"/>
      <c r="F554" s="210"/>
    </row>
    <row r="555" spans="1:6" x14ac:dyDescent="0.3">
      <c r="A555" s="205"/>
      <c r="B555" s="206"/>
      <c r="C555" s="214"/>
      <c r="D555" s="209" t="str">
        <f>IF(allSellings_table[[#This Row],[Date]]="","",TEXT(allSellings_table[[#This Row],[Date]],"mmmm"))</f>
        <v/>
      </c>
      <c r="E555" s="209"/>
      <c r="F555" s="210"/>
    </row>
    <row r="556" spans="1:6" x14ac:dyDescent="0.3">
      <c r="A556" s="205"/>
      <c r="B556" s="206"/>
      <c r="C556" s="214"/>
      <c r="D556" s="209" t="str">
        <f>IF(allSellings_table[[#This Row],[Date]]="","",TEXT(allSellings_table[[#This Row],[Date]],"mmmm"))</f>
        <v/>
      </c>
      <c r="E556" s="209"/>
      <c r="F556" s="210"/>
    </row>
    <row r="557" spans="1:6" x14ac:dyDescent="0.3">
      <c r="A557" s="205"/>
      <c r="B557" s="206"/>
      <c r="C557" s="214"/>
      <c r="D557" s="209" t="str">
        <f>IF(allSellings_table[[#This Row],[Date]]="","",TEXT(allSellings_table[[#This Row],[Date]],"mmmm"))</f>
        <v/>
      </c>
      <c r="E557" s="209"/>
      <c r="F557" s="210"/>
    </row>
    <row r="558" spans="1:6" x14ac:dyDescent="0.3">
      <c r="A558" s="205"/>
      <c r="B558" s="206"/>
      <c r="C558" s="214"/>
      <c r="D558" s="209" t="str">
        <f>IF(allSellings_table[[#This Row],[Date]]="","",TEXT(allSellings_table[[#This Row],[Date]],"mmmm"))</f>
        <v/>
      </c>
      <c r="E558" s="209"/>
      <c r="F558" s="210"/>
    </row>
    <row r="559" spans="1:6" x14ac:dyDescent="0.3">
      <c r="A559" s="205"/>
      <c r="B559" s="206"/>
      <c r="C559" s="214"/>
      <c r="D559" s="209" t="str">
        <f>IF(allSellings_table[[#This Row],[Date]]="","",TEXT(allSellings_table[[#This Row],[Date]],"mmmm"))</f>
        <v/>
      </c>
      <c r="E559" s="209"/>
      <c r="F559" s="210"/>
    </row>
    <row r="560" spans="1:6" x14ac:dyDescent="0.3">
      <c r="A560" s="205"/>
      <c r="B560" s="206"/>
      <c r="C560" s="214"/>
      <c r="D560" s="209" t="str">
        <f>IF(allSellings_table[[#This Row],[Date]]="","",TEXT(allSellings_table[[#This Row],[Date]],"mmmm"))</f>
        <v/>
      </c>
      <c r="E560" s="209"/>
      <c r="F560" s="210"/>
    </row>
    <row r="561" spans="1:6" x14ac:dyDescent="0.3">
      <c r="A561" s="205"/>
      <c r="B561" s="206"/>
      <c r="C561" s="214"/>
      <c r="D561" s="209" t="str">
        <f>IF(allSellings_table[[#This Row],[Date]]="","",TEXT(allSellings_table[[#This Row],[Date]],"mmmm"))</f>
        <v/>
      </c>
      <c r="E561" s="209"/>
      <c r="F561" s="210"/>
    </row>
    <row r="562" spans="1:6" x14ac:dyDescent="0.3">
      <c r="A562" s="205"/>
      <c r="B562" s="206"/>
      <c r="C562" s="214"/>
      <c r="D562" s="209" t="str">
        <f>IF(allSellings_table[[#This Row],[Date]]="","",TEXT(allSellings_table[[#This Row],[Date]],"mmmm"))</f>
        <v/>
      </c>
      <c r="E562" s="209"/>
      <c r="F562" s="210"/>
    </row>
    <row r="563" spans="1:6" x14ac:dyDescent="0.3">
      <c r="A563" s="205"/>
      <c r="B563" s="206"/>
      <c r="C563" s="214"/>
      <c r="D563" s="209" t="str">
        <f>IF(allSellings_table[[#This Row],[Date]]="","",TEXT(allSellings_table[[#This Row],[Date]],"mmmm"))</f>
        <v/>
      </c>
      <c r="E563" s="209"/>
      <c r="F563" s="210"/>
    </row>
    <row r="564" spans="1:6" x14ac:dyDescent="0.3">
      <c r="A564" s="205"/>
      <c r="B564" s="206"/>
      <c r="C564" s="214"/>
      <c r="D564" s="209" t="str">
        <f>IF(allSellings_table[[#This Row],[Date]]="","",TEXT(allSellings_table[[#This Row],[Date]],"mmmm"))</f>
        <v/>
      </c>
      <c r="E564" s="209"/>
      <c r="F564" s="210"/>
    </row>
    <row r="565" spans="1:6" x14ac:dyDescent="0.3">
      <c r="A565" s="205"/>
      <c r="B565" s="206"/>
      <c r="C565" s="214"/>
      <c r="D565" s="209" t="str">
        <f>IF(allSellings_table[[#This Row],[Date]]="","",TEXT(allSellings_table[[#This Row],[Date]],"mmmm"))</f>
        <v/>
      </c>
      <c r="E565" s="209"/>
      <c r="F565" s="210"/>
    </row>
    <row r="566" spans="1:6" x14ac:dyDescent="0.3">
      <c r="A566" s="205"/>
      <c r="B566" s="206"/>
      <c r="C566" s="214"/>
      <c r="D566" s="209" t="str">
        <f>IF(allSellings_table[[#This Row],[Date]]="","",TEXT(allSellings_table[[#This Row],[Date]],"mmmm"))</f>
        <v/>
      </c>
      <c r="E566" s="209"/>
      <c r="F566" s="210"/>
    </row>
    <row r="567" spans="1:6" x14ac:dyDescent="0.3">
      <c r="A567" s="205"/>
      <c r="B567" s="206"/>
      <c r="C567" s="214"/>
      <c r="D567" s="209" t="str">
        <f>IF(allSellings_table[[#This Row],[Date]]="","",TEXT(allSellings_table[[#This Row],[Date]],"mmmm"))</f>
        <v/>
      </c>
      <c r="E567" s="209"/>
      <c r="F567" s="210"/>
    </row>
    <row r="568" spans="1:6" x14ac:dyDescent="0.3">
      <c r="A568" s="205"/>
      <c r="B568" s="206"/>
      <c r="C568" s="214"/>
      <c r="D568" s="209" t="str">
        <f>IF(allSellings_table[[#This Row],[Date]]="","",TEXT(allSellings_table[[#This Row],[Date]],"mmmm"))</f>
        <v/>
      </c>
      <c r="E568" s="209"/>
      <c r="F568" s="210"/>
    </row>
    <row r="569" spans="1:6" x14ac:dyDescent="0.3">
      <c r="A569" s="205"/>
      <c r="B569" s="206"/>
      <c r="C569" s="214"/>
      <c r="D569" s="209" t="str">
        <f>IF(allSellings_table[[#This Row],[Date]]="","",TEXT(allSellings_table[[#This Row],[Date]],"mmmm"))</f>
        <v/>
      </c>
      <c r="E569" s="209"/>
      <c r="F569" s="210"/>
    </row>
    <row r="570" spans="1:6" x14ac:dyDescent="0.3">
      <c r="A570" s="205"/>
      <c r="B570" s="206"/>
      <c r="C570" s="214"/>
      <c r="D570" s="209" t="str">
        <f>IF(allSellings_table[[#This Row],[Date]]="","",TEXT(allSellings_table[[#This Row],[Date]],"mmmm"))</f>
        <v/>
      </c>
      <c r="E570" s="209"/>
      <c r="F570" s="210"/>
    </row>
    <row r="571" spans="1:6" x14ac:dyDescent="0.3">
      <c r="A571" s="205"/>
      <c r="B571" s="206"/>
      <c r="C571" s="214"/>
      <c r="D571" s="209" t="str">
        <f>IF(allSellings_table[[#This Row],[Date]]="","",TEXT(allSellings_table[[#This Row],[Date]],"mmmm"))</f>
        <v/>
      </c>
      <c r="E571" s="209"/>
      <c r="F571" s="210"/>
    </row>
    <row r="572" spans="1:6" x14ac:dyDescent="0.3">
      <c r="A572" s="205"/>
      <c r="B572" s="206"/>
      <c r="C572" s="214"/>
      <c r="D572" s="209" t="str">
        <f>IF(allSellings_table[[#This Row],[Date]]="","",TEXT(allSellings_table[[#This Row],[Date]],"mmmm"))</f>
        <v/>
      </c>
      <c r="E572" s="209"/>
      <c r="F572" s="210"/>
    </row>
    <row r="573" spans="1:6" x14ac:dyDescent="0.3">
      <c r="A573" s="205"/>
      <c r="B573" s="206"/>
      <c r="C573" s="214"/>
      <c r="D573" s="209" t="str">
        <f>IF(allSellings_table[[#This Row],[Date]]="","",TEXT(allSellings_table[[#This Row],[Date]],"mmmm"))</f>
        <v/>
      </c>
      <c r="E573" s="209"/>
      <c r="F573" s="210"/>
    </row>
    <row r="574" spans="1:6" x14ac:dyDescent="0.3">
      <c r="A574" s="205"/>
      <c r="B574" s="206"/>
      <c r="C574" s="214"/>
      <c r="D574" s="209" t="str">
        <f>IF(allSellings_table[[#This Row],[Date]]="","",TEXT(allSellings_table[[#This Row],[Date]],"mmmm"))</f>
        <v/>
      </c>
      <c r="E574" s="209"/>
      <c r="F574" s="210"/>
    </row>
    <row r="575" spans="1:6" x14ac:dyDescent="0.3">
      <c r="A575" s="205"/>
      <c r="B575" s="206"/>
      <c r="C575" s="214"/>
      <c r="D575" s="209" t="str">
        <f>IF(allSellings_table[[#This Row],[Date]]="","",TEXT(allSellings_table[[#This Row],[Date]],"mmmm"))</f>
        <v/>
      </c>
      <c r="E575" s="209"/>
      <c r="F575" s="210"/>
    </row>
    <row r="576" spans="1:6" x14ac:dyDescent="0.3">
      <c r="A576" s="205"/>
      <c r="B576" s="206"/>
      <c r="C576" s="214"/>
      <c r="D576" s="209" t="str">
        <f>IF(allSellings_table[[#This Row],[Date]]="","",TEXT(allSellings_table[[#This Row],[Date]],"mmmm"))</f>
        <v/>
      </c>
      <c r="E576" s="209"/>
      <c r="F576" s="210"/>
    </row>
    <row r="577" spans="1:6" x14ac:dyDescent="0.3">
      <c r="A577" s="205"/>
      <c r="B577" s="206"/>
      <c r="C577" s="214"/>
      <c r="D577" s="209" t="str">
        <f>IF(allSellings_table[[#This Row],[Date]]="","",TEXT(allSellings_table[[#This Row],[Date]],"mmmm"))</f>
        <v/>
      </c>
      <c r="E577" s="209"/>
      <c r="F577" s="210"/>
    </row>
    <row r="578" spans="1:6" x14ac:dyDescent="0.3">
      <c r="A578" s="205"/>
      <c r="B578" s="206"/>
      <c r="C578" s="214"/>
      <c r="D578" s="209" t="str">
        <f>IF(allSellings_table[[#This Row],[Date]]="","",TEXT(allSellings_table[[#This Row],[Date]],"mmmm"))</f>
        <v/>
      </c>
      <c r="E578" s="209"/>
      <c r="F578" s="210"/>
    </row>
    <row r="579" spans="1:6" x14ac:dyDescent="0.3">
      <c r="A579" s="205"/>
      <c r="B579" s="206"/>
      <c r="C579" s="214"/>
      <c r="D579" s="209" t="str">
        <f>IF(allSellings_table[[#This Row],[Date]]="","",TEXT(allSellings_table[[#This Row],[Date]],"mmmm"))</f>
        <v/>
      </c>
      <c r="E579" s="209"/>
      <c r="F579" s="210"/>
    </row>
    <row r="580" spans="1:6" x14ac:dyDescent="0.3">
      <c r="A580" s="205"/>
      <c r="B580" s="206"/>
      <c r="C580" s="214"/>
      <c r="D580" s="209" t="str">
        <f>IF(allSellings_table[[#This Row],[Date]]="","",TEXT(allSellings_table[[#This Row],[Date]],"mmmm"))</f>
        <v/>
      </c>
      <c r="E580" s="209"/>
      <c r="F580" s="210"/>
    </row>
    <row r="581" spans="1:6" x14ac:dyDescent="0.3">
      <c r="A581" s="205"/>
      <c r="B581" s="206"/>
      <c r="C581" s="214"/>
      <c r="D581" s="209" t="str">
        <f>IF(allSellings_table[[#This Row],[Date]]="","",TEXT(allSellings_table[[#This Row],[Date]],"mmmm"))</f>
        <v/>
      </c>
      <c r="E581" s="209"/>
      <c r="F581" s="210"/>
    </row>
    <row r="582" spans="1:6" x14ac:dyDescent="0.3">
      <c r="A582" s="205"/>
      <c r="B582" s="206"/>
      <c r="C582" s="214"/>
      <c r="D582" s="209" t="str">
        <f>IF(allSellings_table[[#This Row],[Date]]="","",TEXT(allSellings_table[[#This Row],[Date]],"mmmm"))</f>
        <v/>
      </c>
      <c r="E582" s="209"/>
      <c r="F582" s="210"/>
    </row>
    <row r="583" spans="1:6" x14ac:dyDescent="0.3">
      <c r="A583" s="205"/>
      <c r="B583" s="206"/>
      <c r="C583" s="214"/>
      <c r="D583" s="209" t="str">
        <f>IF(allSellings_table[[#This Row],[Date]]="","",TEXT(allSellings_table[[#This Row],[Date]],"mmmm"))</f>
        <v/>
      </c>
      <c r="E583" s="209"/>
      <c r="F583" s="210"/>
    </row>
    <row r="584" spans="1:6" x14ac:dyDescent="0.3">
      <c r="A584" s="205"/>
      <c r="B584" s="206"/>
      <c r="C584" s="214"/>
      <c r="D584" s="209" t="str">
        <f>IF(allSellings_table[[#This Row],[Date]]="","",TEXT(allSellings_table[[#This Row],[Date]],"mmmm"))</f>
        <v/>
      </c>
      <c r="E584" s="209"/>
      <c r="F584" s="210"/>
    </row>
    <row r="585" spans="1:6" x14ac:dyDescent="0.3">
      <c r="A585" s="205"/>
      <c r="B585" s="206"/>
      <c r="C585" s="214"/>
      <c r="D585" s="209" t="str">
        <f>IF(allSellings_table[[#This Row],[Date]]="","",TEXT(allSellings_table[[#This Row],[Date]],"mmmm"))</f>
        <v/>
      </c>
      <c r="E585" s="209"/>
      <c r="F585" s="210"/>
    </row>
    <row r="586" spans="1:6" x14ac:dyDescent="0.3">
      <c r="A586" s="205"/>
      <c r="B586" s="206"/>
      <c r="C586" s="214"/>
      <c r="D586" s="209" t="str">
        <f>IF(allSellings_table[[#This Row],[Date]]="","",TEXT(allSellings_table[[#This Row],[Date]],"mmmm"))</f>
        <v/>
      </c>
      <c r="E586" s="209"/>
      <c r="F586" s="210"/>
    </row>
    <row r="587" spans="1:6" x14ac:dyDescent="0.3">
      <c r="A587" s="205"/>
      <c r="B587" s="206"/>
      <c r="C587" s="214"/>
      <c r="D587" s="209" t="str">
        <f>IF(allSellings_table[[#This Row],[Date]]="","",TEXT(allSellings_table[[#This Row],[Date]],"mmmm"))</f>
        <v/>
      </c>
      <c r="E587" s="209"/>
      <c r="F587" s="210"/>
    </row>
    <row r="588" spans="1:6" x14ac:dyDescent="0.3">
      <c r="A588" s="205"/>
      <c r="B588" s="206"/>
      <c r="C588" s="214"/>
      <c r="D588" s="209" t="str">
        <f>IF(allSellings_table[[#This Row],[Date]]="","",TEXT(allSellings_table[[#This Row],[Date]],"mmmm"))</f>
        <v/>
      </c>
      <c r="E588" s="209"/>
      <c r="F588" s="210"/>
    </row>
    <row r="589" spans="1:6" x14ac:dyDescent="0.3">
      <c r="A589" s="205"/>
      <c r="B589" s="206"/>
      <c r="C589" s="214"/>
      <c r="D589" s="209" t="str">
        <f>IF(allSellings_table[[#This Row],[Date]]="","",TEXT(allSellings_table[[#This Row],[Date]],"mmmm"))</f>
        <v/>
      </c>
      <c r="E589" s="209"/>
      <c r="F589" s="210"/>
    </row>
    <row r="590" spans="1:6" x14ac:dyDescent="0.3">
      <c r="A590" s="205"/>
      <c r="B590" s="206"/>
      <c r="C590" s="214"/>
      <c r="D590" s="209" t="str">
        <f>IF(allSellings_table[[#This Row],[Date]]="","",TEXT(allSellings_table[[#This Row],[Date]],"mmmm"))</f>
        <v/>
      </c>
      <c r="E590" s="209"/>
      <c r="F590" s="210"/>
    </row>
    <row r="591" spans="1:6" x14ac:dyDescent="0.3">
      <c r="A591" s="205"/>
      <c r="B591" s="206"/>
      <c r="C591" s="214"/>
      <c r="D591" s="209" t="str">
        <f>IF(allSellings_table[[#This Row],[Date]]="","",TEXT(allSellings_table[[#This Row],[Date]],"mmmm"))</f>
        <v/>
      </c>
      <c r="E591" s="209"/>
      <c r="F591" s="210"/>
    </row>
    <row r="592" spans="1:6" x14ac:dyDescent="0.3">
      <c r="A592" s="205"/>
      <c r="B592" s="206"/>
      <c r="C592" s="214"/>
      <c r="D592" s="209" t="str">
        <f>IF(allSellings_table[[#This Row],[Date]]="","",TEXT(allSellings_table[[#This Row],[Date]],"mmmm"))</f>
        <v/>
      </c>
      <c r="E592" s="209"/>
      <c r="F592" s="210"/>
    </row>
    <row r="593" spans="1:6" x14ac:dyDescent="0.3">
      <c r="A593" s="205"/>
      <c r="B593" s="206"/>
      <c r="C593" s="214"/>
      <c r="D593" s="209" t="str">
        <f>IF(allSellings_table[[#This Row],[Date]]="","",TEXT(allSellings_table[[#This Row],[Date]],"mmmm"))</f>
        <v/>
      </c>
      <c r="E593" s="209"/>
      <c r="F593" s="210"/>
    </row>
    <row r="594" spans="1:6" x14ac:dyDescent="0.3">
      <c r="A594" s="205"/>
      <c r="B594" s="206"/>
      <c r="C594" s="214"/>
      <c r="D594" s="209" t="str">
        <f>IF(allSellings_table[[#This Row],[Date]]="","",TEXT(allSellings_table[[#This Row],[Date]],"mmmm"))</f>
        <v/>
      </c>
      <c r="E594" s="209"/>
      <c r="F594" s="210"/>
    </row>
    <row r="595" spans="1:6" x14ac:dyDescent="0.3">
      <c r="A595" s="205"/>
      <c r="B595" s="206"/>
      <c r="C595" s="214"/>
      <c r="D595" s="209" t="str">
        <f>IF(allSellings_table[[#This Row],[Date]]="","",TEXT(allSellings_table[[#This Row],[Date]],"mmmm"))</f>
        <v/>
      </c>
      <c r="E595" s="209"/>
      <c r="F595" s="210"/>
    </row>
    <row r="596" spans="1:6" x14ac:dyDescent="0.3">
      <c r="A596" s="205"/>
      <c r="B596" s="206"/>
      <c r="C596" s="214"/>
      <c r="D596" s="209" t="str">
        <f>IF(allSellings_table[[#This Row],[Date]]="","",TEXT(allSellings_table[[#This Row],[Date]],"mmmm"))</f>
        <v/>
      </c>
      <c r="E596" s="209"/>
      <c r="F596" s="210"/>
    </row>
    <row r="597" spans="1:6" x14ac:dyDescent="0.3">
      <c r="A597" s="205"/>
      <c r="B597" s="206"/>
      <c r="C597" s="214"/>
      <c r="D597" s="209" t="str">
        <f>IF(allSellings_table[[#This Row],[Date]]="","",TEXT(allSellings_table[[#This Row],[Date]],"mmmm"))</f>
        <v/>
      </c>
      <c r="E597" s="209"/>
      <c r="F597" s="210"/>
    </row>
    <row r="598" spans="1:6" x14ac:dyDescent="0.3">
      <c r="A598" s="205"/>
      <c r="B598" s="206"/>
      <c r="C598" s="214"/>
      <c r="D598" s="209" t="str">
        <f>IF(allSellings_table[[#This Row],[Date]]="","",TEXT(allSellings_table[[#This Row],[Date]],"mmmm"))</f>
        <v/>
      </c>
      <c r="E598" s="209"/>
      <c r="F598" s="210"/>
    </row>
    <row r="599" spans="1:6" x14ac:dyDescent="0.3">
      <c r="A599" s="205"/>
      <c r="B599" s="206"/>
      <c r="C599" s="214"/>
      <c r="D599" s="209" t="str">
        <f>IF(allSellings_table[[#This Row],[Date]]="","",TEXT(allSellings_table[[#This Row],[Date]],"mmmm"))</f>
        <v/>
      </c>
      <c r="E599" s="209"/>
      <c r="F599" s="210"/>
    </row>
    <row r="600" spans="1:6" x14ac:dyDescent="0.3">
      <c r="A600" s="205"/>
      <c r="B600" s="206"/>
      <c r="C600" s="214"/>
      <c r="D600" s="209" t="str">
        <f>IF(allSellings_table[[#This Row],[Date]]="","",TEXT(allSellings_table[[#This Row],[Date]],"mmmm"))</f>
        <v/>
      </c>
      <c r="E600" s="209"/>
      <c r="F600" s="210"/>
    </row>
    <row r="601" spans="1:6" x14ac:dyDescent="0.3">
      <c r="A601" s="205"/>
      <c r="B601" s="206"/>
      <c r="C601" s="214"/>
      <c r="D601" s="209" t="str">
        <f>IF(allSellings_table[[#This Row],[Date]]="","",TEXT(allSellings_table[[#This Row],[Date]],"mmmm"))</f>
        <v/>
      </c>
      <c r="E601" s="209"/>
      <c r="F601" s="210"/>
    </row>
    <row r="602" spans="1:6" x14ac:dyDescent="0.3">
      <c r="A602" s="205"/>
      <c r="B602" s="206"/>
      <c r="C602" s="214"/>
      <c r="D602" s="209" t="str">
        <f>IF(allSellings_table[[#This Row],[Date]]="","",TEXT(allSellings_table[[#This Row],[Date]],"mmmm"))</f>
        <v/>
      </c>
      <c r="E602" s="209"/>
      <c r="F602" s="210"/>
    </row>
    <row r="603" spans="1:6" x14ac:dyDescent="0.3">
      <c r="A603" s="205"/>
      <c r="B603" s="206"/>
      <c r="C603" s="214"/>
      <c r="D603" s="209" t="str">
        <f>IF(allSellings_table[[#This Row],[Date]]="","",TEXT(allSellings_table[[#This Row],[Date]],"mmmm"))</f>
        <v/>
      </c>
      <c r="E603" s="209"/>
      <c r="F603" s="210"/>
    </row>
    <row r="604" spans="1:6" x14ac:dyDescent="0.3">
      <c r="A604" s="205"/>
      <c r="B604" s="206"/>
      <c r="C604" s="214"/>
      <c r="D604" s="209" t="str">
        <f>IF(allSellings_table[[#This Row],[Date]]="","",TEXT(allSellings_table[[#This Row],[Date]],"mmmm"))</f>
        <v/>
      </c>
      <c r="E604" s="209"/>
      <c r="F604" s="210"/>
    </row>
    <row r="605" spans="1:6" x14ac:dyDescent="0.3">
      <c r="A605" s="205"/>
      <c r="B605" s="206"/>
      <c r="C605" s="214"/>
      <c r="D605" s="209" t="str">
        <f>IF(allSellings_table[[#This Row],[Date]]="","",TEXT(allSellings_table[[#This Row],[Date]],"mmmm"))</f>
        <v/>
      </c>
      <c r="E605" s="209"/>
      <c r="F605" s="210"/>
    </row>
    <row r="606" spans="1:6" x14ac:dyDescent="0.3">
      <c r="A606" s="205"/>
      <c r="B606" s="206"/>
      <c r="C606" s="214"/>
      <c r="D606" s="209" t="str">
        <f>IF(allSellings_table[[#This Row],[Date]]="","",TEXT(allSellings_table[[#This Row],[Date]],"mmmm"))</f>
        <v/>
      </c>
      <c r="E606" s="209"/>
      <c r="F606" s="210"/>
    </row>
    <row r="607" spans="1:6" x14ac:dyDescent="0.3">
      <c r="A607" s="205"/>
      <c r="B607" s="206"/>
      <c r="C607" s="214"/>
      <c r="D607" s="209" t="str">
        <f>IF(allSellings_table[[#This Row],[Date]]="","",TEXT(allSellings_table[[#This Row],[Date]],"mmmm"))</f>
        <v/>
      </c>
      <c r="E607" s="209"/>
      <c r="F607" s="210"/>
    </row>
    <row r="608" spans="1:6" x14ac:dyDescent="0.3">
      <c r="A608" s="205"/>
      <c r="B608" s="206"/>
      <c r="C608" s="214"/>
      <c r="D608" s="209" t="str">
        <f>IF(allSellings_table[[#This Row],[Date]]="","",TEXT(allSellings_table[[#This Row],[Date]],"mmmm"))</f>
        <v/>
      </c>
      <c r="E608" s="209"/>
      <c r="F608" s="210"/>
    </row>
    <row r="609" spans="1:6" x14ac:dyDescent="0.3">
      <c r="A609" s="205"/>
      <c r="B609" s="206"/>
      <c r="C609" s="214"/>
      <c r="D609" s="209" t="str">
        <f>IF(allSellings_table[[#This Row],[Date]]="","",TEXT(allSellings_table[[#This Row],[Date]],"mmmm"))</f>
        <v/>
      </c>
      <c r="E609" s="209"/>
      <c r="F609" s="210"/>
    </row>
    <row r="610" spans="1:6" x14ac:dyDescent="0.3">
      <c r="A610" s="205"/>
      <c r="B610" s="206"/>
      <c r="C610" s="214"/>
      <c r="D610" s="209" t="str">
        <f>IF(allSellings_table[[#This Row],[Date]]="","",TEXT(allSellings_table[[#This Row],[Date]],"mmmm"))</f>
        <v/>
      </c>
      <c r="E610" s="209"/>
      <c r="F610" s="210"/>
    </row>
    <row r="611" spans="1:6" x14ac:dyDescent="0.3">
      <c r="A611" s="205"/>
      <c r="B611" s="206"/>
      <c r="C611" s="214"/>
      <c r="D611" s="209" t="str">
        <f>IF(allSellings_table[[#This Row],[Date]]="","",TEXT(allSellings_table[[#This Row],[Date]],"mmmm"))</f>
        <v/>
      </c>
      <c r="E611" s="209"/>
      <c r="F611" s="210"/>
    </row>
    <row r="612" spans="1:6" x14ac:dyDescent="0.3">
      <c r="A612" s="205"/>
      <c r="B612" s="206"/>
      <c r="C612" s="214"/>
      <c r="D612" s="209" t="str">
        <f>IF(allSellings_table[[#This Row],[Date]]="","",TEXT(allSellings_table[[#This Row],[Date]],"mmmm"))</f>
        <v/>
      </c>
      <c r="E612" s="209"/>
      <c r="F612" s="210"/>
    </row>
    <row r="613" spans="1:6" x14ac:dyDescent="0.3">
      <c r="A613" s="205"/>
      <c r="B613" s="206"/>
      <c r="C613" s="214"/>
      <c r="D613" s="209" t="str">
        <f>IF(allSellings_table[[#This Row],[Date]]="","",TEXT(allSellings_table[[#This Row],[Date]],"mmmm"))</f>
        <v/>
      </c>
      <c r="E613" s="209"/>
      <c r="F613" s="210"/>
    </row>
    <row r="614" spans="1:6" x14ac:dyDescent="0.3">
      <c r="A614" s="205"/>
      <c r="B614" s="206"/>
      <c r="C614" s="214"/>
      <c r="D614" s="209" t="str">
        <f>IF(allSellings_table[[#This Row],[Date]]="","",TEXT(allSellings_table[[#This Row],[Date]],"mmmm"))</f>
        <v/>
      </c>
      <c r="E614" s="209"/>
      <c r="F614" s="210"/>
    </row>
    <row r="615" spans="1:6" x14ac:dyDescent="0.3">
      <c r="A615" s="205"/>
      <c r="B615" s="206"/>
      <c r="C615" s="214"/>
      <c r="D615" s="209" t="str">
        <f>IF(allSellings_table[[#This Row],[Date]]="","",TEXT(allSellings_table[[#This Row],[Date]],"mmmm"))</f>
        <v/>
      </c>
      <c r="E615" s="209"/>
      <c r="F615" s="210"/>
    </row>
    <row r="616" spans="1:6" x14ac:dyDescent="0.3">
      <c r="A616" s="205"/>
      <c r="B616" s="206"/>
      <c r="C616" s="214"/>
      <c r="D616" s="209" t="str">
        <f>IF(allSellings_table[[#This Row],[Date]]="","",TEXT(allSellings_table[[#This Row],[Date]],"mmmm"))</f>
        <v/>
      </c>
      <c r="E616" s="209"/>
      <c r="F616" s="210"/>
    </row>
    <row r="617" spans="1:6" x14ac:dyDescent="0.3">
      <c r="A617" s="205"/>
      <c r="B617" s="206"/>
      <c r="C617" s="214"/>
      <c r="D617" s="209" t="str">
        <f>IF(allSellings_table[[#This Row],[Date]]="","",TEXT(allSellings_table[[#This Row],[Date]],"mmmm"))</f>
        <v/>
      </c>
      <c r="E617" s="209"/>
      <c r="F617" s="210"/>
    </row>
    <row r="618" spans="1:6" x14ac:dyDescent="0.3">
      <c r="A618" s="205"/>
      <c r="B618" s="206"/>
      <c r="C618" s="214"/>
      <c r="D618" s="209" t="str">
        <f>IF(allSellings_table[[#This Row],[Date]]="","",TEXT(allSellings_table[[#This Row],[Date]],"mmmm"))</f>
        <v/>
      </c>
      <c r="E618" s="209"/>
      <c r="F618" s="210"/>
    </row>
    <row r="619" spans="1:6" x14ac:dyDescent="0.3">
      <c r="A619" s="205"/>
      <c r="B619" s="206"/>
      <c r="C619" s="214"/>
      <c r="D619" s="209" t="str">
        <f>IF(allSellings_table[[#This Row],[Date]]="","",TEXT(allSellings_table[[#This Row],[Date]],"mmmm"))</f>
        <v/>
      </c>
      <c r="E619" s="209"/>
      <c r="F619" s="210"/>
    </row>
    <row r="620" spans="1:6" x14ac:dyDescent="0.3">
      <c r="A620" s="205"/>
      <c r="B620" s="206"/>
      <c r="C620" s="214"/>
      <c r="D620" s="209" t="str">
        <f>IF(allSellings_table[[#This Row],[Date]]="","",TEXT(allSellings_table[[#This Row],[Date]],"mmmm"))</f>
        <v/>
      </c>
      <c r="E620" s="209"/>
      <c r="F620" s="210"/>
    </row>
    <row r="621" spans="1:6" x14ac:dyDescent="0.3">
      <c r="A621" s="205"/>
      <c r="B621" s="206"/>
      <c r="C621" s="214"/>
      <c r="D621" s="209" t="str">
        <f>IF(allSellings_table[[#This Row],[Date]]="","",TEXT(allSellings_table[[#This Row],[Date]],"mmmm"))</f>
        <v/>
      </c>
      <c r="E621" s="209"/>
      <c r="F621" s="210"/>
    </row>
    <row r="622" spans="1:6" x14ac:dyDescent="0.3">
      <c r="A622" s="205"/>
      <c r="B622" s="206"/>
      <c r="C622" s="214"/>
      <c r="D622" s="209" t="str">
        <f>IF(allSellings_table[[#This Row],[Date]]="","",TEXT(allSellings_table[[#This Row],[Date]],"mmmm"))</f>
        <v/>
      </c>
      <c r="E622" s="209"/>
      <c r="F622" s="210"/>
    </row>
    <row r="623" spans="1:6" x14ac:dyDescent="0.3">
      <c r="A623" s="205"/>
      <c r="B623" s="206"/>
      <c r="C623" s="214"/>
      <c r="D623" s="209" t="str">
        <f>IF(allSellings_table[[#This Row],[Date]]="","",TEXT(allSellings_table[[#This Row],[Date]],"mmmm"))</f>
        <v/>
      </c>
      <c r="E623" s="209"/>
      <c r="F623" s="210"/>
    </row>
    <row r="624" spans="1:6" x14ac:dyDescent="0.3">
      <c r="A624" s="205"/>
      <c r="B624" s="206"/>
      <c r="C624" s="214"/>
      <c r="D624" s="209" t="str">
        <f>IF(allSellings_table[[#This Row],[Date]]="","",TEXT(allSellings_table[[#This Row],[Date]],"mmmm"))</f>
        <v/>
      </c>
      <c r="E624" s="209"/>
      <c r="F624" s="210"/>
    </row>
    <row r="625" spans="1:6" x14ac:dyDescent="0.3">
      <c r="A625" s="205"/>
      <c r="B625" s="206"/>
      <c r="C625" s="214"/>
      <c r="D625" s="209" t="str">
        <f>IF(allSellings_table[[#This Row],[Date]]="","",TEXT(allSellings_table[[#This Row],[Date]],"mmmm"))</f>
        <v/>
      </c>
      <c r="E625" s="209"/>
      <c r="F625" s="210"/>
    </row>
    <row r="626" spans="1:6" x14ac:dyDescent="0.3">
      <c r="A626" s="205"/>
      <c r="B626" s="206"/>
      <c r="C626" s="214"/>
      <c r="D626" s="209" t="str">
        <f>IF(allSellings_table[[#This Row],[Date]]="","",TEXT(allSellings_table[[#This Row],[Date]],"mmmm"))</f>
        <v/>
      </c>
      <c r="E626" s="209"/>
      <c r="F626" s="210"/>
    </row>
    <row r="627" spans="1:6" x14ac:dyDescent="0.3">
      <c r="A627" s="205"/>
      <c r="B627" s="206"/>
      <c r="C627" s="214"/>
      <c r="D627" s="209" t="str">
        <f>IF(allSellings_table[[#This Row],[Date]]="","",TEXT(allSellings_table[[#This Row],[Date]],"mmmm"))</f>
        <v/>
      </c>
      <c r="E627" s="209"/>
      <c r="F627" s="210"/>
    </row>
    <row r="628" spans="1:6" x14ac:dyDescent="0.3">
      <c r="A628" s="205"/>
      <c r="B628" s="206"/>
      <c r="C628" s="214"/>
      <c r="D628" s="209" t="str">
        <f>IF(allSellings_table[[#This Row],[Date]]="","",TEXT(allSellings_table[[#This Row],[Date]],"mmmm"))</f>
        <v/>
      </c>
      <c r="E628" s="209"/>
      <c r="F628" s="210"/>
    </row>
    <row r="629" spans="1:6" x14ac:dyDescent="0.3">
      <c r="A629" s="205"/>
      <c r="B629" s="206"/>
      <c r="C629" s="214"/>
      <c r="D629" s="209" t="str">
        <f>IF(allSellings_table[[#This Row],[Date]]="","",TEXT(allSellings_table[[#This Row],[Date]],"mmmm"))</f>
        <v/>
      </c>
      <c r="E629" s="209"/>
      <c r="F629" s="210"/>
    </row>
    <row r="630" spans="1:6" x14ac:dyDescent="0.3">
      <c r="A630" s="205"/>
      <c r="B630" s="206"/>
      <c r="C630" s="214"/>
      <c r="D630" s="209" t="str">
        <f>IF(allSellings_table[[#This Row],[Date]]="","",TEXT(allSellings_table[[#This Row],[Date]],"mmmm"))</f>
        <v/>
      </c>
      <c r="E630" s="209"/>
      <c r="F630" s="210"/>
    </row>
    <row r="631" spans="1:6" x14ac:dyDescent="0.3">
      <c r="A631" s="205"/>
      <c r="B631" s="206"/>
      <c r="C631" s="214"/>
      <c r="D631" s="209" t="str">
        <f>IF(allSellings_table[[#This Row],[Date]]="","",TEXT(allSellings_table[[#This Row],[Date]],"mmmm"))</f>
        <v/>
      </c>
      <c r="E631" s="209"/>
      <c r="F631" s="210"/>
    </row>
    <row r="632" spans="1:6" x14ac:dyDescent="0.3">
      <c r="A632" s="205"/>
      <c r="B632" s="206"/>
      <c r="C632" s="214"/>
      <c r="D632" s="209" t="str">
        <f>IF(allSellings_table[[#This Row],[Date]]="","",TEXT(allSellings_table[[#This Row],[Date]],"mmmm"))</f>
        <v/>
      </c>
      <c r="E632" s="209"/>
      <c r="F632" s="210"/>
    </row>
    <row r="633" spans="1:6" x14ac:dyDescent="0.3">
      <c r="A633" s="205"/>
      <c r="B633" s="206"/>
      <c r="C633" s="214"/>
      <c r="D633" s="209" t="str">
        <f>IF(allSellings_table[[#This Row],[Date]]="","",TEXT(allSellings_table[[#This Row],[Date]],"mmmm"))</f>
        <v/>
      </c>
      <c r="E633" s="209"/>
      <c r="F633" s="210"/>
    </row>
    <row r="634" spans="1:6" x14ac:dyDescent="0.3">
      <c r="A634" s="205"/>
      <c r="B634" s="206"/>
      <c r="C634" s="214"/>
      <c r="D634" s="209" t="str">
        <f>IF(allSellings_table[[#This Row],[Date]]="","",TEXT(allSellings_table[[#This Row],[Date]],"mmmm"))</f>
        <v/>
      </c>
      <c r="E634" s="209"/>
      <c r="F634" s="210"/>
    </row>
    <row r="635" spans="1:6" x14ac:dyDescent="0.3">
      <c r="A635" s="205"/>
      <c r="B635" s="206"/>
      <c r="C635" s="214"/>
      <c r="D635" s="209" t="str">
        <f>IF(allSellings_table[[#This Row],[Date]]="","",TEXT(allSellings_table[[#This Row],[Date]],"mmmm"))</f>
        <v/>
      </c>
      <c r="E635" s="209"/>
      <c r="F635" s="210"/>
    </row>
    <row r="636" spans="1:6" x14ac:dyDescent="0.3">
      <c r="A636" s="205"/>
      <c r="B636" s="206"/>
      <c r="C636" s="214"/>
      <c r="D636" s="209" t="str">
        <f>IF(allSellings_table[[#This Row],[Date]]="","",TEXT(allSellings_table[[#This Row],[Date]],"mmmm"))</f>
        <v/>
      </c>
      <c r="E636" s="209"/>
      <c r="F636" s="210"/>
    </row>
    <row r="637" spans="1:6" x14ac:dyDescent="0.3">
      <c r="A637" s="205"/>
      <c r="B637" s="206"/>
      <c r="C637" s="214"/>
      <c r="D637" s="209" t="str">
        <f>IF(allSellings_table[[#This Row],[Date]]="","",TEXT(allSellings_table[[#This Row],[Date]],"mmmm"))</f>
        <v/>
      </c>
      <c r="E637" s="209"/>
      <c r="F637" s="210"/>
    </row>
    <row r="638" spans="1:6" x14ac:dyDescent="0.3">
      <c r="A638" s="205"/>
      <c r="B638" s="206"/>
      <c r="C638" s="214"/>
      <c r="D638" s="209" t="str">
        <f>IF(allSellings_table[[#This Row],[Date]]="","",TEXT(allSellings_table[[#This Row],[Date]],"mmmm"))</f>
        <v/>
      </c>
      <c r="E638" s="209"/>
      <c r="F638" s="210"/>
    </row>
    <row r="639" spans="1:6" x14ac:dyDescent="0.3">
      <c r="A639" s="205"/>
      <c r="B639" s="206"/>
      <c r="C639" s="214"/>
      <c r="D639" s="209" t="str">
        <f>IF(allSellings_table[[#This Row],[Date]]="","",TEXT(allSellings_table[[#This Row],[Date]],"mmmm"))</f>
        <v/>
      </c>
      <c r="E639" s="209"/>
      <c r="F639" s="210"/>
    </row>
    <row r="640" spans="1:6" x14ac:dyDescent="0.3">
      <c r="A640" s="205"/>
      <c r="B640" s="206"/>
      <c r="C640" s="214"/>
      <c r="D640" s="209" t="str">
        <f>IF(allSellings_table[[#This Row],[Date]]="","",TEXT(allSellings_table[[#This Row],[Date]],"mmmm"))</f>
        <v/>
      </c>
      <c r="E640" s="209"/>
      <c r="F640" s="210"/>
    </row>
    <row r="641" spans="1:6" x14ac:dyDescent="0.3">
      <c r="A641" s="205"/>
      <c r="B641" s="206"/>
      <c r="C641" s="214"/>
      <c r="D641" s="209" t="str">
        <f>IF(allSellings_table[[#This Row],[Date]]="","",TEXT(allSellings_table[[#This Row],[Date]],"mmmm"))</f>
        <v/>
      </c>
      <c r="E641" s="209"/>
      <c r="F641" s="210"/>
    </row>
    <row r="642" spans="1:6" x14ac:dyDescent="0.3">
      <c r="A642" s="205"/>
      <c r="B642" s="206"/>
      <c r="C642" s="214"/>
      <c r="D642" s="209" t="str">
        <f>IF(allSellings_table[[#This Row],[Date]]="","",TEXT(allSellings_table[[#This Row],[Date]],"mmmm"))</f>
        <v/>
      </c>
      <c r="E642" s="209"/>
      <c r="F642" s="210"/>
    </row>
    <row r="643" spans="1:6" x14ac:dyDescent="0.3">
      <c r="A643" s="205"/>
      <c r="B643" s="206"/>
      <c r="C643" s="214"/>
      <c r="D643" s="209" t="str">
        <f>IF(allSellings_table[[#This Row],[Date]]="","",TEXT(allSellings_table[[#This Row],[Date]],"mmmm"))</f>
        <v/>
      </c>
      <c r="E643" s="209"/>
      <c r="F643" s="210"/>
    </row>
    <row r="644" spans="1:6" x14ac:dyDescent="0.3">
      <c r="A644" s="205"/>
      <c r="B644" s="206"/>
      <c r="C644" s="214"/>
      <c r="D644" s="209" t="str">
        <f>IF(allSellings_table[[#This Row],[Date]]="","",TEXT(allSellings_table[[#This Row],[Date]],"mmmm"))</f>
        <v/>
      </c>
      <c r="E644" s="209"/>
      <c r="F644" s="210"/>
    </row>
    <row r="645" spans="1:6" x14ac:dyDescent="0.3">
      <c r="A645" s="205"/>
      <c r="B645" s="206"/>
      <c r="C645" s="214"/>
      <c r="D645" s="209" t="str">
        <f>IF(allSellings_table[[#This Row],[Date]]="","",TEXT(allSellings_table[[#This Row],[Date]],"mmmm"))</f>
        <v/>
      </c>
      <c r="E645" s="209"/>
      <c r="F645" s="210"/>
    </row>
    <row r="646" spans="1:6" x14ac:dyDescent="0.3">
      <c r="A646" s="205"/>
      <c r="B646" s="206"/>
      <c r="C646" s="214"/>
      <c r="D646" s="209" t="str">
        <f>IF(allSellings_table[[#This Row],[Date]]="","",TEXT(allSellings_table[[#This Row],[Date]],"mmmm"))</f>
        <v/>
      </c>
      <c r="E646" s="209"/>
      <c r="F646" s="210"/>
    </row>
    <row r="647" spans="1:6" x14ac:dyDescent="0.3">
      <c r="A647" s="205"/>
      <c r="B647" s="206"/>
      <c r="C647" s="214"/>
      <c r="D647" s="209" t="str">
        <f>IF(allSellings_table[[#This Row],[Date]]="","",TEXT(allSellings_table[[#This Row],[Date]],"mmmm"))</f>
        <v/>
      </c>
      <c r="E647" s="209"/>
      <c r="F647" s="210"/>
    </row>
    <row r="648" spans="1:6" x14ac:dyDescent="0.3">
      <c r="A648" s="205"/>
      <c r="B648" s="206"/>
      <c r="C648" s="214"/>
      <c r="D648" s="209" t="str">
        <f>IF(allSellings_table[[#This Row],[Date]]="","",TEXT(allSellings_table[[#This Row],[Date]],"mmmm"))</f>
        <v/>
      </c>
      <c r="E648" s="209"/>
      <c r="F648" s="210"/>
    </row>
    <row r="649" spans="1:6" x14ac:dyDescent="0.3">
      <c r="A649" s="205"/>
      <c r="B649" s="206"/>
      <c r="C649" s="214"/>
      <c r="D649" s="209" t="str">
        <f>IF(allSellings_table[[#This Row],[Date]]="","",TEXT(allSellings_table[[#This Row],[Date]],"mmmm"))</f>
        <v/>
      </c>
      <c r="E649" s="209"/>
      <c r="F649" s="210"/>
    </row>
    <row r="650" spans="1:6" x14ac:dyDescent="0.3">
      <c r="A650" s="205"/>
      <c r="B650" s="206"/>
      <c r="C650" s="214"/>
      <c r="D650" s="209" t="str">
        <f>IF(allSellings_table[[#This Row],[Date]]="","",TEXT(allSellings_table[[#This Row],[Date]],"mmmm"))</f>
        <v/>
      </c>
      <c r="E650" s="209"/>
      <c r="F650" s="210"/>
    </row>
    <row r="651" spans="1:6" x14ac:dyDescent="0.3">
      <c r="A651" s="205"/>
      <c r="B651" s="206"/>
      <c r="C651" s="214"/>
      <c r="D651" s="209" t="str">
        <f>IF(allSellings_table[[#This Row],[Date]]="","",TEXT(allSellings_table[[#This Row],[Date]],"mmmm"))</f>
        <v/>
      </c>
      <c r="E651" s="209"/>
      <c r="F651" s="210"/>
    </row>
    <row r="652" spans="1:6" x14ac:dyDescent="0.3">
      <c r="A652" s="205"/>
      <c r="B652" s="206"/>
      <c r="C652" s="214"/>
      <c r="D652" s="209" t="str">
        <f>IF(allSellings_table[[#This Row],[Date]]="","",TEXT(allSellings_table[[#This Row],[Date]],"mmmm"))</f>
        <v/>
      </c>
      <c r="E652" s="209"/>
      <c r="F652" s="210"/>
    </row>
    <row r="653" spans="1:6" x14ac:dyDescent="0.3">
      <c r="A653" s="205"/>
      <c r="B653" s="206"/>
      <c r="C653" s="214"/>
      <c r="D653" s="209" t="str">
        <f>IF(allSellings_table[[#This Row],[Date]]="","",TEXT(allSellings_table[[#This Row],[Date]],"mmmm"))</f>
        <v/>
      </c>
      <c r="E653" s="209"/>
      <c r="F653" s="210"/>
    </row>
    <row r="654" spans="1:6" x14ac:dyDescent="0.3">
      <c r="A654" s="205"/>
      <c r="B654" s="206"/>
      <c r="C654" s="214"/>
      <c r="D654" s="209" t="str">
        <f>IF(allSellings_table[[#This Row],[Date]]="","",TEXT(allSellings_table[[#This Row],[Date]],"mmmm"))</f>
        <v/>
      </c>
      <c r="E654" s="209"/>
      <c r="F654" s="210"/>
    </row>
    <row r="655" spans="1:6" x14ac:dyDescent="0.3">
      <c r="A655" s="205"/>
      <c r="B655" s="206"/>
      <c r="C655" s="214"/>
      <c r="D655" s="209" t="str">
        <f>IF(allSellings_table[[#This Row],[Date]]="","",TEXT(allSellings_table[[#This Row],[Date]],"mmmm"))</f>
        <v/>
      </c>
      <c r="E655" s="209"/>
      <c r="F655" s="210"/>
    </row>
    <row r="656" spans="1:6" x14ac:dyDescent="0.3">
      <c r="A656" s="205"/>
      <c r="B656" s="206"/>
      <c r="C656" s="214"/>
      <c r="D656" s="209" t="str">
        <f>IF(allSellings_table[[#This Row],[Date]]="","",TEXT(allSellings_table[[#This Row],[Date]],"mmmm"))</f>
        <v/>
      </c>
      <c r="E656" s="209"/>
      <c r="F656" s="210"/>
    </row>
    <row r="657" spans="1:6" x14ac:dyDescent="0.3">
      <c r="A657" s="205"/>
      <c r="B657" s="206"/>
      <c r="C657" s="214"/>
      <c r="D657" s="209" t="str">
        <f>IF(allSellings_table[[#This Row],[Date]]="","",TEXT(allSellings_table[[#This Row],[Date]],"mmmm"))</f>
        <v/>
      </c>
      <c r="E657" s="209"/>
      <c r="F657" s="210"/>
    </row>
    <row r="658" spans="1:6" x14ac:dyDescent="0.3">
      <c r="A658" s="205"/>
      <c r="B658" s="206"/>
      <c r="C658" s="214"/>
      <c r="D658" s="209" t="str">
        <f>IF(allSellings_table[[#This Row],[Date]]="","",TEXT(allSellings_table[[#This Row],[Date]],"mmmm"))</f>
        <v/>
      </c>
      <c r="E658" s="209"/>
      <c r="F658" s="210"/>
    </row>
    <row r="659" spans="1:6" x14ac:dyDescent="0.3">
      <c r="A659" s="205"/>
      <c r="B659" s="206"/>
      <c r="C659" s="214"/>
      <c r="D659" s="209" t="str">
        <f>IF(allSellings_table[[#This Row],[Date]]="","",TEXT(allSellings_table[[#This Row],[Date]],"mmmm"))</f>
        <v/>
      </c>
      <c r="E659" s="209"/>
      <c r="F659" s="210"/>
    </row>
    <row r="660" spans="1:6" x14ac:dyDescent="0.3">
      <c r="A660" s="205"/>
      <c r="B660" s="206"/>
      <c r="C660" s="214"/>
      <c r="D660" s="209" t="str">
        <f>IF(allSellings_table[[#This Row],[Date]]="","",TEXT(allSellings_table[[#This Row],[Date]],"mmmm"))</f>
        <v/>
      </c>
      <c r="E660" s="209"/>
      <c r="F660" s="210"/>
    </row>
    <row r="661" spans="1:6" x14ac:dyDescent="0.3">
      <c r="A661" s="205"/>
      <c r="B661" s="206"/>
      <c r="C661" s="214"/>
      <c r="D661" s="209" t="str">
        <f>IF(allSellings_table[[#This Row],[Date]]="","",TEXT(allSellings_table[[#This Row],[Date]],"mmmm"))</f>
        <v/>
      </c>
      <c r="E661" s="209"/>
      <c r="F661" s="210"/>
    </row>
    <row r="662" spans="1:6" x14ac:dyDescent="0.3">
      <c r="A662" s="205"/>
      <c r="B662" s="206"/>
      <c r="C662" s="214"/>
      <c r="D662" s="209" t="str">
        <f>IF(allSellings_table[[#This Row],[Date]]="","",TEXT(allSellings_table[[#This Row],[Date]],"mmmm"))</f>
        <v/>
      </c>
      <c r="E662" s="209"/>
      <c r="F662" s="210"/>
    </row>
    <row r="663" spans="1:6" x14ac:dyDescent="0.3">
      <c r="A663" s="205"/>
      <c r="B663" s="206"/>
      <c r="C663" s="214"/>
      <c r="D663" s="209" t="str">
        <f>IF(allSellings_table[[#This Row],[Date]]="","",TEXT(allSellings_table[[#This Row],[Date]],"mmmm"))</f>
        <v/>
      </c>
      <c r="E663" s="209"/>
      <c r="F663" s="210"/>
    </row>
    <row r="664" spans="1:6" x14ac:dyDescent="0.3">
      <c r="A664" s="205"/>
      <c r="B664" s="206"/>
      <c r="C664" s="214"/>
      <c r="D664" s="209" t="str">
        <f>IF(allSellings_table[[#This Row],[Date]]="","",TEXT(allSellings_table[[#This Row],[Date]],"mmmm"))</f>
        <v/>
      </c>
      <c r="E664" s="209"/>
      <c r="F664" s="210"/>
    </row>
    <row r="665" spans="1:6" x14ac:dyDescent="0.3">
      <c r="A665" s="205"/>
      <c r="B665" s="206"/>
      <c r="C665" s="214"/>
      <c r="D665" s="209" t="str">
        <f>IF(allSellings_table[[#This Row],[Date]]="","",TEXT(allSellings_table[[#This Row],[Date]],"mmmm"))</f>
        <v/>
      </c>
      <c r="E665" s="209"/>
      <c r="F665" s="210"/>
    </row>
    <row r="666" spans="1:6" x14ac:dyDescent="0.3">
      <c r="A666" s="205"/>
      <c r="B666" s="206"/>
      <c r="C666" s="214"/>
      <c r="D666" s="209" t="str">
        <f>IF(allSellings_table[[#This Row],[Date]]="","",TEXT(allSellings_table[[#This Row],[Date]],"mmmm"))</f>
        <v/>
      </c>
      <c r="E666" s="209"/>
      <c r="F666" s="210"/>
    </row>
    <row r="667" spans="1:6" x14ac:dyDescent="0.3">
      <c r="A667" s="205"/>
      <c r="B667" s="206"/>
      <c r="C667" s="214"/>
      <c r="D667" s="209" t="str">
        <f>IF(allSellings_table[[#This Row],[Date]]="","",TEXT(allSellings_table[[#This Row],[Date]],"mmmm"))</f>
        <v/>
      </c>
      <c r="E667" s="209"/>
      <c r="F667" s="210"/>
    </row>
    <row r="668" spans="1:6" x14ac:dyDescent="0.3">
      <c r="A668" s="205"/>
      <c r="B668" s="206"/>
      <c r="C668" s="214"/>
      <c r="D668" s="209" t="str">
        <f>IF(allSellings_table[[#This Row],[Date]]="","",TEXT(allSellings_table[[#This Row],[Date]],"mmmm"))</f>
        <v/>
      </c>
      <c r="E668" s="209"/>
      <c r="F668" s="210"/>
    </row>
    <row r="669" spans="1:6" x14ac:dyDescent="0.3">
      <c r="A669" s="205"/>
      <c r="B669" s="206"/>
      <c r="C669" s="214"/>
      <c r="D669" s="209" t="str">
        <f>IF(allSellings_table[[#This Row],[Date]]="","",TEXT(allSellings_table[[#This Row],[Date]],"mmmm"))</f>
        <v/>
      </c>
      <c r="E669" s="209"/>
      <c r="F669" s="210"/>
    </row>
    <row r="670" spans="1:6" x14ac:dyDescent="0.3">
      <c r="A670" s="205"/>
      <c r="B670" s="206"/>
      <c r="C670" s="214"/>
      <c r="D670" s="209" t="str">
        <f>IF(allSellings_table[[#This Row],[Date]]="","",TEXT(allSellings_table[[#This Row],[Date]],"mmmm"))</f>
        <v/>
      </c>
      <c r="E670" s="209"/>
      <c r="F670" s="210"/>
    </row>
    <row r="671" spans="1:6" x14ac:dyDescent="0.3">
      <c r="A671" s="205"/>
      <c r="B671" s="206"/>
      <c r="C671" s="214"/>
      <c r="D671" s="209" t="str">
        <f>IF(allSellings_table[[#This Row],[Date]]="","",TEXT(allSellings_table[[#This Row],[Date]],"mmmm"))</f>
        <v/>
      </c>
      <c r="E671" s="209"/>
      <c r="F671" s="210"/>
    </row>
    <row r="672" spans="1:6" x14ac:dyDescent="0.3">
      <c r="A672" s="205"/>
      <c r="B672" s="206"/>
      <c r="C672" s="214"/>
      <c r="D672" s="209" t="str">
        <f>IF(allSellings_table[[#This Row],[Date]]="","",TEXT(allSellings_table[[#This Row],[Date]],"mmmm"))</f>
        <v/>
      </c>
      <c r="E672" s="209"/>
      <c r="F672" s="210"/>
    </row>
    <row r="673" spans="1:6" x14ac:dyDescent="0.3">
      <c r="A673" s="205"/>
      <c r="B673" s="206"/>
      <c r="C673" s="214"/>
      <c r="D673" s="209" t="str">
        <f>IF(allSellings_table[[#This Row],[Date]]="","",TEXT(allSellings_table[[#This Row],[Date]],"mmmm"))</f>
        <v/>
      </c>
      <c r="E673" s="209"/>
      <c r="F673" s="210"/>
    </row>
    <row r="674" spans="1:6" x14ac:dyDescent="0.3">
      <c r="A674" s="205"/>
      <c r="B674" s="206"/>
      <c r="C674" s="214"/>
      <c r="D674" s="209" t="str">
        <f>IF(allSellings_table[[#This Row],[Date]]="","",TEXT(allSellings_table[[#This Row],[Date]],"mmmm"))</f>
        <v/>
      </c>
      <c r="E674" s="209"/>
      <c r="F674" s="210"/>
    </row>
    <row r="675" spans="1:6" x14ac:dyDescent="0.3">
      <c r="A675" s="205"/>
      <c r="B675" s="206"/>
      <c r="C675" s="214"/>
      <c r="D675" s="209" t="str">
        <f>IF(allSellings_table[[#This Row],[Date]]="","",TEXT(allSellings_table[[#This Row],[Date]],"mmmm"))</f>
        <v/>
      </c>
      <c r="E675" s="209"/>
      <c r="F675" s="210"/>
    </row>
    <row r="676" spans="1:6" x14ac:dyDescent="0.3">
      <c r="A676" s="205"/>
      <c r="B676" s="206"/>
      <c r="C676" s="214"/>
      <c r="D676" s="209" t="str">
        <f>IF(allSellings_table[[#This Row],[Date]]="","",TEXT(allSellings_table[[#This Row],[Date]],"mmmm"))</f>
        <v/>
      </c>
      <c r="E676" s="209"/>
      <c r="F676" s="210"/>
    </row>
    <row r="677" spans="1:6" x14ac:dyDescent="0.3">
      <c r="A677" s="205"/>
      <c r="B677" s="206"/>
      <c r="C677" s="214"/>
      <c r="D677" s="209" t="str">
        <f>IF(allSellings_table[[#This Row],[Date]]="","",TEXT(allSellings_table[[#This Row],[Date]],"mmmm"))</f>
        <v/>
      </c>
      <c r="E677" s="209"/>
      <c r="F677" s="210"/>
    </row>
    <row r="678" spans="1:6" x14ac:dyDescent="0.3">
      <c r="A678" s="205"/>
      <c r="B678" s="206"/>
      <c r="C678" s="214"/>
      <c r="D678" s="209" t="str">
        <f>IF(allSellings_table[[#This Row],[Date]]="","",TEXT(allSellings_table[[#This Row],[Date]],"mmmm"))</f>
        <v/>
      </c>
      <c r="E678" s="209"/>
      <c r="F678" s="210"/>
    </row>
    <row r="679" spans="1:6" x14ac:dyDescent="0.3">
      <c r="A679" s="205"/>
      <c r="B679" s="206"/>
      <c r="C679" s="214"/>
      <c r="D679" s="209" t="str">
        <f>IF(allSellings_table[[#This Row],[Date]]="","",TEXT(allSellings_table[[#This Row],[Date]],"mmmm"))</f>
        <v/>
      </c>
      <c r="E679" s="209"/>
      <c r="F679" s="210"/>
    </row>
    <row r="680" spans="1:6" x14ac:dyDescent="0.3">
      <c r="A680" s="205"/>
      <c r="B680" s="206"/>
      <c r="C680" s="214"/>
      <c r="D680" s="209" t="str">
        <f>IF(allSellings_table[[#This Row],[Date]]="","",TEXT(allSellings_table[[#This Row],[Date]],"mmmm"))</f>
        <v/>
      </c>
      <c r="E680" s="209"/>
      <c r="F680" s="210"/>
    </row>
    <row r="681" spans="1:6" x14ac:dyDescent="0.3">
      <c r="A681" s="205"/>
      <c r="B681" s="206"/>
      <c r="C681" s="214"/>
      <c r="D681" s="209" t="str">
        <f>IF(allSellings_table[[#This Row],[Date]]="","",TEXT(allSellings_table[[#This Row],[Date]],"mmmm"))</f>
        <v/>
      </c>
      <c r="E681" s="209"/>
      <c r="F681" s="210"/>
    </row>
    <row r="682" spans="1:6" x14ac:dyDescent="0.3">
      <c r="A682" s="205"/>
      <c r="B682" s="206"/>
      <c r="C682" s="214"/>
      <c r="D682" s="209" t="str">
        <f>IF(allSellings_table[[#This Row],[Date]]="","",TEXT(allSellings_table[[#This Row],[Date]],"mmmm"))</f>
        <v/>
      </c>
      <c r="E682" s="209"/>
      <c r="F682" s="210"/>
    </row>
    <row r="683" spans="1:6" x14ac:dyDescent="0.3">
      <c r="A683" s="205"/>
      <c r="B683" s="206"/>
      <c r="C683" s="214"/>
      <c r="D683" s="209" t="str">
        <f>IF(allSellings_table[[#This Row],[Date]]="","",TEXT(allSellings_table[[#This Row],[Date]],"mmmm"))</f>
        <v/>
      </c>
      <c r="E683" s="209"/>
      <c r="F683" s="210"/>
    </row>
    <row r="684" spans="1:6" x14ac:dyDescent="0.3">
      <c r="A684" s="205"/>
      <c r="B684" s="206"/>
      <c r="C684" s="214"/>
      <c r="D684" s="209" t="str">
        <f>IF(allSellings_table[[#This Row],[Date]]="","",TEXT(allSellings_table[[#This Row],[Date]],"mmmm"))</f>
        <v/>
      </c>
      <c r="E684" s="209"/>
      <c r="F684" s="210"/>
    </row>
    <row r="685" spans="1:6" x14ac:dyDescent="0.3">
      <c r="A685" s="205"/>
      <c r="B685" s="206"/>
      <c r="C685" s="214"/>
      <c r="D685" s="209" t="str">
        <f>IF(allSellings_table[[#This Row],[Date]]="","",TEXT(allSellings_table[[#This Row],[Date]],"mmmm"))</f>
        <v/>
      </c>
      <c r="E685" s="209"/>
      <c r="F685" s="210"/>
    </row>
    <row r="686" spans="1:6" x14ac:dyDescent="0.3">
      <c r="A686" s="205"/>
      <c r="B686" s="206"/>
      <c r="C686" s="214"/>
      <c r="D686" s="209" t="str">
        <f>IF(allSellings_table[[#This Row],[Date]]="","",TEXT(allSellings_table[[#This Row],[Date]],"mmmm"))</f>
        <v/>
      </c>
      <c r="E686" s="209"/>
      <c r="F686" s="210"/>
    </row>
    <row r="687" spans="1:6" x14ac:dyDescent="0.3">
      <c r="A687" s="205"/>
      <c r="B687" s="206"/>
      <c r="C687" s="214"/>
      <c r="D687" s="209" t="str">
        <f>IF(allSellings_table[[#This Row],[Date]]="","",TEXT(allSellings_table[[#This Row],[Date]],"mmmm"))</f>
        <v/>
      </c>
      <c r="E687" s="209"/>
      <c r="F687" s="210"/>
    </row>
    <row r="688" spans="1:6" x14ac:dyDescent="0.3">
      <c r="A688" s="205"/>
      <c r="B688" s="206"/>
      <c r="C688" s="214"/>
      <c r="D688" s="209" t="str">
        <f>IF(allSellings_table[[#This Row],[Date]]="","",TEXT(allSellings_table[[#This Row],[Date]],"mmmm"))</f>
        <v/>
      </c>
      <c r="E688" s="209"/>
      <c r="F688" s="210"/>
    </row>
    <row r="689" spans="1:6" x14ac:dyDescent="0.3">
      <c r="A689" s="205"/>
      <c r="B689" s="206"/>
      <c r="C689" s="214"/>
      <c r="D689" s="209" t="str">
        <f>IF(allSellings_table[[#This Row],[Date]]="","",TEXT(allSellings_table[[#This Row],[Date]],"mmmm"))</f>
        <v/>
      </c>
      <c r="E689" s="209"/>
      <c r="F689" s="210"/>
    </row>
    <row r="690" spans="1:6" x14ac:dyDescent="0.3">
      <c r="A690" s="205"/>
      <c r="B690" s="206"/>
      <c r="C690" s="214"/>
      <c r="D690" s="209" t="str">
        <f>IF(allSellings_table[[#This Row],[Date]]="","",TEXT(allSellings_table[[#This Row],[Date]],"mmmm"))</f>
        <v/>
      </c>
      <c r="E690" s="209"/>
      <c r="F690" s="210"/>
    </row>
    <row r="691" spans="1:6" x14ac:dyDescent="0.3">
      <c r="A691" s="205"/>
      <c r="B691" s="206"/>
      <c r="C691" s="214"/>
      <c r="D691" s="209" t="str">
        <f>IF(allSellings_table[[#This Row],[Date]]="","",TEXT(allSellings_table[[#This Row],[Date]],"mmmm"))</f>
        <v/>
      </c>
      <c r="E691" s="209"/>
      <c r="F691" s="210"/>
    </row>
    <row r="692" spans="1:6" x14ac:dyDescent="0.3">
      <c r="A692" s="205"/>
      <c r="B692" s="206"/>
      <c r="C692" s="214"/>
      <c r="D692" s="209" t="str">
        <f>IF(allSellings_table[[#This Row],[Date]]="","",TEXT(allSellings_table[[#This Row],[Date]],"mmmm"))</f>
        <v/>
      </c>
      <c r="E692" s="209"/>
      <c r="F692" s="210"/>
    </row>
    <row r="693" spans="1:6" x14ac:dyDescent="0.3">
      <c r="A693" s="205"/>
      <c r="B693" s="206"/>
      <c r="C693" s="214"/>
      <c r="D693" s="209" t="str">
        <f>IF(allSellings_table[[#This Row],[Date]]="","",TEXT(allSellings_table[[#This Row],[Date]],"mmmm"))</f>
        <v/>
      </c>
      <c r="E693" s="209"/>
      <c r="F693" s="210"/>
    </row>
    <row r="694" spans="1:6" x14ac:dyDescent="0.3">
      <c r="A694" s="205"/>
      <c r="B694" s="206"/>
      <c r="C694" s="214"/>
      <c r="D694" s="209" t="str">
        <f>IF(allSellings_table[[#This Row],[Date]]="","",TEXT(allSellings_table[[#This Row],[Date]],"mmmm"))</f>
        <v/>
      </c>
      <c r="E694" s="209"/>
      <c r="F694" s="210"/>
    </row>
    <row r="695" spans="1:6" x14ac:dyDescent="0.3">
      <c r="A695" s="205"/>
      <c r="B695" s="206"/>
      <c r="C695" s="214"/>
      <c r="D695" s="209" t="str">
        <f>IF(allSellings_table[[#This Row],[Date]]="","",TEXT(allSellings_table[[#This Row],[Date]],"mmmm"))</f>
        <v/>
      </c>
      <c r="E695" s="209"/>
      <c r="F695" s="210"/>
    </row>
    <row r="696" spans="1:6" x14ac:dyDescent="0.3">
      <c r="A696" s="205"/>
      <c r="B696" s="206"/>
      <c r="C696" s="214"/>
      <c r="D696" s="209" t="str">
        <f>IF(allSellings_table[[#This Row],[Date]]="","",TEXT(allSellings_table[[#This Row],[Date]],"mmmm"))</f>
        <v/>
      </c>
      <c r="E696" s="209"/>
      <c r="F696" s="210"/>
    </row>
    <row r="697" spans="1:6" x14ac:dyDescent="0.3">
      <c r="A697" s="205"/>
      <c r="B697" s="206"/>
      <c r="C697" s="214"/>
      <c r="D697" s="209" t="str">
        <f>IF(allSellings_table[[#This Row],[Date]]="","",TEXT(allSellings_table[[#This Row],[Date]],"mmmm"))</f>
        <v/>
      </c>
      <c r="E697" s="209"/>
      <c r="F697" s="210"/>
    </row>
    <row r="698" spans="1:6" x14ac:dyDescent="0.3">
      <c r="A698" s="205"/>
      <c r="B698" s="206"/>
      <c r="C698" s="214"/>
      <c r="D698" s="209" t="str">
        <f>IF(allSellings_table[[#This Row],[Date]]="","",TEXT(allSellings_table[[#This Row],[Date]],"mmmm"))</f>
        <v/>
      </c>
      <c r="E698" s="209"/>
      <c r="F698" s="210"/>
    </row>
    <row r="699" spans="1:6" x14ac:dyDescent="0.3">
      <c r="A699" s="205"/>
      <c r="B699" s="206"/>
      <c r="C699" s="214"/>
      <c r="D699" s="209" t="str">
        <f>IF(allSellings_table[[#This Row],[Date]]="","",TEXT(allSellings_table[[#This Row],[Date]],"mmmm"))</f>
        <v/>
      </c>
      <c r="E699" s="209"/>
      <c r="F699" s="210"/>
    </row>
    <row r="700" spans="1:6" x14ac:dyDescent="0.3">
      <c r="A700" s="205"/>
      <c r="B700" s="206"/>
      <c r="C700" s="214"/>
      <c r="D700" s="209" t="str">
        <f>IF(allSellings_table[[#This Row],[Date]]="","",TEXT(allSellings_table[[#This Row],[Date]],"mmmm"))</f>
        <v/>
      </c>
      <c r="E700" s="209"/>
      <c r="F700" s="210"/>
    </row>
    <row r="701" spans="1:6" x14ac:dyDescent="0.3">
      <c r="A701" s="205"/>
      <c r="B701" s="206"/>
      <c r="C701" s="214"/>
      <c r="D701" s="209" t="str">
        <f>IF(allSellings_table[[#This Row],[Date]]="","",TEXT(allSellings_table[[#This Row],[Date]],"mmmm"))</f>
        <v/>
      </c>
      <c r="E701" s="209"/>
      <c r="F701" s="210"/>
    </row>
    <row r="702" spans="1:6" x14ac:dyDescent="0.3">
      <c r="A702" s="205"/>
      <c r="B702" s="206"/>
      <c r="C702" s="214"/>
      <c r="D702" s="209" t="str">
        <f>IF(allSellings_table[[#This Row],[Date]]="","",TEXT(allSellings_table[[#This Row],[Date]],"mmmm"))</f>
        <v/>
      </c>
      <c r="E702" s="209"/>
      <c r="F702" s="210"/>
    </row>
    <row r="703" spans="1:6" x14ac:dyDescent="0.3">
      <c r="A703" s="205"/>
      <c r="B703" s="206"/>
      <c r="C703" s="214"/>
      <c r="D703" s="209" t="str">
        <f>IF(allSellings_table[[#This Row],[Date]]="","",TEXT(allSellings_table[[#This Row],[Date]],"mmmm"))</f>
        <v/>
      </c>
      <c r="E703" s="209"/>
      <c r="F703" s="210"/>
    </row>
    <row r="704" spans="1:6" x14ac:dyDescent="0.3">
      <c r="A704" s="205"/>
      <c r="B704" s="206"/>
      <c r="C704" s="214"/>
      <c r="D704" s="209" t="str">
        <f>IF(allSellings_table[[#This Row],[Date]]="","",TEXT(allSellings_table[[#This Row],[Date]],"mmmm"))</f>
        <v/>
      </c>
      <c r="E704" s="209"/>
      <c r="F704" s="210"/>
    </row>
    <row r="705" spans="1:6" x14ac:dyDescent="0.3">
      <c r="A705" s="205"/>
      <c r="B705" s="206"/>
      <c r="C705" s="214"/>
      <c r="D705" s="209" t="str">
        <f>IF(allSellings_table[[#This Row],[Date]]="","",TEXT(allSellings_table[[#This Row],[Date]],"mmmm"))</f>
        <v/>
      </c>
      <c r="E705" s="209"/>
      <c r="F705" s="210"/>
    </row>
    <row r="706" spans="1:6" x14ac:dyDescent="0.3">
      <c r="A706" s="205"/>
      <c r="B706" s="206"/>
      <c r="C706" s="214"/>
      <c r="D706" s="209" t="str">
        <f>IF(allSellings_table[[#This Row],[Date]]="","",TEXT(allSellings_table[[#This Row],[Date]],"mmmm"))</f>
        <v/>
      </c>
      <c r="E706" s="209"/>
      <c r="F706" s="210"/>
    </row>
    <row r="707" spans="1:6" x14ac:dyDescent="0.3">
      <c r="A707" s="205"/>
      <c r="B707" s="206"/>
      <c r="C707" s="214"/>
      <c r="D707" s="209" t="str">
        <f>IF(allSellings_table[[#This Row],[Date]]="","",TEXT(allSellings_table[[#This Row],[Date]],"mmmm"))</f>
        <v/>
      </c>
      <c r="E707" s="209"/>
      <c r="F707" s="210"/>
    </row>
    <row r="708" spans="1:6" x14ac:dyDescent="0.3">
      <c r="A708" s="205"/>
      <c r="B708" s="206"/>
      <c r="C708" s="214"/>
      <c r="D708" s="209" t="str">
        <f>IF(allSellings_table[[#This Row],[Date]]="","",TEXT(allSellings_table[[#This Row],[Date]],"mmmm"))</f>
        <v/>
      </c>
      <c r="E708" s="209"/>
      <c r="F708" s="210"/>
    </row>
    <row r="709" spans="1:6" x14ac:dyDescent="0.3">
      <c r="A709" s="205"/>
      <c r="B709" s="206"/>
      <c r="C709" s="214"/>
      <c r="D709" s="209" t="str">
        <f>IF(allSellings_table[[#This Row],[Date]]="","",TEXT(allSellings_table[[#This Row],[Date]],"mmmm"))</f>
        <v/>
      </c>
      <c r="E709" s="209"/>
      <c r="F709" s="210"/>
    </row>
    <row r="710" spans="1:6" x14ac:dyDescent="0.3">
      <c r="A710" s="205"/>
      <c r="B710" s="206"/>
      <c r="C710" s="214"/>
      <c r="D710" s="209" t="str">
        <f>IF(allSellings_table[[#This Row],[Date]]="","",TEXT(allSellings_table[[#This Row],[Date]],"mmmm"))</f>
        <v/>
      </c>
      <c r="E710" s="209"/>
      <c r="F710" s="210"/>
    </row>
    <row r="711" spans="1:6" x14ac:dyDescent="0.3">
      <c r="A711" s="205"/>
      <c r="B711" s="206"/>
      <c r="C711" s="214"/>
      <c r="D711" s="209" t="str">
        <f>IF(allSellings_table[[#This Row],[Date]]="","",TEXT(allSellings_table[[#This Row],[Date]],"mmmm"))</f>
        <v/>
      </c>
      <c r="E711" s="209"/>
      <c r="F711" s="210"/>
    </row>
    <row r="712" spans="1:6" x14ac:dyDescent="0.3">
      <c r="A712" s="205"/>
      <c r="B712" s="206"/>
      <c r="C712" s="214"/>
      <c r="D712" s="209" t="str">
        <f>IF(allSellings_table[[#This Row],[Date]]="","",TEXT(allSellings_table[[#This Row],[Date]],"mmmm"))</f>
        <v/>
      </c>
      <c r="E712" s="209"/>
      <c r="F712" s="210"/>
    </row>
    <row r="713" spans="1:6" x14ac:dyDescent="0.3">
      <c r="A713" s="205"/>
      <c r="B713" s="206"/>
      <c r="C713" s="214"/>
      <c r="D713" s="209" t="str">
        <f>IF(allSellings_table[[#This Row],[Date]]="","",TEXT(allSellings_table[[#This Row],[Date]],"mmmm"))</f>
        <v/>
      </c>
      <c r="E713" s="209"/>
      <c r="F713" s="210"/>
    </row>
    <row r="714" spans="1:6" x14ac:dyDescent="0.3">
      <c r="A714" s="205"/>
      <c r="B714" s="206"/>
      <c r="C714" s="214"/>
      <c r="D714" s="209" t="str">
        <f>IF(allSellings_table[[#This Row],[Date]]="","",TEXT(allSellings_table[[#This Row],[Date]],"mmmm"))</f>
        <v/>
      </c>
      <c r="E714" s="209"/>
      <c r="F714" s="210"/>
    </row>
    <row r="715" spans="1:6" x14ac:dyDescent="0.3">
      <c r="A715" s="205"/>
      <c r="B715" s="206"/>
      <c r="C715" s="214"/>
      <c r="D715" s="209" t="str">
        <f>IF(allSellings_table[[#This Row],[Date]]="","",TEXT(allSellings_table[[#This Row],[Date]],"mmmm"))</f>
        <v/>
      </c>
      <c r="E715" s="209"/>
      <c r="F715" s="210"/>
    </row>
    <row r="716" spans="1:6" x14ac:dyDescent="0.3">
      <c r="A716" s="205"/>
      <c r="B716" s="206"/>
      <c r="C716" s="214"/>
      <c r="D716" s="209" t="str">
        <f>IF(allSellings_table[[#This Row],[Date]]="","",TEXT(allSellings_table[[#This Row],[Date]],"mmmm"))</f>
        <v/>
      </c>
      <c r="E716" s="209"/>
      <c r="F716" s="210"/>
    </row>
    <row r="717" spans="1:6" x14ac:dyDescent="0.3">
      <c r="A717" s="205"/>
      <c r="B717" s="206"/>
      <c r="C717" s="214"/>
      <c r="D717" s="209" t="str">
        <f>IF(allSellings_table[[#This Row],[Date]]="","",TEXT(allSellings_table[[#This Row],[Date]],"mmmm"))</f>
        <v/>
      </c>
      <c r="E717" s="209"/>
      <c r="F717" s="210"/>
    </row>
    <row r="718" spans="1:6" x14ac:dyDescent="0.3">
      <c r="A718" s="205"/>
      <c r="B718" s="206"/>
      <c r="C718" s="214"/>
      <c r="D718" s="209" t="str">
        <f>IF(allSellings_table[[#This Row],[Date]]="","",TEXT(allSellings_table[[#This Row],[Date]],"mmmm"))</f>
        <v/>
      </c>
      <c r="E718" s="209"/>
      <c r="F718" s="210"/>
    </row>
    <row r="719" spans="1:6" x14ac:dyDescent="0.3">
      <c r="A719" s="205"/>
      <c r="B719" s="206"/>
      <c r="C719" s="214"/>
      <c r="D719" s="209" t="str">
        <f>IF(allSellings_table[[#This Row],[Date]]="","",TEXT(allSellings_table[[#This Row],[Date]],"mmmm"))</f>
        <v/>
      </c>
      <c r="E719" s="209"/>
      <c r="F719" s="210"/>
    </row>
    <row r="720" spans="1:6" x14ac:dyDescent="0.3">
      <c r="A720" s="205"/>
      <c r="B720" s="206"/>
      <c r="C720" s="214"/>
      <c r="D720" s="209" t="str">
        <f>IF(allSellings_table[[#This Row],[Date]]="","",TEXT(allSellings_table[[#This Row],[Date]],"mmmm"))</f>
        <v/>
      </c>
      <c r="E720" s="209"/>
      <c r="F720" s="210"/>
    </row>
    <row r="721" spans="1:6" x14ac:dyDescent="0.3">
      <c r="A721" s="205"/>
      <c r="B721" s="206"/>
      <c r="C721" s="214"/>
      <c r="D721" s="209" t="str">
        <f>IF(allSellings_table[[#This Row],[Date]]="","",TEXT(allSellings_table[[#This Row],[Date]],"mmmm"))</f>
        <v/>
      </c>
      <c r="E721" s="209"/>
      <c r="F721" s="210"/>
    </row>
    <row r="722" spans="1:6" x14ac:dyDescent="0.3">
      <c r="A722" s="205"/>
      <c r="B722" s="206"/>
      <c r="C722" s="214"/>
      <c r="D722" s="209" t="str">
        <f>IF(allSellings_table[[#This Row],[Date]]="","",TEXT(allSellings_table[[#This Row],[Date]],"mmmm"))</f>
        <v/>
      </c>
      <c r="E722" s="209"/>
      <c r="F722" s="210"/>
    </row>
    <row r="723" spans="1:6" x14ac:dyDescent="0.3">
      <c r="A723" s="205"/>
      <c r="B723" s="206"/>
      <c r="C723" s="214"/>
      <c r="D723" s="209" t="str">
        <f>IF(allSellings_table[[#This Row],[Date]]="","",TEXT(allSellings_table[[#This Row],[Date]],"mmmm"))</f>
        <v/>
      </c>
      <c r="E723" s="209"/>
      <c r="F723" s="210"/>
    </row>
    <row r="724" spans="1:6" x14ac:dyDescent="0.3">
      <c r="A724" s="205"/>
      <c r="B724" s="206"/>
      <c r="C724" s="214"/>
      <c r="D724" s="209" t="str">
        <f>IF(allSellings_table[[#This Row],[Date]]="","",TEXT(allSellings_table[[#This Row],[Date]],"mmmm"))</f>
        <v/>
      </c>
      <c r="E724" s="209"/>
      <c r="F724" s="210"/>
    </row>
    <row r="725" spans="1:6" x14ac:dyDescent="0.3">
      <c r="A725" s="205"/>
      <c r="B725" s="206"/>
      <c r="C725" s="214"/>
      <c r="D725" s="209" t="str">
        <f>IF(allSellings_table[[#This Row],[Date]]="","",TEXT(allSellings_table[[#This Row],[Date]],"mmmm"))</f>
        <v/>
      </c>
      <c r="E725" s="209"/>
      <c r="F725" s="210"/>
    </row>
    <row r="726" spans="1:6" x14ac:dyDescent="0.3">
      <c r="A726" s="205"/>
      <c r="B726" s="206"/>
      <c r="C726" s="214"/>
      <c r="D726" s="209" t="str">
        <f>IF(allSellings_table[[#This Row],[Date]]="","",TEXT(allSellings_table[[#This Row],[Date]],"mmmm"))</f>
        <v/>
      </c>
      <c r="E726" s="209"/>
      <c r="F726" s="210"/>
    </row>
    <row r="727" spans="1:6" x14ac:dyDescent="0.3">
      <c r="A727" s="205"/>
      <c r="B727" s="206"/>
      <c r="C727" s="214"/>
      <c r="D727" s="209" t="str">
        <f>IF(allSellings_table[[#This Row],[Date]]="","",TEXT(allSellings_table[[#This Row],[Date]],"mmmm"))</f>
        <v/>
      </c>
      <c r="E727" s="209"/>
      <c r="F727" s="210"/>
    </row>
    <row r="728" spans="1:6" x14ac:dyDescent="0.3">
      <c r="A728" s="205"/>
      <c r="B728" s="206"/>
      <c r="C728" s="214"/>
      <c r="D728" s="209" t="str">
        <f>IF(allSellings_table[[#This Row],[Date]]="","",TEXT(allSellings_table[[#This Row],[Date]],"mmmm"))</f>
        <v/>
      </c>
      <c r="E728" s="209"/>
      <c r="F728" s="210"/>
    </row>
    <row r="729" spans="1:6" x14ac:dyDescent="0.3">
      <c r="A729" s="205"/>
      <c r="B729" s="206"/>
      <c r="C729" s="214"/>
      <c r="D729" s="209" t="str">
        <f>IF(allSellings_table[[#This Row],[Date]]="","",TEXT(allSellings_table[[#This Row],[Date]],"mmmm"))</f>
        <v/>
      </c>
      <c r="E729" s="209"/>
      <c r="F729" s="210"/>
    </row>
    <row r="730" spans="1:6" x14ac:dyDescent="0.3">
      <c r="A730" s="205"/>
      <c r="B730" s="206"/>
      <c r="C730" s="214"/>
      <c r="D730" s="209" t="str">
        <f>IF(allSellings_table[[#This Row],[Date]]="","",TEXT(allSellings_table[[#This Row],[Date]],"mmmm"))</f>
        <v/>
      </c>
      <c r="E730" s="209"/>
      <c r="F730" s="210"/>
    </row>
    <row r="731" spans="1:6" x14ac:dyDescent="0.3">
      <c r="A731" s="205"/>
      <c r="B731" s="206"/>
      <c r="C731" s="214"/>
      <c r="D731" s="209" t="str">
        <f>IF(allSellings_table[[#This Row],[Date]]="","",TEXT(allSellings_table[[#This Row],[Date]],"mmmm"))</f>
        <v/>
      </c>
      <c r="E731" s="209"/>
      <c r="F731" s="210"/>
    </row>
    <row r="732" spans="1:6" x14ac:dyDescent="0.3">
      <c r="A732" s="205"/>
      <c r="B732" s="206"/>
      <c r="C732" s="214"/>
      <c r="D732" s="209" t="str">
        <f>IF(allSellings_table[[#This Row],[Date]]="","",TEXT(allSellings_table[[#This Row],[Date]],"mmmm"))</f>
        <v/>
      </c>
      <c r="E732" s="209"/>
      <c r="F732" s="210"/>
    </row>
    <row r="733" spans="1:6" x14ac:dyDescent="0.3">
      <c r="A733" s="205"/>
      <c r="B733" s="206"/>
      <c r="C733" s="214"/>
      <c r="D733" s="209" t="str">
        <f>IF(allSellings_table[[#This Row],[Date]]="","",TEXT(allSellings_table[[#This Row],[Date]],"mmmm"))</f>
        <v/>
      </c>
      <c r="E733" s="209"/>
      <c r="F733" s="210"/>
    </row>
    <row r="734" spans="1:6" x14ac:dyDescent="0.3">
      <c r="A734" s="205"/>
      <c r="B734" s="206"/>
      <c r="C734" s="214"/>
      <c r="D734" s="209" t="str">
        <f>IF(allSellings_table[[#This Row],[Date]]="","",TEXT(allSellings_table[[#This Row],[Date]],"mmmm"))</f>
        <v/>
      </c>
      <c r="E734" s="209"/>
      <c r="F734" s="210"/>
    </row>
    <row r="735" spans="1:6" x14ac:dyDescent="0.3">
      <c r="A735" s="205"/>
      <c r="B735" s="206"/>
      <c r="C735" s="214"/>
      <c r="D735" s="209" t="str">
        <f>IF(allSellings_table[[#This Row],[Date]]="","",TEXT(allSellings_table[[#This Row],[Date]],"mmmm"))</f>
        <v/>
      </c>
      <c r="E735" s="209"/>
      <c r="F735" s="210"/>
    </row>
    <row r="736" spans="1:6" x14ac:dyDescent="0.3">
      <c r="A736" s="205"/>
      <c r="B736" s="206"/>
      <c r="C736" s="214"/>
      <c r="D736" s="209" t="str">
        <f>IF(allSellings_table[[#This Row],[Date]]="","",TEXT(allSellings_table[[#This Row],[Date]],"mmmm"))</f>
        <v/>
      </c>
      <c r="E736" s="209"/>
      <c r="F736" s="210"/>
    </row>
    <row r="737" spans="1:6" x14ac:dyDescent="0.3">
      <c r="A737" s="205"/>
      <c r="B737" s="206"/>
      <c r="C737" s="214"/>
      <c r="D737" s="209" t="str">
        <f>IF(allSellings_table[[#This Row],[Date]]="","",TEXT(allSellings_table[[#This Row],[Date]],"mmmm"))</f>
        <v/>
      </c>
      <c r="E737" s="209"/>
      <c r="F737" s="210"/>
    </row>
    <row r="738" spans="1:6" x14ac:dyDescent="0.3">
      <c r="A738" s="205"/>
      <c r="B738" s="206"/>
      <c r="C738" s="214"/>
      <c r="D738" s="209" t="str">
        <f>IF(allSellings_table[[#This Row],[Date]]="","",TEXT(allSellings_table[[#This Row],[Date]],"mmmm"))</f>
        <v/>
      </c>
      <c r="E738" s="209"/>
      <c r="F738" s="210"/>
    </row>
    <row r="739" spans="1:6" x14ac:dyDescent="0.3">
      <c r="A739" s="205"/>
      <c r="B739" s="206"/>
      <c r="C739" s="214"/>
      <c r="D739" s="209" t="str">
        <f>IF(allSellings_table[[#This Row],[Date]]="","",TEXT(allSellings_table[[#This Row],[Date]],"mmmm"))</f>
        <v/>
      </c>
      <c r="E739" s="209"/>
      <c r="F739" s="210"/>
    </row>
    <row r="740" spans="1:6" x14ac:dyDescent="0.3">
      <c r="A740" s="205"/>
      <c r="B740" s="206"/>
      <c r="C740" s="214"/>
      <c r="D740" s="209" t="str">
        <f>IF(allSellings_table[[#This Row],[Date]]="","",TEXT(allSellings_table[[#This Row],[Date]],"mmmm"))</f>
        <v/>
      </c>
      <c r="E740" s="209"/>
      <c r="F740" s="210"/>
    </row>
    <row r="741" spans="1:6" x14ac:dyDescent="0.3">
      <c r="A741" s="205"/>
      <c r="B741" s="206"/>
      <c r="C741" s="214"/>
      <c r="D741" s="209" t="str">
        <f>IF(allSellings_table[[#This Row],[Date]]="","",TEXT(allSellings_table[[#This Row],[Date]],"mmmm"))</f>
        <v/>
      </c>
      <c r="E741" s="209"/>
      <c r="F741" s="210"/>
    </row>
    <row r="742" spans="1:6" x14ac:dyDescent="0.3">
      <c r="A742" s="205"/>
      <c r="B742" s="206"/>
      <c r="C742" s="214"/>
      <c r="D742" s="209" t="str">
        <f>IF(allSellings_table[[#This Row],[Date]]="","",TEXT(allSellings_table[[#This Row],[Date]],"mmmm"))</f>
        <v/>
      </c>
      <c r="E742" s="209"/>
      <c r="F742" s="210"/>
    </row>
    <row r="743" spans="1:6" x14ac:dyDescent="0.3">
      <c r="A743" s="205"/>
      <c r="B743" s="206"/>
      <c r="C743" s="214"/>
      <c r="D743" s="209" t="str">
        <f>IF(allSellings_table[[#This Row],[Date]]="","",TEXT(allSellings_table[[#This Row],[Date]],"mmmm"))</f>
        <v/>
      </c>
      <c r="E743" s="209"/>
      <c r="F743" s="210"/>
    </row>
    <row r="744" spans="1:6" x14ac:dyDescent="0.3">
      <c r="A744" s="205"/>
      <c r="B744" s="206"/>
      <c r="C744" s="214"/>
      <c r="D744" s="209" t="str">
        <f>IF(allSellings_table[[#This Row],[Date]]="","",TEXT(allSellings_table[[#This Row],[Date]],"mmmm"))</f>
        <v/>
      </c>
      <c r="E744" s="209"/>
      <c r="F744" s="210"/>
    </row>
    <row r="745" spans="1:6" x14ac:dyDescent="0.3">
      <c r="A745" s="205"/>
      <c r="B745" s="206"/>
      <c r="C745" s="214"/>
      <c r="D745" s="209" t="str">
        <f>IF(allSellings_table[[#This Row],[Date]]="","",TEXT(allSellings_table[[#This Row],[Date]],"mmmm"))</f>
        <v/>
      </c>
      <c r="E745" s="209"/>
      <c r="F745" s="210"/>
    </row>
    <row r="746" spans="1:6" x14ac:dyDescent="0.3">
      <c r="A746" s="205"/>
      <c r="B746" s="206"/>
      <c r="C746" s="214"/>
      <c r="D746" s="209" t="str">
        <f>IF(allSellings_table[[#This Row],[Date]]="","",TEXT(allSellings_table[[#This Row],[Date]],"mmmm"))</f>
        <v/>
      </c>
      <c r="E746" s="209"/>
      <c r="F746" s="210"/>
    </row>
    <row r="747" spans="1:6" x14ac:dyDescent="0.3">
      <c r="A747" s="205"/>
      <c r="B747" s="206"/>
      <c r="C747" s="214"/>
      <c r="D747" s="209" t="str">
        <f>IF(allSellings_table[[#This Row],[Date]]="","",TEXT(allSellings_table[[#This Row],[Date]],"mmmm"))</f>
        <v/>
      </c>
      <c r="E747" s="209"/>
      <c r="F747" s="210"/>
    </row>
    <row r="748" spans="1:6" x14ac:dyDescent="0.3">
      <c r="A748" s="205"/>
      <c r="B748" s="206"/>
      <c r="C748" s="214"/>
      <c r="D748" s="209" t="str">
        <f>IF(allSellings_table[[#This Row],[Date]]="","",TEXT(allSellings_table[[#This Row],[Date]],"mmmm"))</f>
        <v/>
      </c>
      <c r="E748" s="209"/>
      <c r="F748" s="210"/>
    </row>
    <row r="749" spans="1:6" x14ac:dyDescent="0.3">
      <c r="A749" s="205"/>
      <c r="B749" s="206"/>
      <c r="C749" s="214"/>
      <c r="D749" s="209" t="str">
        <f>IF(allSellings_table[[#This Row],[Date]]="","",TEXT(allSellings_table[[#This Row],[Date]],"mmmm"))</f>
        <v/>
      </c>
      <c r="E749" s="209"/>
      <c r="F749" s="210"/>
    </row>
    <row r="750" spans="1:6" x14ac:dyDescent="0.3">
      <c r="A750" s="205"/>
      <c r="B750" s="206"/>
      <c r="C750" s="214"/>
      <c r="D750" s="209" t="str">
        <f>IF(allSellings_table[[#This Row],[Date]]="","",TEXT(allSellings_table[[#This Row],[Date]],"mmmm"))</f>
        <v/>
      </c>
      <c r="E750" s="209"/>
      <c r="F750" s="210"/>
    </row>
    <row r="751" spans="1:6" x14ac:dyDescent="0.3">
      <c r="A751" s="205"/>
      <c r="B751" s="206"/>
      <c r="C751" s="214"/>
      <c r="D751" s="209" t="str">
        <f>IF(allSellings_table[[#This Row],[Date]]="","",TEXT(allSellings_table[[#This Row],[Date]],"mmmm"))</f>
        <v/>
      </c>
      <c r="E751" s="209"/>
      <c r="F751" s="210"/>
    </row>
    <row r="752" spans="1:6" x14ac:dyDescent="0.3">
      <c r="A752" s="205"/>
      <c r="B752" s="206"/>
      <c r="C752" s="214"/>
      <c r="D752" s="209" t="str">
        <f>IF(allSellings_table[[#This Row],[Date]]="","",TEXT(allSellings_table[[#This Row],[Date]],"mmmm"))</f>
        <v/>
      </c>
      <c r="E752" s="209"/>
      <c r="F752" s="210"/>
    </row>
    <row r="753" spans="1:6" x14ac:dyDescent="0.3">
      <c r="A753" s="205"/>
      <c r="B753" s="206"/>
      <c r="C753" s="214"/>
      <c r="D753" s="209" t="str">
        <f>IF(allSellings_table[[#This Row],[Date]]="","",TEXT(allSellings_table[[#This Row],[Date]],"mmmm"))</f>
        <v/>
      </c>
      <c r="E753" s="209"/>
      <c r="F753" s="210"/>
    </row>
    <row r="754" spans="1:6" x14ac:dyDescent="0.3">
      <c r="A754" s="205"/>
      <c r="B754" s="206"/>
      <c r="C754" s="214"/>
      <c r="D754" s="209" t="str">
        <f>IF(allSellings_table[[#This Row],[Date]]="","",TEXT(allSellings_table[[#This Row],[Date]],"mmmm"))</f>
        <v/>
      </c>
      <c r="E754" s="209"/>
      <c r="F754" s="210"/>
    </row>
    <row r="755" spans="1:6" x14ac:dyDescent="0.3">
      <c r="A755" s="205"/>
      <c r="B755" s="206"/>
      <c r="C755" s="214"/>
      <c r="D755" s="209" t="str">
        <f>IF(allSellings_table[[#This Row],[Date]]="","",TEXT(allSellings_table[[#This Row],[Date]],"mmmm"))</f>
        <v/>
      </c>
      <c r="E755" s="209"/>
      <c r="F755" s="210"/>
    </row>
    <row r="756" spans="1:6" x14ac:dyDescent="0.3">
      <c r="A756" s="205"/>
      <c r="B756" s="206"/>
      <c r="C756" s="214"/>
      <c r="D756" s="209" t="str">
        <f>IF(allSellings_table[[#This Row],[Date]]="","",TEXT(allSellings_table[[#This Row],[Date]],"mmmm"))</f>
        <v/>
      </c>
      <c r="E756" s="209"/>
      <c r="F756" s="210"/>
    </row>
    <row r="757" spans="1:6" x14ac:dyDescent="0.3">
      <c r="A757" s="205"/>
      <c r="B757" s="206"/>
      <c r="C757" s="214"/>
      <c r="D757" s="209" t="str">
        <f>IF(allSellings_table[[#This Row],[Date]]="","",TEXT(allSellings_table[[#This Row],[Date]],"mmmm"))</f>
        <v/>
      </c>
      <c r="E757" s="209"/>
      <c r="F757" s="210"/>
    </row>
    <row r="758" spans="1:6" x14ac:dyDescent="0.3">
      <c r="A758" s="205"/>
      <c r="B758" s="206"/>
      <c r="C758" s="214"/>
      <c r="D758" s="209" t="str">
        <f>IF(allSellings_table[[#This Row],[Date]]="","",TEXT(allSellings_table[[#This Row],[Date]],"mmmm"))</f>
        <v/>
      </c>
      <c r="E758" s="209"/>
      <c r="F758" s="210"/>
    </row>
    <row r="759" spans="1:6" x14ac:dyDescent="0.3">
      <c r="A759" s="205"/>
      <c r="B759" s="206"/>
      <c r="C759" s="214"/>
      <c r="D759" s="209" t="str">
        <f>IF(allSellings_table[[#This Row],[Date]]="","",TEXT(allSellings_table[[#This Row],[Date]],"mmmm"))</f>
        <v/>
      </c>
      <c r="E759" s="209"/>
      <c r="F759" s="210"/>
    </row>
    <row r="760" spans="1:6" x14ac:dyDescent="0.3">
      <c r="A760" s="205"/>
      <c r="B760" s="206"/>
      <c r="C760" s="214"/>
      <c r="D760" s="209" t="str">
        <f>IF(allSellings_table[[#This Row],[Date]]="","",TEXT(allSellings_table[[#This Row],[Date]],"mmmm"))</f>
        <v/>
      </c>
      <c r="E760" s="209"/>
      <c r="F760" s="210"/>
    </row>
    <row r="761" spans="1:6" x14ac:dyDescent="0.3">
      <c r="A761" s="205"/>
      <c r="B761" s="206"/>
      <c r="C761" s="214"/>
      <c r="D761" s="209" t="str">
        <f>IF(allSellings_table[[#This Row],[Date]]="","",TEXT(allSellings_table[[#This Row],[Date]],"mmmm"))</f>
        <v/>
      </c>
      <c r="E761" s="209"/>
      <c r="F761" s="210"/>
    </row>
    <row r="762" spans="1:6" x14ac:dyDescent="0.3">
      <c r="A762" s="205"/>
      <c r="B762" s="206"/>
      <c r="C762" s="214"/>
      <c r="D762" s="209" t="str">
        <f>IF(allSellings_table[[#This Row],[Date]]="","",TEXT(allSellings_table[[#This Row],[Date]],"mmmm"))</f>
        <v/>
      </c>
      <c r="E762" s="209"/>
      <c r="F762" s="210"/>
    </row>
    <row r="763" spans="1:6" x14ac:dyDescent="0.3">
      <c r="A763" s="205"/>
      <c r="B763" s="206"/>
      <c r="C763" s="214"/>
      <c r="D763" s="209" t="str">
        <f>IF(allSellings_table[[#This Row],[Date]]="","",TEXT(allSellings_table[[#This Row],[Date]],"mmmm"))</f>
        <v/>
      </c>
      <c r="E763" s="209"/>
      <c r="F763" s="210"/>
    </row>
    <row r="764" spans="1:6" x14ac:dyDescent="0.3">
      <c r="A764" s="205"/>
      <c r="B764" s="206"/>
      <c r="C764" s="214"/>
      <c r="D764" s="209" t="str">
        <f>IF(allSellings_table[[#This Row],[Date]]="","",TEXT(allSellings_table[[#This Row],[Date]],"mmmm"))</f>
        <v/>
      </c>
      <c r="E764" s="209"/>
      <c r="F764" s="210"/>
    </row>
    <row r="765" spans="1:6" x14ac:dyDescent="0.3">
      <c r="A765" s="205"/>
      <c r="B765" s="206"/>
      <c r="C765" s="214"/>
      <c r="D765" s="209" t="str">
        <f>IF(allSellings_table[[#This Row],[Date]]="","",TEXT(allSellings_table[[#This Row],[Date]],"mmmm"))</f>
        <v/>
      </c>
      <c r="E765" s="209"/>
      <c r="F765" s="210"/>
    </row>
    <row r="766" spans="1:6" x14ac:dyDescent="0.3">
      <c r="A766" s="205"/>
      <c r="B766" s="206"/>
      <c r="C766" s="214"/>
      <c r="D766" s="209" t="str">
        <f>IF(allSellings_table[[#This Row],[Date]]="","",TEXT(allSellings_table[[#This Row],[Date]],"mmmm"))</f>
        <v/>
      </c>
      <c r="E766" s="209"/>
      <c r="F766" s="210"/>
    </row>
    <row r="767" spans="1:6" x14ac:dyDescent="0.3">
      <c r="A767" s="205"/>
      <c r="B767" s="206"/>
      <c r="C767" s="214"/>
      <c r="D767" s="209" t="str">
        <f>IF(allSellings_table[[#This Row],[Date]]="","",TEXT(allSellings_table[[#This Row],[Date]],"mmmm"))</f>
        <v/>
      </c>
      <c r="E767" s="209"/>
      <c r="F767" s="210"/>
    </row>
    <row r="768" spans="1:6" x14ac:dyDescent="0.3">
      <c r="A768" s="205"/>
      <c r="B768" s="206"/>
      <c r="C768" s="214"/>
      <c r="D768" s="209" t="str">
        <f>IF(allSellings_table[[#This Row],[Date]]="","",TEXT(allSellings_table[[#This Row],[Date]],"mmmm"))</f>
        <v/>
      </c>
      <c r="E768" s="209"/>
      <c r="F768" s="210"/>
    </row>
    <row r="769" spans="1:6" x14ac:dyDescent="0.3">
      <c r="A769" s="205"/>
      <c r="B769" s="206"/>
      <c r="C769" s="214"/>
      <c r="D769" s="209" t="str">
        <f>IF(allSellings_table[[#This Row],[Date]]="","",TEXT(allSellings_table[[#This Row],[Date]],"mmmm"))</f>
        <v/>
      </c>
      <c r="E769" s="209"/>
      <c r="F769" s="210"/>
    </row>
    <row r="770" spans="1:6" x14ac:dyDescent="0.3">
      <c r="A770" s="205"/>
      <c r="B770" s="206"/>
      <c r="C770" s="214"/>
      <c r="D770" s="209" t="str">
        <f>IF(allSellings_table[[#This Row],[Date]]="","",TEXT(allSellings_table[[#This Row],[Date]],"mmmm"))</f>
        <v/>
      </c>
      <c r="E770" s="209"/>
      <c r="F770" s="210"/>
    </row>
    <row r="771" spans="1:6" x14ac:dyDescent="0.3">
      <c r="A771" s="205"/>
      <c r="B771" s="206"/>
      <c r="C771" s="214"/>
      <c r="D771" s="209" t="str">
        <f>IF(allSellings_table[[#This Row],[Date]]="","",TEXT(allSellings_table[[#This Row],[Date]],"mmmm"))</f>
        <v/>
      </c>
      <c r="E771" s="209"/>
      <c r="F771" s="210"/>
    </row>
    <row r="772" spans="1:6" x14ac:dyDescent="0.3">
      <c r="A772" s="205"/>
      <c r="B772" s="206"/>
      <c r="C772" s="214"/>
      <c r="D772" s="209" t="str">
        <f>IF(allSellings_table[[#This Row],[Date]]="","",TEXT(allSellings_table[[#This Row],[Date]],"mmmm"))</f>
        <v/>
      </c>
      <c r="E772" s="209"/>
      <c r="F772" s="210"/>
    </row>
    <row r="773" spans="1:6" x14ac:dyDescent="0.3">
      <c r="A773" s="205"/>
      <c r="B773" s="206"/>
      <c r="C773" s="214"/>
      <c r="D773" s="209" t="str">
        <f>IF(allSellings_table[[#This Row],[Date]]="","",TEXT(allSellings_table[[#This Row],[Date]],"mmmm"))</f>
        <v/>
      </c>
      <c r="E773" s="209"/>
      <c r="F773" s="210"/>
    </row>
    <row r="774" spans="1:6" x14ac:dyDescent="0.3">
      <c r="A774" s="205"/>
      <c r="B774" s="206"/>
      <c r="C774" s="214"/>
      <c r="D774" s="209" t="str">
        <f>IF(allSellings_table[[#This Row],[Date]]="","",TEXT(allSellings_table[[#This Row],[Date]],"mmmm"))</f>
        <v/>
      </c>
      <c r="E774" s="209"/>
      <c r="F774" s="210"/>
    </row>
    <row r="775" spans="1:6" x14ac:dyDescent="0.3">
      <c r="A775" s="205"/>
      <c r="B775" s="206"/>
      <c r="C775" s="214"/>
      <c r="D775" s="209" t="str">
        <f>IF(allSellings_table[[#This Row],[Date]]="","",TEXT(allSellings_table[[#This Row],[Date]],"mmmm"))</f>
        <v/>
      </c>
      <c r="E775" s="209"/>
      <c r="F775" s="210"/>
    </row>
    <row r="776" spans="1:6" x14ac:dyDescent="0.3">
      <c r="A776" s="205"/>
      <c r="B776" s="206"/>
      <c r="C776" s="214"/>
      <c r="D776" s="209" t="str">
        <f>IF(allSellings_table[[#This Row],[Date]]="","",TEXT(allSellings_table[[#This Row],[Date]],"mmmm"))</f>
        <v/>
      </c>
      <c r="E776" s="209"/>
      <c r="F776" s="210"/>
    </row>
    <row r="777" spans="1:6" x14ac:dyDescent="0.3">
      <c r="A777" s="205"/>
      <c r="B777" s="206"/>
      <c r="C777" s="214"/>
      <c r="D777" s="209" t="str">
        <f>IF(allSellings_table[[#This Row],[Date]]="","",TEXT(allSellings_table[[#This Row],[Date]],"mmmm"))</f>
        <v/>
      </c>
      <c r="E777" s="209"/>
      <c r="F777" s="210"/>
    </row>
    <row r="778" spans="1:6" x14ac:dyDescent="0.3">
      <c r="A778" s="205"/>
      <c r="B778" s="206"/>
      <c r="C778" s="214"/>
      <c r="D778" s="209" t="str">
        <f>IF(allSellings_table[[#This Row],[Date]]="","",TEXT(allSellings_table[[#This Row],[Date]],"mmmm"))</f>
        <v/>
      </c>
      <c r="E778" s="209"/>
      <c r="F778" s="210"/>
    </row>
    <row r="779" spans="1:6" x14ac:dyDescent="0.3">
      <c r="A779" s="205"/>
      <c r="B779" s="206"/>
      <c r="C779" s="214"/>
      <c r="D779" s="209" t="str">
        <f>IF(allSellings_table[[#This Row],[Date]]="","",TEXT(allSellings_table[[#This Row],[Date]],"mmmm"))</f>
        <v/>
      </c>
      <c r="E779" s="209"/>
      <c r="F779" s="210"/>
    </row>
    <row r="780" spans="1:6" x14ac:dyDescent="0.3">
      <c r="A780" s="205"/>
      <c r="B780" s="206"/>
      <c r="C780" s="214"/>
      <c r="D780" s="209" t="str">
        <f>IF(allSellings_table[[#This Row],[Date]]="","",TEXT(allSellings_table[[#This Row],[Date]],"mmmm"))</f>
        <v/>
      </c>
      <c r="E780" s="209"/>
      <c r="F780" s="210"/>
    </row>
    <row r="781" spans="1:6" x14ac:dyDescent="0.3">
      <c r="A781" s="205"/>
      <c r="B781" s="206"/>
      <c r="C781" s="214"/>
      <c r="D781" s="209" t="str">
        <f>IF(allSellings_table[[#This Row],[Date]]="","",TEXT(allSellings_table[[#This Row],[Date]],"mmmm"))</f>
        <v/>
      </c>
      <c r="E781" s="209"/>
      <c r="F781" s="210"/>
    </row>
    <row r="782" spans="1:6" x14ac:dyDescent="0.3">
      <c r="A782" s="205"/>
      <c r="B782" s="206"/>
      <c r="C782" s="214"/>
      <c r="D782" s="209" t="str">
        <f>IF(allSellings_table[[#This Row],[Date]]="","",TEXT(allSellings_table[[#This Row],[Date]],"mmmm"))</f>
        <v/>
      </c>
      <c r="E782" s="209"/>
      <c r="F782" s="210"/>
    </row>
    <row r="783" spans="1:6" x14ac:dyDescent="0.3">
      <c r="A783" s="205"/>
      <c r="B783" s="206"/>
      <c r="C783" s="214"/>
      <c r="D783" s="209" t="str">
        <f>IF(allSellings_table[[#This Row],[Date]]="","",TEXT(allSellings_table[[#This Row],[Date]],"mmmm"))</f>
        <v/>
      </c>
      <c r="E783" s="209"/>
      <c r="F783" s="210"/>
    </row>
    <row r="784" spans="1:6" x14ac:dyDescent="0.3">
      <c r="A784" s="205"/>
      <c r="B784" s="206"/>
      <c r="C784" s="214"/>
      <c r="D784" s="209" t="str">
        <f>IF(allSellings_table[[#This Row],[Date]]="","",TEXT(allSellings_table[[#This Row],[Date]],"mmmm"))</f>
        <v/>
      </c>
      <c r="E784" s="209"/>
      <c r="F784" s="210"/>
    </row>
    <row r="785" spans="1:6" x14ac:dyDescent="0.3">
      <c r="A785" s="205"/>
      <c r="B785" s="206"/>
      <c r="C785" s="214"/>
      <c r="D785" s="209" t="str">
        <f>IF(allSellings_table[[#This Row],[Date]]="","",TEXT(allSellings_table[[#This Row],[Date]],"mmmm"))</f>
        <v/>
      </c>
      <c r="E785" s="209"/>
      <c r="F785" s="210"/>
    </row>
    <row r="786" spans="1:6" x14ac:dyDescent="0.3">
      <c r="A786" s="205"/>
      <c r="B786" s="206"/>
      <c r="C786" s="214"/>
      <c r="D786" s="209" t="str">
        <f>IF(allSellings_table[[#This Row],[Date]]="","",TEXT(allSellings_table[[#This Row],[Date]],"mmmm"))</f>
        <v/>
      </c>
      <c r="E786" s="209"/>
      <c r="F786" s="210"/>
    </row>
    <row r="787" spans="1:6" x14ac:dyDescent="0.3">
      <c r="A787" s="205"/>
      <c r="B787" s="206"/>
      <c r="C787" s="214"/>
      <c r="D787" s="209" t="str">
        <f>IF(allSellings_table[[#This Row],[Date]]="","",TEXT(allSellings_table[[#This Row],[Date]],"mmmm"))</f>
        <v/>
      </c>
      <c r="E787" s="209"/>
      <c r="F787" s="210"/>
    </row>
    <row r="788" spans="1:6" x14ac:dyDescent="0.3">
      <c r="A788" s="205"/>
      <c r="B788" s="206"/>
      <c r="C788" s="214"/>
      <c r="D788" s="209" t="str">
        <f>IF(allSellings_table[[#This Row],[Date]]="","",TEXT(allSellings_table[[#This Row],[Date]],"mmmm"))</f>
        <v/>
      </c>
      <c r="E788" s="209"/>
      <c r="F788" s="210"/>
    </row>
    <row r="789" spans="1:6" x14ac:dyDescent="0.3">
      <c r="A789" s="205"/>
      <c r="B789" s="206"/>
      <c r="C789" s="214"/>
      <c r="D789" s="209" t="str">
        <f>IF(allSellings_table[[#This Row],[Date]]="","",TEXT(allSellings_table[[#This Row],[Date]],"mmmm"))</f>
        <v/>
      </c>
      <c r="E789" s="209"/>
      <c r="F789" s="210"/>
    </row>
    <row r="790" spans="1:6" x14ac:dyDescent="0.3">
      <c r="A790" s="205"/>
      <c r="B790" s="206"/>
      <c r="C790" s="214"/>
      <c r="D790" s="209" t="str">
        <f>IF(allSellings_table[[#This Row],[Date]]="","",TEXT(allSellings_table[[#This Row],[Date]],"mmmm"))</f>
        <v/>
      </c>
      <c r="E790" s="209"/>
      <c r="F790" s="210"/>
    </row>
    <row r="791" spans="1:6" x14ac:dyDescent="0.3">
      <c r="A791" s="205"/>
      <c r="B791" s="206"/>
      <c r="C791" s="214"/>
      <c r="D791" s="209" t="str">
        <f>IF(allSellings_table[[#This Row],[Date]]="","",TEXT(allSellings_table[[#This Row],[Date]],"mmmm"))</f>
        <v/>
      </c>
      <c r="E791" s="209"/>
      <c r="F791" s="210"/>
    </row>
    <row r="792" spans="1:6" x14ac:dyDescent="0.3">
      <c r="A792" s="205"/>
      <c r="B792" s="206"/>
      <c r="C792" s="214"/>
      <c r="D792" s="209" t="str">
        <f>IF(allSellings_table[[#This Row],[Date]]="","",TEXT(allSellings_table[[#This Row],[Date]],"mmmm"))</f>
        <v/>
      </c>
      <c r="E792" s="209"/>
      <c r="F792" s="210"/>
    </row>
    <row r="793" spans="1:6" x14ac:dyDescent="0.3">
      <c r="A793" s="205"/>
      <c r="B793" s="206"/>
      <c r="C793" s="214"/>
      <c r="D793" s="209" t="str">
        <f>IF(allSellings_table[[#This Row],[Date]]="","",TEXT(allSellings_table[[#This Row],[Date]],"mmmm"))</f>
        <v/>
      </c>
      <c r="E793" s="209"/>
      <c r="F793" s="210"/>
    </row>
    <row r="794" spans="1:6" x14ac:dyDescent="0.3">
      <c r="A794" s="205"/>
      <c r="B794" s="206"/>
      <c r="C794" s="214"/>
      <c r="D794" s="209" t="str">
        <f>IF(allSellings_table[[#This Row],[Date]]="","",TEXT(allSellings_table[[#This Row],[Date]],"mmmm"))</f>
        <v/>
      </c>
      <c r="E794" s="209"/>
      <c r="F794" s="210"/>
    </row>
    <row r="795" spans="1:6" x14ac:dyDescent="0.3">
      <c r="A795" s="205"/>
      <c r="B795" s="206"/>
      <c r="C795" s="214"/>
      <c r="D795" s="209" t="str">
        <f>IF(allSellings_table[[#This Row],[Date]]="","",TEXT(allSellings_table[[#This Row],[Date]],"mmmm"))</f>
        <v/>
      </c>
      <c r="E795" s="209"/>
      <c r="F795" s="210"/>
    </row>
    <row r="796" spans="1:6" x14ac:dyDescent="0.3">
      <c r="A796" s="205"/>
      <c r="B796" s="206"/>
      <c r="C796" s="214"/>
      <c r="D796" s="209" t="str">
        <f>IF(allSellings_table[[#This Row],[Date]]="","",TEXT(allSellings_table[[#This Row],[Date]],"mmmm"))</f>
        <v/>
      </c>
      <c r="E796" s="209"/>
      <c r="F796" s="210"/>
    </row>
    <row r="797" spans="1:6" x14ac:dyDescent="0.3">
      <c r="A797" s="205"/>
      <c r="B797" s="206"/>
      <c r="C797" s="214"/>
      <c r="D797" s="209" t="str">
        <f>IF(allSellings_table[[#This Row],[Date]]="","",TEXT(allSellings_table[[#This Row],[Date]],"mmmm"))</f>
        <v/>
      </c>
      <c r="E797" s="209"/>
      <c r="F797" s="210"/>
    </row>
    <row r="798" spans="1:6" x14ac:dyDescent="0.3">
      <c r="A798" s="205"/>
      <c r="B798" s="206"/>
      <c r="C798" s="214"/>
      <c r="D798" s="209" t="str">
        <f>IF(allSellings_table[[#This Row],[Date]]="","",TEXT(allSellings_table[[#This Row],[Date]],"mmmm"))</f>
        <v/>
      </c>
      <c r="E798" s="209"/>
      <c r="F798" s="210"/>
    </row>
    <row r="799" spans="1:6" x14ac:dyDescent="0.3">
      <c r="A799" s="205"/>
      <c r="B799" s="206"/>
      <c r="C799" s="214"/>
      <c r="D799" s="209" t="str">
        <f>IF(allSellings_table[[#This Row],[Date]]="","",TEXT(allSellings_table[[#This Row],[Date]],"mmmm"))</f>
        <v/>
      </c>
      <c r="E799" s="209"/>
      <c r="F799" s="210"/>
    </row>
    <row r="800" spans="1:6" x14ac:dyDescent="0.3">
      <c r="A800" s="205"/>
      <c r="B800" s="206"/>
      <c r="C800" s="214"/>
      <c r="D800" s="209" t="str">
        <f>IF(allSellings_table[[#This Row],[Date]]="","",TEXT(allSellings_table[[#This Row],[Date]],"mmmm"))</f>
        <v/>
      </c>
      <c r="E800" s="209"/>
      <c r="F800" s="210"/>
    </row>
    <row r="801" spans="1:6" x14ac:dyDescent="0.3">
      <c r="A801" s="205"/>
      <c r="B801" s="206"/>
      <c r="C801" s="214"/>
      <c r="D801" s="209" t="str">
        <f>IF(allSellings_table[[#This Row],[Date]]="","",TEXT(allSellings_table[[#This Row],[Date]],"mmmm"))</f>
        <v/>
      </c>
      <c r="E801" s="209"/>
      <c r="F801" s="210"/>
    </row>
    <row r="802" spans="1:6" x14ac:dyDescent="0.3">
      <c r="A802" s="205"/>
      <c r="B802" s="206"/>
      <c r="C802" s="214"/>
      <c r="D802" s="209" t="str">
        <f>IF(allSellings_table[[#This Row],[Date]]="","",TEXT(allSellings_table[[#This Row],[Date]],"mmmm"))</f>
        <v/>
      </c>
      <c r="E802" s="209"/>
      <c r="F802" s="210"/>
    </row>
    <row r="803" spans="1:6" x14ac:dyDescent="0.3">
      <c r="A803" s="205"/>
      <c r="B803" s="206"/>
      <c r="C803" s="214"/>
      <c r="D803" s="209" t="str">
        <f>IF(allSellings_table[[#This Row],[Date]]="","",TEXT(allSellings_table[[#This Row],[Date]],"mmmm"))</f>
        <v/>
      </c>
      <c r="E803" s="209"/>
      <c r="F803" s="210"/>
    </row>
    <row r="804" spans="1:6" x14ac:dyDescent="0.3">
      <c r="A804" s="205"/>
      <c r="B804" s="206"/>
      <c r="C804" s="214"/>
      <c r="D804" s="209" t="str">
        <f>IF(allSellings_table[[#This Row],[Date]]="","",TEXT(allSellings_table[[#This Row],[Date]],"mmmm"))</f>
        <v/>
      </c>
      <c r="E804" s="209"/>
      <c r="F804" s="210"/>
    </row>
    <row r="805" spans="1:6" x14ac:dyDescent="0.3">
      <c r="A805" s="205"/>
      <c r="B805" s="206"/>
      <c r="C805" s="214"/>
      <c r="D805" s="209" t="str">
        <f>IF(allSellings_table[[#This Row],[Date]]="","",TEXT(allSellings_table[[#This Row],[Date]],"mmmm"))</f>
        <v/>
      </c>
      <c r="E805" s="209"/>
      <c r="F805" s="210"/>
    </row>
    <row r="806" spans="1:6" x14ac:dyDescent="0.3">
      <c r="A806" s="205"/>
      <c r="B806" s="206"/>
      <c r="C806" s="214"/>
      <c r="D806" s="209" t="str">
        <f>IF(allSellings_table[[#This Row],[Date]]="","",TEXT(allSellings_table[[#This Row],[Date]],"mmmm"))</f>
        <v/>
      </c>
      <c r="E806" s="209"/>
      <c r="F806" s="210"/>
    </row>
    <row r="807" spans="1:6" x14ac:dyDescent="0.3">
      <c r="A807" s="205"/>
      <c r="B807" s="206"/>
      <c r="C807" s="214"/>
      <c r="D807" s="209" t="str">
        <f>IF(allSellings_table[[#This Row],[Date]]="","",TEXT(allSellings_table[[#This Row],[Date]],"mmmm"))</f>
        <v/>
      </c>
      <c r="E807" s="209"/>
      <c r="F807" s="210"/>
    </row>
    <row r="808" spans="1:6" x14ac:dyDescent="0.3">
      <c r="A808" s="205"/>
      <c r="B808" s="206"/>
      <c r="C808" s="214"/>
      <c r="D808" s="209" t="str">
        <f>IF(allSellings_table[[#This Row],[Date]]="","",TEXT(allSellings_table[[#This Row],[Date]],"mmmm"))</f>
        <v/>
      </c>
      <c r="E808" s="209"/>
      <c r="F808" s="210"/>
    </row>
    <row r="809" spans="1:6" x14ac:dyDescent="0.3">
      <c r="A809" s="205"/>
      <c r="B809" s="206"/>
      <c r="C809" s="214"/>
      <c r="D809" s="209" t="str">
        <f>IF(allSellings_table[[#This Row],[Date]]="","",TEXT(allSellings_table[[#This Row],[Date]],"mmmm"))</f>
        <v/>
      </c>
      <c r="E809" s="209"/>
      <c r="F809" s="210"/>
    </row>
    <row r="810" spans="1:6" x14ac:dyDescent="0.3">
      <c r="A810" s="205"/>
      <c r="B810" s="206"/>
      <c r="C810" s="214"/>
      <c r="D810" s="209" t="str">
        <f>IF(allSellings_table[[#This Row],[Date]]="","",TEXT(allSellings_table[[#This Row],[Date]],"mmmm"))</f>
        <v/>
      </c>
      <c r="E810" s="209"/>
      <c r="F810" s="210"/>
    </row>
    <row r="811" spans="1:6" x14ac:dyDescent="0.3">
      <c r="A811" s="205"/>
      <c r="B811" s="206"/>
      <c r="C811" s="214"/>
      <c r="D811" s="209" t="str">
        <f>IF(allSellings_table[[#This Row],[Date]]="","",TEXT(allSellings_table[[#This Row],[Date]],"mmmm"))</f>
        <v/>
      </c>
      <c r="E811" s="209"/>
      <c r="F811" s="210"/>
    </row>
    <row r="812" spans="1:6" x14ac:dyDescent="0.3">
      <c r="A812" s="205"/>
      <c r="B812" s="206"/>
      <c r="C812" s="214"/>
      <c r="D812" s="209" t="str">
        <f>IF(allSellings_table[[#This Row],[Date]]="","",TEXT(allSellings_table[[#This Row],[Date]],"mmmm"))</f>
        <v/>
      </c>
      <c r="E812" s="209"/>
      <c r="F812" s="210"/>
    </row>
    <row r="813" spans="1:6" x14ac:dyDescent="0.3">
      <c r="A813" s="205"/>
      <c r="B813" s="206"/>
      <c r="C813" s="214"/>
      <c r="D813" s="209" t="str">
        <f>IF(allSellings_table[[#This Row],[Date]]="","",TEXT(allSellings_table[[#This Row],[Date]],"mmmm"))</f>
        <v/>
      </c>
      <c r="E813" s="209"/>
      <c r="F813" s="210"/>
    </row>
    <row r="814" spans="1:6" x14ac:dyDescent="0.3">
      <c r="A814" s="205"/>
      <c r="B814" s="206"/>
      <c r="C814" s="214"/>
      <c r="D814" s="209" t="str">
        <f>IF(allSellings_table[[#This Row],[Date]]="","",TEXT(allSellings_table[[#This Row],[Date]],"mmmm"))</f>
        <v/>
      </c>
      <c r="E814" s="209"/>
      <c r="F814" s="210"/>
    </row>
    <row r="815" spans="1:6" x14ac:dyDescent="0.3">
      <c r="A815" s="205"/>
      <c r="B815" s="206"/>
      <c r="C815" s="214"/>
      <c r="D815" s="209" t="str">
        <f>IF(allSellings_table[[#This Row],[Date]]="","",TEXT(allSellings_table[[#This Row],[Date]],"mmmm"))</f>
        <v/>
      </c>
      <c r="E815" s="209"/>
      <c r="F815" s="210"/>
    </row>
    <row r="816" spans="1:6" x14ac:dyDescent="0.3">
      <c r="A816" s="205"/>
      <c r="B816" s="206"/>
      <c r="C816" s="214"/>
      <c r="D816" s="209" t="str">
        <f>IF(allSellings_table[[#This Row],[Date]]="","",TEXT(allSellings_table[[#This Row],[Date]],"mmmm"))</f>
        <v/>
      </c>
      <c r="E816" s="209"/>
      <c r="F816" s="210"/>
    </row>
    <row r="817" spans="1:6" x14ac:dyDescent="0.3">
      <c r="A817" s="205"/>
      <c r="B817" s="206"/>
      <c r="C817" s="214"/>
      <c r="D817" s="209" t="str">
        <f>IF(allSellings_table[[#This Row],[Date]]="","",TEXT(allSellings_table[[#This Row],[Date]],"mmmm"))</f>
        <v/>
      </c>
      <c r="E817" s="209"/>
      <c r="F817" s="210"/>
    </row>
    <row r="818" spans="1:6" x14ac:dyDescent="0.3">
      <c r="A818" s="205"/>
      <c r="B818" s="206"/>
      <c r="C818" s="214"/>
      <c r="D818" s="209" t="str">
        <f>IF(allSellings_table[[#This Row],[Date]]="","",TEXT(allSellings_table[[#This Row],[Date]],"mmmm"))</f>
        <v/>
      </c>
      <c r="E818" s="209"/>
      <c r="F818" s="210"/>
    </row>
    <row r="819" spans="1:6" x14ac:dyDescent="0.3">
      <c r="A819" s="205"/>
      <c r="B819" s="206"/>
      <c r="C819" s="214"/>
      <c r="D819" s="209" t="str">
        <f>IF(allSellings_table[[#This Row],[Date]]="","",TEXT(allSellings_table[[#This Row],[Date]],"mmmm"))</f>
        <v/>
      </c>
      <c r="E819" s="209"/>
      <c r="F819" s="210"/>
    </row>
    <row r="820" spans="1:6" x14ac:dyDescent="0.3">
      <c r="A820" s="205"/>
      <c r="B820" s="206"/>
      <c r="C820" s="214"/>
      <c r="D820" s="209" t="str">
        <f>IF(allSellings_table[[#This Row],[Date]]="","",TEXT(allSellings_table[[#This Row],[Date]],"mmmm"))</f>
        <v/>
      </c>
      <c r="E820" s="209"/>
      <c r="F820" s="210"/>
    </row>
    <row r="821" spans="1:6" x14ac:dyDescent="0.3">
      <c r="A821" s="205"/>
      <c r="B821" s="206"/>
      <c r="C821" s="214"/>
      <c r="D821" s="209" t="str">
        <f>IF(allSellings_table[[#This Row],[Date]]="","",TEXT(allSellings_table[[#This Row],[Date]],"mmmm"))</f>
        <v/>
      </c>
      <c r="E821" s="209"/>
      <c r="F821" s="210"/>
    </row>
    <row r="822" spans="1:6" x14ac:dyDescent="0.3">
      <c r="A822" s="205"/>
      <c r="B822" s="206"/>
      <c r="C822" s="214"/>
      <c r="D822" s="209" t="str">
        <f>IF(allSellings_table[[#This Row],[Date]]="","",TEXT(allSellings_table[[#This Row],[Date]],"mmmm"))</f>
        <v/>
      </c>
      <c r="E822" s="209"/>
      <c r="F822" s="210"/>
    </row>
    <row r="823" spans="1:6" x14ac:dyDescent="0.3">
      <c r="A823" s="205"/>
      <c r="B823" s="206"/>
      <c r="C823" s="214"/>
      <c r="D823" s="209" t="str">
        <f>IF(allSellings_table[[#This Row],[Date]]="","",TEXT(allSellings_table[[#This Row],[Date]],"mmmm"))</f>
        <v/>
      </c>
      <c r="E823" s="209"/>
      <c r="F823" s="210"/>
    </row>
    <row r="824" spans="1:6" x14ac:dyDescent="0.3">
      <c r="A824" s="205"/>
      <c r="B824" s="206"/>
      <c r="C824" s="214"/>
      <c r="D824" s="209" t="str">
        <f>IF(allSellings_table[[#This Row],[Date]]="","",TEXT(allSellings_table[[#This Row],[Date]],"mmmm"))</f>
        <v/>
      </c>
      <c r="E824" s="209"/>
      <c r="F824" s="210"/>
    </row>
    <row r="825" spans="1:6" x14ac:dyDescent="0.3">
      <c r="A825" s="205"/>
      <c r="B825" s="206"/>
      <c r="C825" s="214"/>
      <c r="D825" s="209" t="str">
        <f>IF(allSellings_table[[#This Row],[Date]]="","",TEXT(allSellings_table[[#This Row],[Date]],"mmmm"))</f>
        <v/>
      </c>
      <c r="E825" s="209"/>
      <c r="F825" s="210"/>
    </row>
    <row r="826" spans="1:6" x14ac:dyDescent="0.3">
      <c r="A826" s="205"/>
      <c r="B826" s="206"/>
      <c r="C826" s="214"/>
      <c r="D826" s="209" t="str">
        <f>IF(allSellings_table[[#This Row],[Date]]="","",TEXT(allSellings_table[[#This Row],[Date]],"mmmm"))</f>
        <v/>
      </c>
      <c r="E826" s="209"/>
      <c r="F826" s="210"/>
    </row>
    <row r="827" spans="1:6" x14ac:dyDescent="0.3">
      <c r="A827" s="205"/>
      <c r="B827" s="206"/>
      <c r="C827" s="214"/>
      <c r="D827" s="209" t="str">
        <f>IF(allSellings_table[[#This Row],[Date]]="","",TEXT(allSellings_table[[#This Row],[Date]],"mmmm"))</f>
        <v/>
      </c>
      <c r="E827" s="209"/>
      <c r="F827" s="210"/>
    </row>
    <row r="828" spans="1:6" x14ac:dyDescent="0.3">
      <c r="A828" s="205"/>
      <c r="B828" s="206"/>
      <c r="C828" s="214"/>
      <c r="D828" s="209" t="str">
        <f>IF(allSellings_table[[#This Row],[Date]]="","",TEXT(allSellings_table[[#This Row],[Date]],"mmmm"))</f>
        <v/>
      </c>
      <c r="E828" s="209"/>
      <c r="F828" s="210"/>
    </row>
    <row r="829" spans="1:6" x14ac:dyDescent="0.3">
      <c r="A829" s="205"/>
      <c r="B829" s="206"/>
      <c r="C829" s="214"/>
      <c r="D829" s="209" t="str">
        <f>IF(allSellings_table[[#This Row],[Date]]="","",TEXT(allSellings_table[[#This Row],[Date]],"mmmm"))</f>
        <v/>
      </c>
      <c r="E829" s="209"/>
      <c r="F829" s="210"/>
    </row>
    <row r="830" spans="1:6" x14ac:dyDescent="0.3">
      <c r="A830" s="205"/>
      <c r="B830" s="206"/>
      <c r="C830" s="214"/>
      <c r="D830" s="209" t="str">
        <f>IF(allSellings_table[[#This Row],[Date]]="","",TEXT(allSellings_table[[#This Row],[Date]],"mmmm"))</f>
        <v/>
      </c>
      <c r="E830" s="209"/>
      <c r="F830" s="210"/>
    </row>
    <row r="831" spans="1:6" x14ac:dyDescent="0.3">
      <c r="A831" s="205"/>
      <c r="B831" s="206"/>
      <c r="C831" s="214"/>
      <c r="D831" s="209" t="str">
        <f>IF(allSellings_table[[#This Row],[Date]]="","",TEXT(allSellings_table[[#This Row],[Date]],"mmmm"))</f>
        <v/>
      </c>
      <c r="E831" s="209"/>
      <c r="F831" s="210"/>
    </row>
    <row r="832" spans="1:6" x14ac:dyDescent="0.3">
      <c r="A832" s="205"/>
      <c r="B832" s="206"/>
      <c r="C832" s="214"/>
      <c r="D832" s="209" t="str">
        <f>IF(allSellings_table[[#This Row],[Date]]="","",TEXT(allSellings_table[[#This Row],[Date]],"mmmm"))</f>
        <v/>
      </c>
      <c r="E832" s="209"/>
      <c r="F832" s="210"/>
    </row>
    <row r="833" spans="1:6" x14ac:dyDescent="0.3">
      <c r="A833" s="205"/>
      <c r="B833" s="206"/>
      <c r="C833" s="214"/>
      <c r="D833" s="209" t="str">
        <f>IF(allSellings_table[[#This Row],[Date]]="","",TEXT(allSellings_table[[#This Row],[Date]],"mmmm"))</f>
        <v/>
      </c>
      <c r="E833" s="209"/>
      <c r="F833" s="210"/>
    </row>
    <row r="834" spans="1:6" x14ac:dyDescent="0.3">
      <c r="A834" s="205"/>
      <c r="B834" s="206"/>
      <c r="C834" s="214"/>
      <c r="D834" s="209" t="str">
        <f>IF(allSellings_table[[#This Row],[Date]]="","",TEXT(allSellings_table[[#This Row],[Date]],"mmmm"))</f>
        <v/>
      </c>
      <c r="E834" s="209"/>
      <c r="F834" s="210"/>
    </row>
    <row r="835" spans="1:6" x14ac:dyDescent="0.3">
      <c r="A835" s="205"/>
      <c r="B835" s="206"/>
      <c r="C835" s="214"/>
      <c r="D835" s="209" t="str">
        <f>IF(allSellings_table[[#This Row],[Date]]="","",TEXT(allSellings_table[[#This Row],[Date]],"mmmm"))</f>
        <v/>
      </c>
      <c r="E835" s="209"/>
      <c r="F835" s="210"/>
    </row>
    <row r="836" spans="1:6" x14ac:dyDescent="0.3">
      <c r="A836" s="205"/>
      <c r="B836" s="206"/>
      <c r="C836" s="214"/>
      <c r="D836" s="209" t="str">
        <f>IF(allSellings_table[[#This Row],[Date]]="","",TEXT(allSellings_table[[#This Row],[Date]],"mmmm"))</f>
        <v/>
      </c>
      <c r="E836" s="209"/>
      <c r="F836" s="210"/>
    </row>
    <row r="837" spans="1:6" x14ac:dyDescent="0.3">
      <c r="A837" s="205"/>
      <c r="B837" s="206"/>
      <c r="C837" s="214"/>
      <c r="D837" s="209" t="str">
        <f>IF(allSellings_table[[#This Row],[Date]]="","",TEXT(allSellings_table[[#This Row],[Date]],"mmmm"))</f>
        <v/>
      </c>
      <c r="E837" s="209"/>
      <c r="F837" s="210"/>
    </row>
    <row r="838" spans="1:6" x14ac:dyDescent="0.3">
      <c r="A838" s="205"/>
      <c r="B838" s="206"/>
      <c r="C838" s="214"/>
      <c r="D838" s="209" t="str">
        <f>IF(allSellings_table[[#This Row],[Date]]="","",TEXT(allSellings_table[[#This Row],[Date]],"mmmm"))</f>
        <v/>
      </c>
      <c r="E838" s="209"/>
      <c r="F838" s="210"/>
    </row>
    <row r="839" spans="1:6" x14ac:dyDescent="0.3">
      <c r="A839" s="205"/>
      <c r="B839" s="206"/>
      <c r="C839" s="214"/>
      <c r="D839" s="209" t="str">
        <f>IF(allSellings_table[[#This Row],[Date]]="","",TEXT(allSellings_table[[#This Row],[Date]],"mmmm"))</f>
        <v/>
      </c>
      <c r="E839" s="209"/>
      <c r="F839" s="210"/>
    </row>
    <row r="840" spans="1:6" x14ac:dyDescent="0.3">
      <c r="A840" s="205"/>
      <c r="B840" s="206"/>
      <c r="C840" s="214"/>
      <c r="D840" s="209" t="str">
        <f>IF(allSellings_table[[#This Row],[Date]]="","",TEXT(allSellings_table[[#This Row],[Date]],"mmmm"))</f>
        <v/>
      </c>
      <c r="E840" s="209"/>
      <c r="F840" s="210"/>
    </row>
    <row r="841" spans="1:6" x14ac:dyDescent="0.3">
      <c r="A841" s="205"/>
      <c r="B841" s="206"/>
      <c r="C841" s="214"/>
      <c r="D841" s="209" t="str">
        <f>IF(allSellings_table[[#This Row],[Date]]="","",TEXT(allSellings_table[[#This Row],[Date]],"mmmm"))</f>
        <v/>
      </c>
      <c r="E841" s="209"/>
      <c r="F841" s="210"/>
    </row>
    <row r="842" spans="1:6" x14ac:dyDescent="0.3">
      <c r="A842" s="205"/>
      <c r="B842" s="206"/>
      <c r="C842" s="214"/>
      <c r="D842" s="209" t="str">
        <f>IF(allSellings_table[[#This Row],[Date]]="","",TEXT(allSellings_table[[#This Row],[Date]],"mmmm"))</f>
        <v/>
      </c>
      <c r="E842" s="209"/>
      <c r="F842" s="210"/>
    </row>
    <row r="843" spans="1:6" x14ac:dyDescent="0.3">
      <c r="A843" s="205"/>
      <c r="B843" s="206"/>
      <c r="C843" s="214"/>
      <c r="D843" s="209" t="str">
        <f>IF(allSellings_table[[#This Row],[Date]]="","",TEXT(allSellings_table[[#This Row],[Date]],"mmmm"))</f>
        <v/>
      </c>
      <c r="E843" s="209"/>
      <c r="F843" s="210"/>
    </row>
    <row r="844" spans="1:6" x14ac:dyDescent="0.3">
      <c r="A844" s="205"/>
      <c r="B844" s="206"/>
      <c r="C844" s="214"/>
      <c r="D844" s="209" t="str">
        <f>IF(allSellings_table[[#This Row],[Date]]="","",TEXT(allSellings_table[[#This Row],[Date]],"mmmm"))</f>
        <v/>
      </c>
      <c r="E844" s="209"/>
      <c r="F844" s="210"/>
    </row>
    <row r="845" spans="1:6" x14ac:dyDescent="0.3">
      <c r="A845" s="205"/>
      <c r="B845" s="206"/>
      <c r="C845" s="214"/>
      <c r="D845" s="209" t="str">
        <f>IF(allSellings_table[[#This Row],[Date]]="","",TEXT(allSellings_table[[#This Row],[Date]],"mmmm"))</f>
        <v/>
      </c>
      <c r="E845" s="209"/>
      <c r="F845" s="210"/>
    </row>
    <row r="846" spans="1:6" x14ac:dyDescent="0.3">
      <c r="A846" s="205"/>
      <c r="B846" s="206"/>
      <c r="C846" s="214"/>
      <c r="D846" s="209" t="str">
        <f>IF(allSellings_table[[#This Row],[Date]]="","",TEXT(allSellings_table[[#This Row],[Date]],"mmmm"))</f>
        <v/>
      </c>
      <c r="E846" s="209"/>
      <c r="F846" s="210"/>
    </row>
    <row r="847" spans="1:6" x14ac:dyDescent="0.3">
      <c r="A847" s="205"/>
      <c r="B847" s="206"/>
      <c r="C847" s="214"/>
      <c r="D847" s="209" t="str">
        <f>IF(allSellings_table[[#This Row],[Date]]="","",TEXT(allSellings_table[[#This Row],[Date]],"mmmm"))</f>
        <v/>
      </c>
      <c r="E847" s="209"/>
      <c r="F847" s="210"/>
    </row>
    <row r="848" spans="1:6" x14ac:dyDescent="0.3">
      <c r="A848" s="205"/>
      <c r="B848" s="206"/>
      <c r="C848" s="214"/>
      <c r="D848" s="209" t="str">
        <f>IF(allSellings_table[[#This Row],[Date]]="","",TEXT(allSellings_table[[#This Row],[Date]],"mmmm"))</f>
        <v/>
      </c>
      <c r="E848" s="209"/>
      <c r="F848" s="210"/>
    </row>
    <row r="849" spans="1:6" x14ac:dyDescent="0.3">
      <c r="A849" s="205"/>
      <c r="B849" s="206"/>
      <c r="C849" s="214"/>
      <c r="D849" s="209" t="str">
        <f>IF(allSellings_table[[#This Row],[Date]]="","",TEXT(allSellings_table[[#This Row],[Date]],"mmmm"))</f>
        <v/>
      </c>
      <c r="E849" s="209"/>
      <c r="F849" s="210"/>
    </row>
    <row r="850" spans="1:6" x14ac:dyDescent="0.3">
      <c r="A850" s="205"/>
      <c r="B850" s="206"/>
      <c r="C850" s="214"/>
      <c r="D850" s="209" t="str">
        <f>IF(allSellings_table[[#This Row],[Date]]="","",TEXT(allSellings_table[[#This Row],[Date]],"mmmm"))</f>
        <v/>
      </c>
      <c r="E850" s="209"/>
      <c r="F850" s="210"/>
    </row>
    <row r="851" spans="1:6" x14ac:dyDescent="0.3">
      <c r="A851" s="205"/>
      <c r="B851" s="206"/>
      <c r="C851" s="214"/>
      <c r="D851" s="209" t="str">
        <f>IF(allSellings_table[[#This Row],[Date]]="","",TEXT(allSellings_table[[#This Row],[Date]],"mmmm"))</f>
        <v/>
      </c>
      <c r="E851" s="209"/>
      <c r="F851" s="210"/>
    </row>
    <row r="852" spans="1:6" x14ac:dyDescent="0.3">
      <c r="A852" s="205"/>
      <c r="B852" s="206"/>
      <c r="C852" s="214"/>
      <c r="D852" s="209" t="str">
        <f>IF(allSellings_table[[#This Row],[Date]]="","",TEXT(allSellings_table[[#This Row],[Date]],"mmmm"))</f>
        <v/>
      </c>
      <c r="E852" s="209"/>
      <c r="F852" s="210"/>
    </row>
    <row r="853" spans="1:6" x14ac:dyDescent="0.3">
      <c r="A853" s="205"/>
      <c r="B853" s="206"/>
      <c r="C853" s="214"/>
      <c r="D853" s="209" t="str">
        <f>IF(allSellings_table[[#This Row],[Date]]="","",TEXT(allSellings_table[[#This Row],[Date]],"mmmm"))</f>
        <v/>
      </c>
      <c r="E853" s="209"/>
      <c r="F853" s="210"/>
    </row>
    <row r="854" spans="1:6" x14ac:dyDescent="0.3">
      <c r="A854" s="205"/>
      <c r="B854" s="206"/>
      <c r="C854" s="214"/>
      <c r="D854" s="209" t="str">
        <f>IF(allSellings_table[[#This Row],[Date]]="","",TEXT(allSellings_table[[#This Row],[Date]],"mmmm"))</f>
        <v/>
      </c>
      <c r="E854" s="209"/>
      <c r="F854" s="210"/>
    </row>
    <row r="855" spans="1:6" x14ac:dyDescent="0.3">
      <c r="A855" s="205"/>
      <c r="B855" s="206"/>
      <c r="C855" s="214"/>
      <c r="D855" s="209" t="str">
        <f>IF(allSellings_table[[#This Row],[Date]]="","",TEXT(allSellings_table[[#This Row],[Date]],"mmmm"))</f>
        <v/>
      </c>
      <c r="E855" s="209"/>
      <c r="F855" s="210"/>
    </row>
    <row r="856" spans="1:6" x14ac:dyDescent="0.3">
      <c r="A856" s="205"/>
      <c r="B856" s="206"/>
      <c r="C856" s="214"/>
      <c r="D856" s="209" t="str">
        <f>IF(allSellings_table[[#This Row],[Date]]="","",TEXT(allSellings_table[[#This Row],[Date]],"mmmm"))</f>
        <v/>
      </c>
      <c r="E856" s="209"/>
      <c r="F856" s="210"/>
    </row>
    <row r="857" spans="1:6" x14ac:dyDescent="0.3">
      <c r="A857" s="205"/>
      <c r="B857" s="206"/>
      <c r="C857" s="214"/>
      <c r="D857" s="209" t="str">
        <f>IF(allSellings_table[[#This Row],[Date]]="","",TEXT(allSellings_table[[#This Row],[Date]],"mmmm"))</f>
        <v/>
      </c>
      <c r="E857" s="209"/>
      <c r="F857" s="210"/>
    </row>
    <row r="858" spans="1:6" x14ac:dyDescent="0.3">
      <c r="A858" s="205"/>
      <c r="B858" s="206"/>
      <c r="C858" s="214"/>
      <c r="D858" s="209" t="str">
        <f>IF(allSellings_table[[#This Row],[Date]]="","",TEXT(allSellings_table[[#This Row],[Date]],"mmmm"))</f>
        <v/>
      </c>
      <c r="E858" s="209"/>
      <c r="F858" s="210"/>
    </row>
    <row r="859" spans="1:6" x14ac:dyDescent="0.3">
      <c r="A859" s="205"/>
      <c r="B859" s="206"/>
      <c r="C859" s="214"/>
      <c r="D859" s="209" t="str">
        <f>IF(allSellings_table[[#This Row],[Date]]="","",TEXT(allSellings_table[[#This Row],[Date]],"mmmm"))</f>
        <v/>
      </c>
      <c r="E859" s="209"/>
      <c r="F859" s="210"/>
    </row>
    <row r="860" spans="1:6" x14ac:dyDescent="0.3">
      <c r="A860" s="205"/>
      <c r="B860" s="206"/>
      <c r="C860" s="214"/>
      <c r="D860" s="209" t="str">
        <f>IF(allSellings_table[[#This Row],[Date]]="","",TEXT(allSellings_table[[#This Row],[Date]],"mmmm"))</f>
        <v/>
      </c>
      <c r="E860" s="209"/>
      <c r="F860" s="210"/>
    </row>
    <row r="861" spans="1:6" x14ac:dyDescent="0.3">
      <c r="A861" s="205"/>
      <c r="B861" s="206"/>
      <c r="C861" s="214"/>
      <c r="D861" s="209" t="str">
        <f>IF(allSellings_table[[#This Row],[Date]]="","",TEXT(allSellings_table[[#This Row],[Date]],"mmmm"))</f>
        <v/>
      </c>
      <c r="E861" s="209"/>
      <c r="F861" s="210"/>
    </row>
    <row r="862" spans="1:6" x14ac:dyDescent="0.3">
      <c r="A862" s="205"/>
      <c r="B862" s="206"/>
      <c r="C862" s="214"/>
      <c r="D862" s="209" t="str">
        <f>IF(allSellings_table[[#This Row],[Date]]="","",TEXT(allSellings_table[[#This Row],[Date]],"mmmm"))</f>
        <v/>
      </c>
      <c r="E862" s="209"/>
      <c r="F862" s="210"/>
    </row>
    <row r="863" spans="1:6" x14ac:dyDescent="0.3">
      <c r="A863" s="205"/>
      <c r="B863" s="206"/>
      <c r="C863" s="214"/>
      <c r="D863" s="209" t="str">
        <f>IF(allSellings_table[[#This Row],[Date]]="","",TEXT(allSellings_table[[#This Row],[Date]],"mmmm"))</f>
        <v/>
      </c>
      <c r="E863" s="209"/>
      <c r="F863" s="210"/>
    </row>
    <row r="864" spans="1:6" x14ac:dyDescent="0.3">
      <c r="A864" s="205"/>
      <c r="B864" s="206"/>
      <c r="C864" s="214"/>
      <c r="D864" s="209" t="str">
        <f>IF(allSellings_table[[#This Row],[Date]]="","",TEXT(allSellings_table[[#This Row],[Date]],"mmmm"))</f>
        <v/>
      </c>
      <c r="E864" s="209"/>
      <c r="F864" s="210"/>
    </row>
    <row r="865" spans="1:6" x14ac:dyDescent="0.3">
      <c r="A865" s="205"/>
      <c r="B865" s="206"/>
      <c r="C865" s="214"/>
      <c r="D865" s="209" t="str">
        <f>IF(allSellings_table[[#This Row],[Date]]="","",TEXT(allSellings_table[[#This Row],[Date]],"mmmm"))</f>
        <v/>
      </c>
      <c r="E865" s="209"/>
      <c r="F865" s="210"/>
    </row>
    <row r="866" spans="1:6" x14ac:dyDescent="0.3">
      <c r="A866" s="205"/>
      <c r="B866" s="206"/>
      <c r="C866" s="214"/>
      <c r="D866" s="209" t="str">
        <f>IF(allSellings_table[[#This Row],[Date]]="","",TEXT(allSellings_table[[#This Row],[Date]],"mmmm"))</f>
        <v/>
      </c>
      <c r="E866" s="209"/>
      <c r="F866" s="210"/>
    </row>
    <row r="867" spans="1:6" x14ac:dyDescent="0.3">
      <c r="A867" s="205"/>
      <c r="B867" s="206"/>
      <c r="C867" s="214"/>
      <c r="D867" s="209" t="str">
        <f>IF(allSellings_table[[#This Row],[Date]]="","",TEXT(allSellings_table[[#This Row],[Date]],"mmmm"))</f>
        <v/>
      </c>
      <c r="E867" s="209"/>
      <c r="F867" s="210"/>
    </row>
    <row r="868" spans="1:6" x14ac:dyDescent="0.3">
      <c r="A868" s="205"/>
      <c r="B868" s="206"/>
      <c r="C868" s="214"/>
      <c r="D868" s="209" t="str">
        <f>IF(allSellings_table[[#This Row],[Date]]="","",TEXT(allSellings_table[[#This Row],[Date]],"mmmm"))</f>
        <v/>
      </c>
      <c r="E868" s="209"/>
      <c r="F868" s="210"/>
    </row>
    <row r="869" spans="1:6" x14ac:dyDescent="0.3">
      <c r="A869" s="205"/>
      <c r="B869" s="206"/>
      <c r="C869" s="214"/>
      <c r="D869" s="209" t="str">
        <f>IF(allSellings_table[[#This Row],[Date]]="","",TEXT(allSellings_table[[#This Row],[Date]],"mmmm"))</f>
        <v/>
      </c>
      <c r="E869" s="209"/>
      <c r="F869" s="210"/>
    </row>
    <row r="870" spans="1:6" x14ac:dyDescent="0.3">
      <c r="A870" s="205"/>
      <c r="B870" s="206"/>
      <c r="C870" s="214"/>
      <c r="D870" s="209" t="str">
        <f>IF(allSellings_table[[#This Row],[Date]]="","",TEXT(allSellings_table[[#This Row],[Date]],"mmmm"))</f>
        <v/>
      </c>
      <c r="E870" s="209"/>
      <c r="F870" s="210"/>
    </row>
    <row r="871" spans="1:6" x14ac:dyDescent="0.3">
      <c r="A871" s="205"/>
      <c r="B871" s="206"/>
      <c r="C871" s="214"/>
      <c r="D871" s="209" t="str">
        <f>IF(allSellings_table[[#This Row],[Date]]="","",TEXT(allSellings_table[[#This Row],[Date]],"mmmm"))</f>
        <v/>
      </c>
      <c r="E871" s="209"/>
      <c r="F871" s="210"/>
    </row>
    <row r="872" spans="1:6" x14ac:dyDescent="0.3">
      <c r="A872" s="205"/>
      <c r="B872" s="206"/>
      <c r="C872" s="214"/>
      <c r="D872" s="209" t="str">
        <f>IF(allSellings_table[[#This Row],[Date]]="","",TEXT(allSellings_table[[#This Row],[Date]],"mmmm"))</f>
        <v/>
      </c>
      <c r="E872" s="209"/>
      <c r="F872" s="210"/>
    </row>
    <row r="873" spans="1:6" x14ac:dyDescent="0.3">
      <c r="A873" s="205"/>
      <c r="B873" s="206"/>
      <c r="C873" s="214"/>
      <c r="D873" s="209" t="str">
        <f>IF(allSellings_table[[#This Row],[Date]]="","",TEXT(allSellings_table[[#This Row],[Date]],"mmmm"))</f>
        <v/>
      </c>
      <c r="E873" s="209"/>
      <c r="F873" s="210"/>
    </row>
    <row r="874" spans="1:6" x14ac:dyDescent="0.3">
      <c r="A874" s="205"/>
      <c r="B874" s="206"/>
      <c r="C874" s="214"/>
      <c r="D874" s="209" t="str">
        <f>IF(allSellings_table[[#This Row],[Date]]="","",TEXT(allSellings_table[[#This Row],[Date]],"mmmm"))</f>
        <v/>
      </c>
      <c r="E874" s="209"/>
      <c r="F874" s="210"/>
    </row>
    <row r="875" spans="1:6" x14ac:dyDescent="0.3">
      <c r="A875" s="205"/>
      <c r="B875" s="206"/>
      <c r="C875" s="214"/>
      <c r="D875" s="209" t="str">
        <f>IF(allSellings_table[[#This Row],[Date]]="","",TEXT(allSellings_table[[#This Row],[Date]],"mmmm"))</f>
        <v/>
      </c>
      <c r="E875" s="209"/>
      <c r="F875" s="210"/>
    </row>
    <row r="876" spans="1:6" x14ac:dyDescent="0.3">
      <c r="A876" s="205"/>
      <c r="B876" s="206"/>
      <c r="C876" s="214"/>
      <c r="D876" s="209" t="str">
        <f>IF(allSellings_table[[#This Row],[Date]]="","",TEXT(allSellings_table[[#This Row],[Date]],"mmmm"))</f>
        <v/>
      </c>
      <c r="E876" s="209"/>
      <c r="F876" s="210"/>
    </row>
    <row r="877" spans="1:6" x14ac:dyDescent="0.3">
      <c r="A877" s="205"/>
      <c r="B877" s="206"/>
      <c r="C877" s="214"/>
      <c r="D877" s="209" t="str">
        <f>IF(allSellings_table[[#This Row],[Date]]="","",TEXT(allSellings_table[[#This Row],[Date]],"mmmm"))</f>
        <v/>
      </c>
      <c r="E877" s="209"/>
      <c r="F877" s="210"/>
    </row>
    <row r="878" spans="1:6" x14ac:dyDescent="0.3">
      <c r="A878" s="205"/>
      <c r="B878" s="206"/>
      <c r="C878" s="214"/>
      <c r="D878" s="209" t="str">
        <f>IF(allSellings_table[[#This Row],[Date]]="","",TEXT(allSellings_table[[#This Row],[Date]],"mmmm"))</f>
        <v/>
      </c>
      <c r="E878" s="209"/>
      <c r="F878" s="210"/>
    </row>
    <row r="879" spans="1:6" x14ac:dyDescent="0.3">
      <c r="A879" s="205"/>
      <c r="B879" s="206"/>
      <c r="C879" s="214"/>
      <c r="D879" s="209" t="str">
        <f>IF(allSellings_table[[#This Row],[Date]]="","",TEXT(allSellings_table[[#This Row],[Date]],"mmmm"))</f>
        <v/>
      </c>
      <c r="E879" s="209"/>
      <c r="F879" s="210"/>
    </row>
    <row r="880" spans="1:6" x14ac:dyDescent="0.3">
      <c r="A880" s="205"/>
      <c r="B880" s="206"/>
      <c r="C880" s="214"/>
      <c r="D880" s="209" t="str">
        <f>IF(allSellings_table[[#This Row],[Date]]="","",TEXT(allSellings_table[[#This Row],[Date]],"mmmm"))</f>
        <v/>
      </c>
      <c r="E880" s="209"/>
      <c r="F880" s="210"/>
    </row>
    <row r="881" spans="1:6" x14ac:dyDescent="0.3">
      <c r="A881" s="205"/>
      <c r="B881" s="206"/>
      <c r="C881" s="214"/>
      <c r="D881" s="209" t="str">
        <f>IF(allSellings_table[[#This Row],[Date]]="","",TEXT(allSellings_table[[#This Row],[Date]],"mmmm"))</f>
        <v/>
      </c>
      <c r="E881" s="209"/>
      <c r="F881" s="210"/>
    </row>
    <row r="882" spans="1:6" x14ac:dyDescent="0.3">
      <c r="A882" s="205"/>
      <c r="B882" s="206"/>
      <c r="C882" s="214"/>
      <c r="D882" s="209" t="str">
        <f>IF(allSellings_table[[#This Row],[Date]]="","",TEXT(allSellings_table[[#This Row],[Date]],"mmmm"))</f>
        <v/>
      </c>
      <c r="E882" s="209"/>
      <c r="F882" s="210"/>
    </row>
    <row r="883" spans="1:6" x14ac:dyDescent="0.3">
      <c r="A883" s="205"/>
      <c r="B883" s="206"/>
      <c r="C883" s="214"/>
      <c r="D883" s="209" t="str">
        <f>IF(allSellings_table[[#This Row],[Date]]="","",TEXT(allSellings_table[[#This Row],[Date]],"mmmm"))</f>
        <v/>
      </c>
      <c r="E883" s="209"/>
      <c r="F883" s="210"/>
    </row>
    <row r="884" spans="1:6" x14ac:dyDescent="0.3">
      <c r="A884" s="205"/>
      <c r="B884" s="206"/>
      <c r="C884" s="214"/>
      <c r="D884" s="209" t="str">
        <f>IF(allSellings_table[[#This Row],[Date]]="","",TEXT(allSellings_table[[#This Row],[Date]],"mmmm"))</f>
        <v/>
      </c>
      <c r="E884" s="209"/>
      <c r="F884" s="210"/>
    </row>
    <row r="885" spans="1:6" x14ac:dyDescent="0.3">
      <c r="A885" s="205"/>
      <c r="B885" s="206"/>
      <c r="C885" s="214"/>
      <c r="D885" s="209" t="str">
        <f>IF(allSellings_table[[#This Row],[Date]]="","",TEXT(allSellings_table[[#This Row],[Date]],"mmmm"))</f>
        <v/>
      </c>
      <c r="E885" s="209"/>
      <c r="F885" s="210"/>
    </row>
    <row r="886" spans="1:6" x14ac:dyDescent="0.3">
      <c r="A886" s="205"/>
      <c r="B886" s="206"/>
      <c r="C886" s="214"/>
      <c r="D886" s="209" t="str">
        <f>IF(allSellings_table[[#This Row],[Date]]="","",TEXT(allSellings_table[[#This Row],[Date]],"mmmm"))</f>
        <v/>
      </c>
      <c r="E886" s="209"/>
      <c r="F886" s="210"/>
    </row>
    <row r="887" spans="1:6" x14ac:dyDescent="0.3">
      <c r="A887" s="205"/>
      <c r="B887" s="206"/>
      <c r="C887" s="214"/>
      <c r="D887" s="209" t="str">
        <f>IF(allSellings_table[[#This Row],[Date]]="","",TEXT(allSellings_table[[#This Row],[Date]],"mmmm"))</f>
        <v/>
      </c>
      <c r="E887" s="209"/>
      <c r="F887" s="210"/>
    </row>
    <row r="888" spans="1:6" x14ac:dyDescent="0.3">
      <c r="A888" s="205"/>
      <c r="B888" s="206"/>
      <c r="C888" s="214"/>
      <c r="D888" s="209" t="str">
        <f>IF(allSellings_table[[#This Row],[Date]]="","",TEXT(allSellings_table[[#This Row],[Date]],"mmmm"))</f>
        <v/>
      </c>
      <c r="E888" s="209"/>
      <c r="F888" s="210"/>
    </row>
    <row r="889" spans="1:6" x14ac:dyDescent="0.3">
      <c r="A889" s="205"/>
      <c r="B889" s="206"/>
      <c r="C889" s="214"/>
      <c r="D889" s="209" t="str">
        <f>IF(allSellings_table[[#This Row],[Date]]="","",TEXT(allSellings_table[[#This Row],[Date]],"mmmm"))</f>
        <v/>
      </c>
      <c r="E889" s="209"/>
      <c r="F889" s="210"/>
    </row>
    <row r="890" spans="1:6" x14ac:dyDescent="0.3">
      <c r="A890" s="205"/>
      <c r="B890" s="206"/>
      <c r="C890" s="214"/>
      <c r="D890" s="209" t="str">
        <f>IF(allSellings_table[[#This Row],[Date]]="","",TEXT(allSellings_table[[#This Row],[Date]],"mmmm"))</f>
        <v/>
      </c>
      <c r="E890" s="209"/>
      <c r="F890" s="210"/>
    </row>
    <row r="891" spans="1:6" x14ac:dyDescent="0.3">
      <c r="A891" s="205"/>
      <c r="B891" s="206"/>
      <c r="C891" s="214"/>
      <c r="D891" s="209" t="str">
        <f>IF(allSellings_table[[#This Row],[Date]]="","",TEXT(allSellings_table[[#This Row],[Date]],"mmmm"))</f>
        <v/>
      </c>
      <c r="E891" s="209"/>
      <c r="F891" s="210"/>
    </row>
    <row r="892" spans="1:6" x14ac:dyDescent="0.3">
      <c r="A892" s="205"/>
      <c r="B892" s="206"/>
      <c r="C892" s="214"/>
      <c r="D892" s="209" t="str">
        <f>IF(allSellings_table[[#This Row],[Date]]="","",TEXT(allSellings_table[[#This Row],[Date]],"mmmm"))</f>
        <v/>
      </c>
      <c r="E892" s="209"/>
      <c r="F892" s="210"/>
    </row>
    <row r="893" spans="1:6" x14ac:dyDescent="0.3">
      <c r="A893" s="205"/>
      <c r="B893" s="206"/>
      <c r="C893" s="214"/>
      <c r="D893" s="209" t="str">
        <f>IF(allSellings_table[[#This Row],[Date]]="","",TEXT(allSellings_table[[#This Row],[Date]],"mmmm"))</f>
        <v/>
      </c>
      <c r="E893" s="209"/>
      <c r="F893" s="210"/>
    </row>
    <row r="894" spans="1:6" x14ac:dyDescent="0.3">
      <c r="A894" s="205"/>
      <c r="B894" s="206"/>
      <c r="C894" s="214"/>
      <c r="D894" s="209" t="str">
        <f>IF(allSellings_table[[#This Row],[Date]]="","",TEXT(allSellings_table[[#This Row],[Date]],"mmmm"))</f>
        <v/>
      </c>
      <c r="E894" s="209"/>
      <c r="F894" s="210"/>
    </row>
    <row r="895" spans="1:6" x14ac:dyDescent="0.3">
      <c r="A895" s="205"/>
      <c r="B895" s="206"/>
      <c r="C895" s="214"/>
      <c r="D895" s="209" t="str">
        <f>IF(allSellings_table[[#This Row],[Date]]="","",TEXT(allSellings_table[[#This Row],[Date]],"mmmm"))</f>
        <v/>
      </c>
      <c r="E895" s="209"/>
      <c r="F895" s="210"/>
    </row>
    <row r="896" spans="1:6" x14ac:dyDescent="0.3">
      <c r="A896" s="205"/>
      <c r="B896" s="206"/>
      <c r="C896" s="214"/>
      <c r="D896" s="209" t="str">
        <f>IF(allSellings_table[[#This Row],[Date]]="","",TEXT(allSellings_table[[#This Row],[Date]],"mmmm"))</f>
        <v/>
      </c>
      <c r="E896" s="209"/>
      <c r="F896" s="210"/>
    </row>
    <row r="897" spans="1:6" x14ac:dyDescent="0.3">
      <c r="A897" s="205"/>
      <c r="B897" s="206"/>
      <c r="C897" s="214"/>
      <c r="D897" s="209" t="str">
        <f>IF(allSellings_table[[#This Row],[Date]]="","",TEXT(allSellings_table[[#This Row],[Date]],"mmmm"))</f>
        <v/>
      </c>
      <c r="E897" s="209"/>
      <c r="F897" s="210"/>
    </row>
    <row r="898" spans="1:6" x14ac:dyDescent="0.3">
      <c r="A898" s="205"/>
      <c r="B898" s="206"/>
      <c r="C898" s="214"/>
      <c r="D898" s="209" t="str">
        <f>IF(allSellings_table[[#This Row],[Date]]="","",TEXT(allSellings_table[[#This Row],[Date]],"mmmm"))</f>
        <v/>
      </c>
      <c r="E898" s="209"/>
      <c r="F898" s="210"/>
    </row>
    <row r="899" spans="1:6" x14ac:dyDescent="0.3">
      <c r="A899" s="205"/>
      <c r="B899" s="206"/>
      <c r="C899" s="214"/>
      <c r="D899" s="209" t="str">
        <f>IF(allSellings_table[[#This Row],[Date]]="","",TEXT(allSellings_table[[#This Row],[Date]],"mmmm"))</f>
        <v/>
      </c>
      <c r="E899" s="209"/>
      <c r="F899" s="210"/>
    </row>
    <row r="900" spans="1:6" x14ac:dyDescent="0.3">
      <c r="A900" s="205"/>
      <c r="B900" s="206"/>
      <c r="C900" s="214"/>
      <c r="D900" s="209" t="str">
        <f>IF(allSellings_table[[#This Row],[Date]]="","",TEXT(allSellings_table[[#This Row],[Date]],"mmmm"))</f>
        <v/>
      </c>
      <c r="E900" s="209"/>
      <c r="F900" s="210"/>
    </row>
    <row r="901" spans="1:6" x14ac:dyDescent="0.3">
      <c r="A901" s="205"/>
      <c r="B901" s="206"/>
      <c r="C901" s="214"/>
      <c r="D901" s="209" t="str">
        <f>IF(allSellings_table[[#This Row],[Date]]="","",TEXT(allSellings_table[[#This Row],[Date]],"mmmm"))</f>
        <v/>
      </c>
      <c r="E901" s="209"/>
      <c r="F901" s="210"/>
    </row>
    <row r="902" spans="1:6" x14ac:dyDescent="0.3">
      <c r="A902" s="205"/>
      <c r="B902" s="206"/>
      <c r="C902" s="214"/>
      <c r="D902" s="209" t="str">
        <f>IF(allSellings_table[[#This Row],[Date]]="","",TEXT(allSellings_table[[#This Row],[Date]],"mmmm"))</f>
        <v/>
      </c>
      <c r="E902" s="209"/>
      <c r="F902" s="210"/>
    </row>
    <row r="903" spans="1:6" x14ac:dyDescent="0.3">
      <c r="A903" s="205"/>
      <c r="B903" s="206"/>
      <c r="C903" s="214"/>
      <c r="D903" s="209" t="str">
        <f>IF(allSellings_table[[#This Row],[Date]]="","",TEXT(allSellings_table[[#This Row],[Date]],"mmmm"))</f>
        <v/>
      </c>
      <c r="E903" s="209"/>
      <c r="F903" s="210"/>
    </row>
    <row r="904" spans="1:6" x14ac:dyDescent="0.3">
      <c r="A904" s="205"/>
      <c r="B904" s="206"/>
      <c r="C904" s="214"/>
      <c r="D904" s="209" t="str">
        <f>IF(allSellings_table[[#This Row],[Date]]="","",TEXT(allSellings_table[[#This Row],[Date]],"mmmm"))</f>
        <v/>
      </c>
      <c r="E904" s="209"/>
      <c r="F904" s="210"/>
    </row>
    <row r="905" spans="1:6" x14ac:dyDescent="0.3">
      <c r="A905" s="205"/>
      <c r="B905" s="206"/>
      <c r="C905" s="214"/>
      <c r="D905" s="209" t="str">
        <f>IF(allSellings_table[[#This Row],[Date]]="","",TEXT(allSellings_table[[#This Row],[Date]],"mmmm"))</f>
        <v/>
      </c>
      <c r="E905" s="209"/>
      <c r="F905" s="210"/>
    </row>
    <row r="906" spans="1:6" x14ac:dyDescent="0.3">
      <c r="A906" s="205"/>
      <c r="B906" s="206"/>
      <c r="C906" s="214"/>
      <c r="D906" s="209" t="str">
        <f>IF(allSellings_table[[#This Row],[Date]]="","",TEXT(allSellings_table[[#This Row],[Date]],"mmmm"))</f>
        <v/>
      </c>
      <c r="E906" s="209"/>
      <c r="F906" s="210"/>
    </row>
    <row r="907" spans="1:6" x14ac:dyDescent="0.3">
      <c r="A907" s="205"/>
      <c r="B907" s="206"/>
      <c r="C907" s="214"/>
      <c r="D907" s="209" t="str">
        <f>IF(allSellings_table[[#This Row],[Date]]="","",TEXT(allSellings_table[[#This Row],[Date]],"mmmm"))</f>
        <v/>
      </c>
      <c r="E907" s="209"/>
      <c r="F907" s="210"/>
    </row>
    <row r="908" spans="1:6" x14ac:dyDescent="0.3">
      <c r="A908" s="205"/>
      <c r="B908" s="206"/>
      <c r="C908" s="214"/>
      <c r="D908" s="209" t="str">
        <f>IF(allSellings_table[[#This Row],[Date]]="","",TEXT(allSellings_table[[#This Row],[Date]],"mmmm"))</f>
        <v/>
      </c>
      <c r="E908" s="209"/>
      <c r="F908" s="210"/>
    </row>
    <row r="909" spans="1:6" x14ac:dyDescent="0.3">
      <c r="A909" s="205"/>
      <c r="B909" s="206"/>
      <c r="C909" s="214"/>
      <c r="D909" s="209" t="str">
        <f>IF(allSellings_table[[#This Row],[Date]]="","",TEXT(allSellings_table[[#This Row],[Date]],"mmmm"))</f>
        <v/>
      </c>
      <c r="E909" s="209"/>
      <c r="F909" s="210"/>
    </row>
    <row r="910" spans="1:6" x14ac:dyDescent="0.3">
      <c r="A910" s="205"/>
      <c r="B910" s="206"/>
      <c r="C910" s="214"/>
      <c r="D910" s="209" t="str">
        <f>IF(allSellings_table[[#This Row],[Date]]="","",TEXT(allSellings_table[[#This Row],[Date]],"mmmm"))</f>
        <v/>
      </c>
      <c r="E910" s="209"/>
      <c r="F910" s="210"/>
    </row>
    <row r="911" spans="1:6" x14ac:dyDescent="0.3">
      <c r="A911" s="205"/>
      <c r="B911" s="206"/>
      <c r="C911" s="214"/>
      <c r="D911" s="209" t="str">
        <f>IF(allSellings_table[[#This Row],[Date]]="","",TEXT(allSellings_table[[#This Row],[Date]],"mmmm"))</f>
        <v/>
      </c>
      <c r="E911" s="209"/>
      <c r="F911" s="210"/>
    </row>
    <row r="912" spans="1:6" x14ac:dyDescent="0.3">
      <c r="A912" s="205"/>
      <c r="B912" s="206"/>
      <c r="C912" s="214"/>
      <c r="D912" s="209" t="str">
        <f>IF(allSellings_table[[#This Row],[Date]]="","",TEXT(allSellings_table[[#This Row],[Date]],"mmmm"))</f>
        <v/>
      </c>
      <c r="E912" s="209"/>
      <c r="F912" s="210"/>
    </row>
    <row r="913" spans="1:6" x14ac:dyDescent="0.3">
      <c r="A913" s="205"/>
      <c r="B913" s="206"/>
      <c r="C913" s="214"/>
      <c r="D913" s="209" t="str">
        <f>IF(allSellings_table[[#This Row],[Date]]="","",TEXT(allSellings_table[[#This Row],[Date]],"mmmm"))</f>
        <v/>
      </c>
      <c r="E913" s="209"/>
      <c r="F913" s="210"/>
    </row>
    <row r="914" spans="1:6" x14ac:dyDescent="0.3">
      <c r="A914" s="205"/>
      <c r="B914" s="206"/>
      <c r="C914" s="214"/>
      <c r="D914" s="209" t="str">
        <f>IF(allSellings_table[[#This Row],[Date]]="","",TEXT(allSellings_table[[#This Row],[Date]],"mmmm"))</f>
        <v/>
      </c>
      <c r="E914" s="209"/>
      <c r="F914" s="210"/>
    </row>
    <row r="915" spans="1:6" x14ac:dyDescent="0.3">
      <c r="A915" s="205"/>
      <c r="B915" s="206"/>
      <c r="C915" s="214"/>
      <c r="D915" s="209" t="str">
        <f>IF(allSellings_table[[#This Row],[Date]]="","",TEXT(allSellings_table[[#This Row],[Date]],"mmmm"))</f>
        <v/>
      </c>
      <c r="E915" s="209"/>
      <c r="F915" s="210"/>
    </row>
    <row r="916" spans="1:6" x14ac:dyDescent="0.3">
      <c r="A916" s="205"/>
      <c r="B916" s="206"/>
      <c r="C916" s="214"/>
      <c r="D916" s="209" t="str">
        <f>IF(allSellings_table[[#This Row],[Date]]="","",TEXT(allSellings_table[[#This Row],[Date]],"mmmm"))</f>
        <v/>
      </c>
      <c r="E916" s="209"/>
      <c r="F916" s="210"/>
    </row>
    <row r="917" spans="1:6" x14ac:dyDescent="0.3">
      <c r="A917" s="205"/>
      <c r="B917" s="206"/>
      <c r="C917" s="214"/>
      <c r="D917" s="209" t="str">
        <f>IF(allSellings_table[[#This Row],[Date]]="","",TEXT(allSellings_table[[#This Row],[Date]],"mmmm"))</f>
        <v/>
      </c>
      <c r="E917" s="209"/>
      <c r="F917" s="210"/>
    </row>
    <row r="918" spans="1:6" x14ac:dyDescent="0.3">
      <c r="A918" s="205"/>
      <c r="B918" s="206"/>
      <c r="C918" s="214"/>
      <c r="D918" s="209" t="str">
        <f>IF(allSellings_table[[#This Row],[Date]]="","",TEXT(allSellings_table[[#This Row],[Date]],"mmmm"))</f>
        <v/>
      </c>
      <c r="E918" s="209"/>
      <c r="F918" s="210"/>
    </row>
    <row r="919" spans="1:6" x14ac:dyDescent="0.3">
      <c r="A919" s="205"/>
      <c r="B919" s="206"/>
      <c r="C919" s="214"/>
      <c r="D919" s="209" t="str">
        <f>IF(allSellings_table[[#This Row],[Date]]="","",TEXT(allSellings_table[[#This Row],[Date]],"mmmm"))</f>
        <v/>
      </c>
      <c r="E919" s="209"/>
      <c r="F919" s="210"/>
    </row>
    <row r="920" spans="1:6" x14ac:dyDescent="0.3">
      <c r="A920" s="205"/>
      <c r="B920" s="206"/>
      <c r="C920" s="214"/>
      <c r="D920" s="209" t="str">
        <f>IF(allSellings_table[[#This Row],[Date]]="","",TEXT(allSellings_table[[#This Row],[Date]],"mmmm"))</f>
        <v/>
      </c>
      <c r="E920" s="209"/>
      <c r="F920" s="210"/>
    </row>
    <row r="921" spans="1:6" x14ac:dyDescent="0.3">
      <c r="A921" s="205"/>
      <c r="B921" s="206"/>
      <c r="C921" s="214"/>
      <c r="D921" s="209" t="str">
        <f>IF(allSellings_table[[#This Row],[Date]]="","",TEXT(allSellings_table[[#This Row],[Date]],"mmmm"))</f>
        <v/>
      </c>
      <c r="E921" s="209"/>
      <c r="F921" s="210"/>
    </row>
    <row r="922" spans="1:6" x14ac:dyDescent="0.3">
      <c r="A922" s="205"/>
      <c r="B922" s="206"/>
      <c r="C922" s="214"/>
      <c r="D922" s="209" t="str">
        <f>IF(allSellings_table[[#This Row],[Date]]="","",TEXT(allSellings_table[[#This Row],[Date]],"mmmm"))</f>
        <v/>
      </c>
      <c r="E922" s="209"/>
      <c r="F922" s="210"/>
    </row>
    <row r="923" spans="1:6" x14ac:dyDescent="0.3">
      <c r="A923" s="205"/>
      <c r="B923" s="206"/>
      <c r="C923" s="214"/>
      <c r="D923" s="209" t="str">
        <f>IF(allSellings_table[[#This Row],[Date]]="","",TEXT(allSellings_table[[#This Row],[Date]],"mmmm"))</f>
        <v/>
      </c>
      <c r="E923" s="209"/>
      <c r="F923" s="210"/>
    </row>
    <row r="924" spans="1:6" x14ac:dyDescent="0.3">
      <c r="A924" s="205"/>
      <c r="B924" s="206"/>
      <c r="C924" s="214"/>
      <c r="D924" s="209" t="str">
        <f>IF(allSellings_table[[#This Row],[Date]]="","",TEXT(allSellings_table[[#This Row],[Date]],"mmmm"))</f>
        <v/>
      </c>
      <c r="E924" s="209"/>
      <c r="F924" s="210"/>
    </row>
    <row r="925" spans="1:6" x14ac:dyDescent="0.3">
      <c r="A925" s="205"/>
      <c r="B925" s="206"/>
      <c r="C925" s="214"/>
      <c r="D925" s="209" t="str">
        <f>IF(allSellings_table[[#This Row],[Date]]="","",TEXT(allSellings_table[[#This Row],[Date]],"mmmm"))</f>
        <v/>
      </c>
      <c r="E925" s="209"/>
      <c r="F925" s="210"/>
    </row>
    <row r="926" spans="1:6" x14ac:dyDescent="0.3">
      <c r="A926" s="205"/>
      <c r="B926" s="206"/>
      <c r="C926" s="214"/>
      <c r="D926" s="209" t="str">
        <f>IF(allSellings_table[[#This Row],[Date]]="","",TEXT(allSellings_table[[#This Row],[Date]],"mmmm"))</f>
        <v/>
      </c>
      <c r="E926" s="209"/>
      <c r="F926" s="210"/>
    </row>
    <row r="927" spans="1:6" x14ac:dyDescent="0.3">
      <c r="A927" s="205"/>
      <c r="B927" s="206"/>
      <c r="C927" s="214"/>
      <c r="D927" s="209" t="str">
        <f>IF(allSellings_table[[#This Row],[Date]]="","",TEXT(allSellings_table[[#This Row],[Date]],"mmmm"))</f>
        <v/>
      </c>
      <c r="E927" s="209"/>
      <c r="F927" s="210"/>
    </row>
    <row r="928" spans="1:6" x14ac:dyDescent="0.3">
      <c r="A928" s="205"/>
      <c r="B928" s="206"/>
      <c r="C928" s="214"/>
      <c r="D928" s="209" t="str">
        <f>IF(allSellings_table[[#This Row],[Date]]="","",TEXT(allSellings_table[[#This Row],[Date]],"mmmm"))</f>
        <v/>
      </c>
      <c r="E928" s="209"/>
      <c r="F928" s="210"/>
    </row>
    <row r="929" spans="1:6" x14ac:dyDescent="0.3">
      <c r="A929" s="205"/>
      <c r="B929" s="206"/>
      <c r="C929" s="214"/>
      <c r="D929" s="209" t="str">
        <f>IF(allSellings_table[[#This Row],[Date]]="","",TEXT(allSellings_table[[#This Row],[Date]],"mmmm"))</f>
        <v/>
      </c>
      <c r="E929" s="209"/>
      <c r="F929" s="210"/>
    </row>
    <row r="930" spans="1:6" x14ac:dyDescent="0.3">
      <c r="A930" s="205"/>
      <c r="B930" s="206"/>
      <c r="C930" s="214"/>
      <c r="D930" s="209" t="str">
        <f>IF(allSellings_table[[#This Row],[Date]]="","",TEXT(allSellings_table[[#This Row],[Date]],"mmmm"))</f>
        <v/>
      </c>
      <c r="E930" s="209"/>
      <c r="F930" s="210"/>
    </row>
    <row r="931" spans="1:6" x14ac:dyDescent="0.3">
      <c r="A931" s="205"/>
      <c r="B931" s="206"/>
      <c r="C931" s="214"/>
      <c r="D931" s="209" t="str">
        <f>IF(allSellings_table[[#This Row],[Date]]="","",TEXT(allSellings_table[[#This Row],[Date]],"mmmm"))</f>
        <v/>
      </c>
      <c r="E931" s="209"/>
      <c r="F931" s="210"/>
    </row>
    <row r="932" spans="1:6" x14ac:dyDescent="0.3">
      <c r="A932" s="205"/>
      <c r="B932" s="206"/>
      <c r="C932" s="214"/>
      <c r="D932" s="209" t="str">
        <f>IF(allSellings_table[[#This Row],[Date]]="","",TEXT(allSellings_table[[#This Row],[Date]],"mmmm"))</f>
        <v/>
      </c>
      <c r="E932" s="209"/>
      <c r="F932" s="210"/>
    </row>
    <row r="933" spans="1:6" x14ac:dyDescent="0.3">
      <c r="A933" s="205"/>
      <c r="B933" s="206"/>
      <c r="C933" s="214"/>
      <c r="D933" s="209" t="str">
        <f>IF(allSellings_table[[#This Row],[Date]]="","",TEXT(allSellings_table[[#This Row],[Date]],"mmmm"))</f>
        <v/>
      </c>
      <c r="E933" s="209"/>
      <c r="F933" s="210"/>
    </row>
    <row r="934" spans="1:6" x14ac:dyDescent="0.3">
      <c r="A934" s="205"/>
      <c r="B934" s="206"/>
      <c r="C934" s="214"/>
      <c r="D934" s="209" t="str">
        <f>IF(allSellings_table[[#This Row],[Date]]="","",TEXT(allSellings_table[[#This Row],[Date]],"mmmm"))</f>
        <v/>
      </c>
      <c r="E934" s="209"/>
      <c r="F934" s="210"/>
    </row>
    <row r="935" spans="1:6" x14ac:dyDescent="0.3">
      <c r="A935" s="205"/>
      <c r="B935" s="206"/>
      <c r="C935" s="214"/>
      <c r="D935" s="209" t="str">
        <f>IF(allSellings_table[[#This Row],[Date]]="","",TEXT(allSellings_table[[#This Row],[Date]],"mmmm"))</f>
        <v/>
      </c>
      <c r="E935" s="209"/>
      <c r="F935" s="210"/>
    </row>
    <row r="936" spans="1:6" x14ac:dyDescent="0.3">
      <c r="A936" s="205"/>
      <c r="B936" s="206"/>
      <c r="C936" s="214"/>
      <c r="D936" s="209" t="str">
        <f>IF(allSellings_table[[#This Row],[Date]]="","",TEXT(allSellings_table[[#This Row],[Date]],"mmmm"))</f>
        <v/>
      </c>
      <c r="E936" s="209"/>
      <c r="F936" s="210"/>
    </row>
    <row r="937" spans="1:6" x14ac:dyDescent="0.3">
      <c r="A937" s="205"/>
      <c r="B937" s="206"/>
      <c r="C937" s="214"/>
      <c r="D937" s="209" t="str">
        <f>IF(allSellings_table[[#This Row],[Date]]="","",TEXT(allSellings_table[[#This Row],[Date]],"mmmm"))</f>
        <v/>
      </c>
      <c r="E937" s="209"/>
      <c r="F937" s="210"/>
    </row>
    <row r="938" spans="1:6" x14ac:dyDescent="0.3">
      <c r="A938" s="205"/>
      <c r="B938" s="206"/>
      <c r="C938" s="214"/>
      <c r="D938" s="209" t="str">
        <f>IF(allSellings_table[[#This Row],[Date]]="","",TEXT(allSellings_table[[#This Row],[Date]],"mmmm"))</f>
        <v/>
      </c>
      <c r="E938" s="209"/>
      <c r="F938" s="210"/>
    </row>
    <row r="939" spans="1:6" x14ac:dyDescent="0.3">
      <c r="A939" s="205"/>
      <c r="B939" s="206"/>
      <c r="C939" s="214"/>
      <c r="D939" s="209" t="str">
        <f>IF(allSellings_table[[#This Row],[Date]]="","",TEXT(allSellings_table[[#This Row],[Date]],"mmmm"))</f>
        <v/>
      </c>
      <c r="E939" s="209"/>
      <c r="F939" s="210"/>
    </row>
    <row r="940" spans="1:6" x14ac:dyDescent="0.3">
      <c r="A940" s="205"/>
      <c r="B940" s="206"/>
      <c r="C940" s="214"/>
      <c r="D940" s="209" t="str">
        <f>IF(allSellings_table[[#This Row],[Date]]="","",TEXT(allSellings_table[[#This Row],[Date]],"mmmm"))</f>
        <v/>
      </c>
      <c r="E940" s="209"/>
      <c r="F940" s="210"/>
    </row>
    <row r="941" spans="1:6" x14ac:dyDescent="0.3">
      <c r="A941" s="205"/>
      <c r="B941" s="206"/>
      <c r="C941" s="214"/>
      <c r="D941" s="209" t="str">
        <f>IF(allSellings_table[[#This Row],[Date]]="","",TEXT(allSellings_table[[#This Row],[Date]],"mmmm"))</f>
        <v/>
      </c>
      <c r="E941" s="209"/>
      <c r="F941" s="210"/>
    </row>
    <row r="942" spans="1:6" x14ac:dyDescent="0.3">
      <c r="A942" s="205"/>
      <c r="B942" s="206"/>
      <c r="C942" s="214"/>
      <c r="D942" s="209" t="str">
        <f>IF(allSellings_table[[#This Row],[Date]]="","",TEXT(allSellings_table[[#This Row],[Date]],"mmmm"))</f>
        <v/>
      </c>
      <c r="E942" s="209"/>
      <c r="F942" s="210"/>
    </row>
    <row r="943" spans="1:6" x14ac:dyDescent="0.3">
      <c r="A943" s="205"/>
      <c r="B943" s="206"/>
      <c r="C943" s="214"/>
      <c r="D943" s="209" t="str">
        <f>IF(allSellings_table[[#This Row],[Date]]="","",TEXT(allSellings_table[[#This Row],[Date]],"mmmm"))</f>
        <v/>
      </c>
      <c r="E943" s="209"/>
      <c r="F943" s="210"/>
    </row>
    <row r="944" spans="1:6" x14ac:dyDescent="0.3">
      <c r="A944" s="205"/>
      <c r="B944" s="206"/>
      <c r="C944" s="214"/>
      <c r="D944" s="209" t="str">
        <f>IF(allSellings_table[[#This Row],[Date]]="","",TEXT(allSellings_table[[#This Row],[Date]],"mmmm"))</f>
        <v/>
      </c>
      <c r="E944" s="209"/>
      <c r="F944" s="210"/>
    </row>
    <row r="945" spans="1:6" x14ac:dyDescent="0.3">
      <c r="A945" s="205"/>
      <c r="B945" s="206"/>
      <c r="C945" s="214"/>
      <c r="D945" s="209" t="str">
        <f>IF(allSellings_table[[#This Row],[Date]]="","",TEXT(allSellings_table[[#This Row],[Date]],"mmmm"))</f>
        <v/>
      </c>
      <c r="E945" s="209"/>
      <c r="F945" s="210"/>
    </row>
    <row r="946" spans="1:6" x14ac:dyDescent="0.3">
      <c r="A946" s="205"/>
      <c r="B946" s="206"/>
      <c r="C946" s="214"/>
      <c r="D946" s="209" t="str">
        <f>IF(allSellings_table[[#This Row],[Date]]="","",TEXT(allSellings_table[[#This Row],[Date]],"mmmm"))</f>
        <v/>
      </c>
      <c r="E946" s="209"/>
      <c r="F946" s="210"/>
    </row>
    <row r="947" spans="1:6" x14ac:dyDescent="0.3">
      <c r="A947" s="205"/>
      <c r="B947" s="206"/>
      <c r="C947" s="214"/>
      <c r="D947" s="209" t="str">
        <f>IF(allSellings_table[[#This Row],[Date]]="","",TEXT(allSellings_table[[#This Row],[Date]],"mmmm"))</f>
        <v/>
      </c>
      <c r="E947" s="209"/>
      <c r="F947" s="210"/>
    </row>
    <row r="948" spans="1:6" x14ac:dyDescent="0.3">
      <c r="A948" s="205"/>
      <c r="B948" s="206"/>
      <c r="C948" s="214"/>
      <c r="D948" s="209" t="str">
        <f>IF(allSellings_table[[#This Row],[Date]]="","",TEXT(allSellings_table[[#This Row],[Date]],"mmmm"))</f>
        <v/>
      </c>
      <c r="E948" s="209"/>
      <c r="F948" s="210"/>
    </row>
    <row r="949" spans="1:6" x14ac:dyDescent="0.3">
      <c r="A949" s="205"/>
      <c r="B949" s="206"/>
      <c r="C949" s="214"/>
      <c r="D949" s="209" t="str">
        <f>IF(allSellings_table[[#This Row],[Date]]="","",TEXT(allSellings_table[[#This Row],[Date]],"mmmm"))</f>
        <v/>
      </c>
      <c r="E949" s="209"/>
      <c r="F949" s="210"/>
    </row>
    <row r="950" spans="1:6" x14ac:dyDescent="0.3">
      <c r="A950" s="205"/>
      <c r="B950" s="206"/>
      <c r="C950" s="214"/>
      <c r="D950" s="209" t="str">
        <f>IF(allSellings_table[[#This Row],[Date]]="","",TEXT(allSellings_table[[#This Row],[Date]],"mmmm"))</f>
        <v/>
      </c>
      <c r="E950" s="209"/>
      <c r="F950" s="210"/>
    </row>
    <row r="951" spans="1:6" x14ac:dyDescent="0.3">
      <c r="A951" s="205"/>
      <c r="B951" s="206"/>
      <c r="C951" s="214"/>
      <c r="D951" s="209" t="str">
        <f>IF(allSellings_table[[#This Row],[Date]]="","",TEXT(allSellings_table[[#This Row],[Date]],"mmmm"))</f>
        <v/>
      </c>
      <c r="E951" s="209"/>
      <c r="F951" s="210"/>
    </row>
    <row r="952" spans="1:6" x14ac:dyDescent="0.3">
      <c r="A952" s="205"/>
      <c r="B952" s="206"/>
      <c r="C952" s="214"/>
      <c r="D952" s="209" t="str">
        <f>IF(allSellings_table[[#This Row],[Date]]="","",TEXT(allSellings_table[[#This Row],[Date]],"mmmm"))</f>
        <v/>
      </c>
      <c r="E952" s="209"/>
      <c r="F952" s="210"/>
    </row>
    <row r="953" spans="1:6" x14ac:dyDescent="0.3">
      <c r="A953" s="205"/>
      <c r="B953" s="206"/>
      <c r="C953" s="214"/>
      <c r="D953" s="209" t="str">
        <f>IF(allSellings_table[[#This Row],[Date]]="","",TEXT(allSellings_table[[#This Row],[Date]],"mmmm"))</f>
        <v/>
      </c>
      <c r="E953" s="209"/>
      <c r="F953" s="210"/>
    </row>
    <row r="954" spans="1:6" x14ac:dyDescent="0.3">
      <c r="A954" s="205"/>
      <c r="B954" s="206"/>
      <c r="C954" s="214"/>
      <c r="D954" s="209" t="str">
        <f>IF(allSellings_table[[#This Row],[Date]]="","",TEXT(allSellings_table[[#This Row],[Date]],"mmmm"))</f>
        <v/>
      </c>
      <c r="E954" s="209"/>
      <c r="F954" s="210"/>
    </row>
    <row r="955" spans="1:6" x14ac:dyDescent="0.3">
      <c r="A955" s="205"/>
      <c r="B955" s="206"/>
      <c r="C955" s="214"/>
      <c r="D955" s="209" t="str">
        <f>IF(allSellings_table[[#This Row],[Date]]="","",TEXT(allSellings_table[[#This Row],[Date]],"mmmm"))</f>
        <v/>
      </c>
      <c r="E955" s="209"/>
      <c r="F955" s="210"/>
    </row>
    <row r="956" spans="1:6" x14ac:dyDescent="0.3">
      <c r="A956" s="205"/>
      <c r="B956" s="206"/>
      <c r="C956" s="214"/>
      <c r="D956" s="209" t="str">
        <f>IF(allSellings_table[[#This Row],[Date]]="","",TEXT(allSellings_table[[#This Row],[Date]],"mmmm"))</f>
        <v/>
      </c>
      <c r="E956" s="209"/>
      <c r="F956" s="210"/>
    </row>
    <row r="957" spans="1:6" x14ac:dyDescent="0.3">
      <c r="A957" s="205"/>
      <c r="B957" s="206"/>
      <c r="C957" s="214"/>
      <c r="D957" s="209" t="str">
        <f>IF(allSellings_table[[#This Row],[Date]]="","",TEXT(allSellings_table[[#This Row],[Date]],"mmmm"))</f>
        <v/>
      </c>
      <c r="E957" s="209"/>
      <c r="F957" s="210"/>
    </row>
    <row r="958" spans="1:6" x14ac:dyDescent="0.3">
      <c r="A958" s="205"/>
      <c r="B958" s="206"/>
      <c r="C958" s="214"/>
      <c r="D958" s="209" t="str">
        <f>IF(allSellings_table[[#This Row],[Date]]="","",TEXT(allSellings_table[[#This Row],[Date]],"mmmm"))</f>
        <v/>
      </c>
      <c r="E958" s="209"/>
      <c r="F958" s="210"/>
    </row>
    <row r="959" spans="1:6" x14ac:dyDescent="0.3">
      <c r="A959" s="205"/>
      <c r="B959" s="206"/>
      <c r="C959" s="214"/>
      <c r="D959" s="209" t="str">
        <f>IF(allSellings_table[[#This Row],[Date]]="","",TEXT(allSellings_table[[#This Row],[Date]],"mmmm"))</f>
        <v/>
      </c>
      <c r="E959" s="209"/>
      <c r="F959" s="210"/>
    </row>
    <row r="960" spans="1:6" x14ac:dyDescent="0.3">
      <c r="A960" s="205"/>
      <c r="B960" s="206"/>
      <c r="C960" s="214"/>
      <c r="D960" s="209" t="str">
        <f>IF(allSellings_table[[#This Row],[Date]]="","",TEXT(allSellings_table[[#This Row],[Date]],"mmmm"))</f>
        <v/>
      </c>
      <c r="E960" s="209"/>
      <c r="F960" s="210"/>
    </row>
    <row r="961" spans="1:6" x14ac:dyDescent="0.3">
      <c r="A961" s="205"/>
      <c r="B961" s="206"/>
      <c r="C961" s="214"/>
      <c r="D961" s="209" t="str">
        <f>IF(allSellings_table[[#This Row],[Date]]="","",TEXT(allSellings_table[[#This Row],[Date]],"mmmm"))</f>
        <v/>
      </c>
      <c r="E961" s="209"/>
      <c r="F961" s="210"/>
    </row>
    <row r="962" spans="1:6" x14ac:dyDescent="0.3">
      <c r="A962" s="205"/>
      <c r="B962" s="206"/>
      <c r="C962" s="214"/>
      <c r="D962" s="209" t="str">
        <f>IF(allSellings_table[[#This Row],[Date]]="","",TEXT(allSellings_table[[#This Row],[Date]],"mmmm"))</f>
        <v/>
      </c>
      <c r="E962" s="209"/>
      <c r="F962" s="210"/>
    </row>
    <row r="963" spans="1:6" x14ac:dyDescent="0.3">
      <c r="A963" s="205"/>
      <c r="B963" s="206"/>
      <c r="C963" s="214"/>
      <c r="D963" s="209" t="str">
        <f>IF(allSellings_table[[#This Row],[Date]]="","",TEXT(allSellings_table[[#This Row],[Date]],"mmmm"))</f>
        <v/>
      </c>
      <c r="E963" s="209"/>
      <c r="F963" s="210"/>
    </row>
    <row r="964" spans="1:6" x14ac:dyDescent="0.3">
      <c r="A964" s="205"/>
      <c r="B964" s="206"/>
      <c r="C964" s="214"/>
      <c r="D964" s="209" t="str">
        <f>IF(allSellings_table[[#This Row],[Date]]="","",TEXT(allSellings_table[[#This Row],[Date]],"mmmm"))</f>
        <v/>
      </c>
      <c r="E964" s="209"/>
      <c r="F964" s="210"/>
    </row>
    <row r="965" spans="1:6" x14ac:dyDescent="0.3">
      <c r="A965" s="205"/>
      <c r="B965" s="206"/>
      <c r="C965" s="214"/>
      <c r="D965" s="209" t="str">
        <f>IF(allSellings_table[[#This Row],[Date]]="","",TEXT(allSellings_table[[#This Row],[Date]],"mmmm"))</f>
        <v/>
      </c>
      <c r="E965" s="209"/>
      <c r="F965" s="210"/>
    </row>
    <row r="966" spans="1:6" x14ac:dyDescent="0.3">
      <c r="A966" s="205"/>
      <c r="B966" s="206"/>
      <c r="C966" s="214"/>
      <c r="D966" s="209" t="str">
        <f>IF(allSellings_table[[#This Row],[Date]]="","",TEXT(allSellings_table[[#This Row],[Date]],"mmmm"))</f>
        <v/>
      </c>
      <c r="E966" s="209"/>
      <c r="F966" s="210"/>
    </row>
    <row r="967" spans="1:6" x14ac:dyDescent="0.3">
      <c r="A967" s="205"/>
      <c r="B967" s="206"/>
      <c r="C967" s="214"/>
      <c r="D967" s="209" t="str">
        <f>IF(allSellings_table[[#This Row],[Date]]="","",TEXT(allSellings_table[[#This Row],[Date]],"mmmm"))</f>
        <v/>
      </c>
      <c r="E967" s="209"/>
      <c r="F967" s="210"/>
    </row>
    <row r="968" spans="1:6" x14ac:dyDescent="0.3">
      <c r="A968" s="205"/>
      <c r="B968" s="206"/>
      <c r="C968" s="214"/>
      <c r="D968" s="209" t="str">
        <f>IF(allSellings_table[[#This Row],[Date]]="","",TEXT(allSellings_table[[#This Row],[Date]],"mmmm"))</f>
        <v/>
      </c>
      <c r="E968" s="209"/>
      <c r="F968" s="210"/>
    </row>
    <row r="969" spans="1:6" x14ac:dyDescent="0.3">
      <c r="A969" s="205"/>
      <c r="B969" s="206"/>
      <c r="C969" s="214"/>
      <c r="D969" s="209" t="str">
        <f>IF(allSellings_table[[#This Row],[Date]]="","",TEXT(allSellings_table[[#This Row],[Date]],"mmmm"))</f>
        <v/>
      </c>
      <c r="E969" s="209"/>
      <c r="F969" s="210"/>
    </row>
    <row r="970" spans="1:6" x14ac:dyDescent="0.3">
      <c r="A970" s="205"/>
      <c r="B970" s="206"/>
      <c r="C970" s="214"/>
      <c r="D970" s="209" t="str">
        <f>IF(allSellings_table[[#This Row],[Date]]="","",TEXT(allSellings_table[[#This Row],[Date]],"mmmm"))</f>
        <v/>
      </c>
      <c r="E970" s="209"/>
      <c r="F970" s="210"/>
    </row>
    <row r="971" spans="1:6" x14ac:dyDescent="0.3">
      <c r="A971" s="205"/>
      <c r="B971" s="206"/>
      <c r="C971" s="214"/>
      <c r="D971" s="209" t="str">
        <f>IF(allSellings_table[[#This Row],[Date]]="","",TEXT(allSellings_table[[#This Row],[Date]],"mmmm"))</f>
        <v/>
      </c>
      <c r="E971" s="209"/>
      <c r="F971" s="210"/>
    </row>
    <row r="972" spans="1:6" x14ac:dyDescent="0.3">
      <c r="A972" s="205"/>
      <c r="B972" s="206"/>
      <c r="C972" s="214"/>
      <c r="D972" s="209" t="str">
        <f>IF(allSellings_table[[#This Row],[Date]]="","",TEXT(allSellings_table[[#This Row],[Date]],"mmmm"))</f>
        <v/>
      </c>
      <c r="E972" s="209"/>
      <c r="F972" s="210"/>
    </row>
    <row r="973" spans="1:6" x14ac:dyDescent="0.3">
      <c r="A973" s="205"/>
      <c r="B973" s="206"/>
      <c r="C973" s="214"/>
      <c r="D973" s="209" t="str">
        <f>IF(allSellings_table[[#This Row],[Date]]="","",TEXT(allSellings_table[[#This Row],[Date]],"mmmm"))</f>
        <v/>
      </c>
      <c r="E973" s="209"/>
      <c r="F973" s="210"/>
    </row>
    <row r="974" spans="1:6" x14ac:dyDescent="0.3">
      <c r="A974" s="205"/>
      <c r="B974" s="206"/>
      <c r="C974" s="214"/>
      <c r="D974" s="209" t="str">
        <f>IF(allSellings_table[[#This Row],[Date]]="","",TEXT(allSellings_table[[#This Row],[Date]],"mmmm"))</f>
        <v/>
      </c>
      <c r="E974" s="209"/>
      <c r="F974" s="210"/>
    </row>
    <row r="975" spans="1:6" x14ac:dyDescent="0.3">
      <c r="A975" s="205"/>
      <c r="B975" s="206"/>
      <c r="C975" s="214"/>
      <c r="D975" s="209" t="str">
        <f>IF(allSellings_table[[#This Row],[Date]]="","",TEXT(allSellings_table[[#This Row],[Date]],"mmmm"))</f>
        <v/>
      </c>
      <c r="E975" s="209"/>
      <c r="F975" s="210"/>
    </row>
    <row r="976" spans="1:6" x14ac:dyDescent="0.3">
      <c r="A976" s="205"/>
      <c r="B976" s="206"/>
      <c r="C976" s="214"/>
      <c r="D976" s="209" t="str">
        <f>IF(allSellings_table[[#This Row],[Date]]="","",TEXT(allSellings_table[[#This Row],[Date]],"mmmm"))</f>
        <v/>
      </c>
      <c r="E976" s="209"/>
      <c r="F976" s="210"/>
    </row>
    <row r="977" spans="1:6" x14ac:dyDescent="0.3">
      <c r="A977" s="205"/>
      <c r="B977" s="206"/>
      <c r="C977" s="214"/>
      <c r="D977" s="209" t="str">
        <f>IF(allSellings_table[[#This Row],[Date]]="","",TEXT(allSellings_table[[#This Row],[Date]],"mmmm"))</f>
        <v/>
      </c>
      <c r="E977" s="209"/>
      <c r="F977" s="210"/>
    </row>
    <row r="978" spans="1:6" x14ac:dyDescent="0.3">
      <c r="A978" s="205"/>
      <c r="B978" s="206"/>
      <c r="C978" s="214"/>
      <c r="D978" s="209" t="str">
        <f>IF(allSellings_table[[#This Row],[Date]]="","",TEXT(allSellings_table[[#This Row],[Date]],"mmmm"))</f>
        <v/>
      </c>
      <c r="E978" s="209"/>
      <c r="F978" s="210"/>
    </row>
    <row r="979" spans="1:6" x14ac:dyDescent="0.3">
      <c r="A979" s="205"/>
      <c r="B979" s="206"/>
      <c r="C979" s="214"/>
      <c r="D979" s="209" t="str">
        <f>IF(allSellings_table[[#This Row],[Date]]="","",TEXT(allSellings_table[[#This Row],[Date]],"mmmm"))</f>
        <v/>
      </c>
      <c r="E979" s="209"/>
      <c r="F979" s="210"/>
    </row>
    <row r="980" spans="1:6" x14ac:dyDescent="0.3">
      <c r="A980" s="205"/>
      <c r="B980" s="206"/>
      <c r="C980" s="214"/>
      <c r="D980" s="209" t="str">
        <f>IF(allSellings_table[[#This Row],[Date]]="","",TEXT(allSellings_table[[#This Row],[Date]],"mmmm"))</f>
        <v/>
      </c>
      <c r="E980" s="209"/>
      <c r="F980" s="210"/>
    </row>
    <row r="981" spans="1:6" x14ac:dyDescent="0.3">
      <c r="A981" s="205"/>
      <c r="B981" s="206"/>
      <c r="C981" s="214"/>
      <c r="D981" s="209" t="str">
        <f>IF(allSellings_table[[#This Row],[Date]]="","",TEXT(allSellings_table[[#This Row],[Date]],"mmmm"))</f>
        <v/>
      </c>
      <c r="E981" s="209"/>
      <c r="F981" s="210"/>
    </row>
    <row r="982" spans="1:6" x14ac:dyDescent="0.3">
      <c r="A982" s="205"/>
      <c r="B982" s="206"/>
      <c r="C982" s="214"/>
      <c r="D982" s="209" t="str">
        <f>IF(allSellings_table[[#This Row],[Date]]="","",TEXT(allSellings_table[[#This Row],[Date]],"mmmm"))</f>
        <v/>
      </c>
      <c r="E982" s="209"/>
      <c r="F982" s="210"/>
    </row>
    <row r="983" spans="1:6" x14ac:dyDescent="0.3">
      <c r="A983" s="205"/>
      <c r="B983" s="206"/>
      <c r="C983" s="214"/>
      <c r="D983" s="209" t="str">
        <f>IF(allSellings_table[[#This Row],[Date]]="","",TEXT(allSellings_table[[#This Row],[Date]],"mmmm"))</f>
        <v/>
      </c>
      <c r="E983" s="209"/>
      <c r="F983" s="210"/>
    </row>
    <row r="984" spans="1:6" x14ac:dyDescent="0.3">
      <c r="A984" s="205"/>
      <c r="B984" s="206"/>
      <c r="C984" s="214"/>
      <c r="D984" s="209" t="str">
        <f>IF(allSellings_table[[#This Row],[Date]]="","",TEXT(allSellings_table[[#This Row],[Date]],"mmmm"))</f>
        <v/>
      </c>
      <c r="E984" s="209"/>
      <c r="F984" s="210"/>
    </row>
    <row r="985" spans="1:6" x14ac:dyDescent="0.3">
      <c r="A985" s="205"/>
      <c r="B985" s="206"/>
      <c r="C985" s="214"/>
      <c r="D985" s="209" t="str">
        <f>IF(allSellings_table[[#This Row],[Date]]="","",TEXT(allSellings_table[[#This Row],[Date]],"mmmm"))</f>
        <v/>
      </c>
      <c r="E985" s="209"/>
      <c r="F985" s="210"/>
    </row>
    <row r="986" spans="1:6" x14ac:dyDescent="0.3">
      <c r="A986" s="205"/>
      <c r="B986" s="206"/>
      <c r="C986" s="214"/>
      <c r="D986" s="209" t="str">
        <f>IF(allSellings_table[[#This Row],[Date]]="","",TEXT(allSellings_table[[#This Row],[Date]],"mmmm"))</f>
        <v/>
      </c>
      <c r="E986" s="209"/>
      <c r="F986" s="210"/>
    </row>
    <row r="987" spans="1:6" x14ac:dyDescent="0.3">
      <c r="A987" s="205"/>
      <c r="B987" s="206"/>
      <c r="C987" s="214"/>
      <c r="D987" s="209" t="str">
        <f>IF(allSellings_table[[#This Row],[Date]]="","",TEXT(allSellings_table[[#This Row],[Date]],"mmmm"))</f>
        <v/>
      </c>
      <c r="E987" s="209"/>
      <c r="F987" s="210"/>
    </row>
    <row r="988" spans="1:6" x14ac:dyDescent="0.3">
      <c r="A988" s="205"/>
      <c r="B988" s="206"/>
      <c r="C988" s="214"/>
      <c r="D988" s="209" t="str">
        <f>IF(allSellings_table[[#This Row],[Date]]="","",TEXT(allSellings_table[[#This Row],[Date]],"mmmm"))</f>
        <v/>
      </c>
      <c r="E988" s="209"/>
      <c r="F988" s="210"/>
    </row>
    <row r="989" spans="1:6" x14ac:dyDescent="0.3">
      <c r="A989" s="205"/>
      <c r="B989" s="206"/>
      <c r="C989" s="214"/>
      <c r="D989" s="209" t="str">
        <f>IF(allSellings_table[[#This Row],[Date]]="","",TEXT(allSellings_table[[#This Row],[Date]],"mmmm"))</f>
        <v/>
      </c>
      <c r="E989" s="209"/>
      <c r="F989" s="210"/>
    </row>
    <row r="990" spans="1:6" x14ac:dyDescent="0.3">
      <c r="A990" s="205"/>
      <c r="B990" s="206"/>
      <c r="C990" s="214"/>
      <c r="D990" s="209" t="str">
        <f>IF(allSellings_table[[#This Row],[Date]]="","",TEXT(allSellings_table[[#This Row],[Date]],"mmmm"))</f>
        <v/>
      </c>
      <c r="E990" s="209"/>
      <c r="F990" s="210"/>
    </row>
    <row r="991" spans="1:6" x14ac:dyDescent="0.3">
      <c r="A991" s="205"/>
      <c r="B991" s="206"/>
      <c r="C991" s="214"/>
      <c r="D991" s="209" t="str">
        <f>IF(allSellings_table[[#This Row],[Date]]="","",TEXT(allSellings_table[[#This Row],[Date]],"mmmm"))</f>
        <v/>
      </c>
      <c r="E991" s="209"/>
      <c r="F991" s="210"/>
    </row>
    <row r="992" spans="1:6" x14ac:dyDescent="0.3">
      <c r="A992" s="205"/>
      <c r="B992" s="206"/>
      <c r="C992" s="214"/>
      <c r="D992" s="209" t="str">
        <f>IF(allSellings_table[[#This Row],[Date]]="","",TEXT(allSellings_table[[#This Row],[Date]],"mmmm"))</f>
        <v/>
      </c>
      <c r="E992" s="209"/>
      <c r="F992" s="210"/>
    </row>
    <row r="993" spans="1:6" x14ac:dyDescent="0.3">
      <c r="A993" s="205"/>
      <c r="B993" s="206"/>
      <c r="C993" s="214"/>
      <c r="D993" s="209" t="str">
        <f>IF(allSellings_table[[#This Row],[Date]]="","",TEXT(allSellings_table[[#This Row],[Date]],"mmmm"))</f>
        <v/>
      </c>
      <c r="E993" s="209"/>
      <c r="F993" s="210"/>
    </row>
    <row r="994" spans="1:6" x14ac:dyDescent="0.3">
      <c r="A994" s="205"/>
      <c r="B994" s="206"/>
      <c r="C994" s="214"/>
      <c r="D994" s="209" t="str">
        <f>IF(allSellings_table[[#This Row],[Date]]="","",TEXT(allSellings_table[[#This Row],[Date]],"mmmm"))</f>
        <v/>
      </c>
      <c r="E994" s="209"/>
      <c r="F994" s="210"/>
    </row>
    <row r="995" spans="1:6" x14ac:dyDescent="0.3">
      <c r="A995" s="205"/>
      <c r="B995" s="206"/>
      <c r="C995" s="214"/>
      <c r="D995" s="209" t="str">
        <f>IF(allSellings_table[[#This Row],[Date]]="","",TEXT(allSellings_table[[#This Row],[Date]],"mmmm"))</f>
        <v/>
      </c>
      <c r="E995" s="209"/>
      <c r="F995" s="210"/>
    </row>
    <row r="996" spans="1:6" x14ac:dyDescent="0.3">
      <c r="A996" s="205"/>
      <c r="B996" s="206"/>
      <c r="C996" s="214"/>
      <c r="D996" s="209" t="str">
        <f>IF(allSellings_table[[#This Row],[Date]]="","",TEXT(allSellings_table[[#This Row],[Date]],"mmmm"))</f>
        <v/>
      </c>
      <c r="E996" s="209"/>
      <c r="F996" s="210"/>
    </row>
    <row r="997" spans="1:6" x14ac:dyDescent="0.3">
      <c r="A997" s="205"/>
      <c r="B997" s="206"/>
      <c r="C997" s="214"/>
      <c r="D997" s="209" t="str">
        <f>IF(allSellings_table[[#This Row],[Date]]="","",TEXT(allSellings_table[[#This Row],[Date]],"mmmm"))</f>
        <v/>
      </c>
      <c r="E997" s="209"/>
      <c r="F997" s="210"/>
    </row>
    <row r="998" spans="1:6" x14ac:dyDescent="0.3">
      <c r="A998" s="205"/>
      <c r="B998" s="206"/>
      <c r="C998" s="214"/>
      <c r="D998" s="209" t="str">
        <f>IF(allSellings_table[[#This Row],[Date]]="","",TEXT(allSellings_table[[#This Row],[Date]],"mmmm"))</f>
        <v/>
      </c>
      <c r="E998" s="209"/>
      <c r="F998" s="210"/>
    </row>
    <row r="999" spans="1:6" x14ac:dyDescent="0.3">
      <c r="A999" s="205"/>
      <c r="B999" s="206"/>
      <c r="C999" s="214"/>
      <c r="D999" s="209" t="str">
        <f>IF(allSellings_table[[#This Row],[Date]]="","",TEXT(allSellings_table[[#This Row],[Date]],"mmmm"))</f>
        <v/>
      </c>
      <c r="E999" s="209"/>
      <c r="F999" s="210"/>
    </row>
    <row r="1000" spans="1:6" x14ac:dyDescent="0.3">
      <c r="A1000" s="211"/>
      <c r="B1000" s="212"/>
      <c r="C1000" s="215"/>
      <c r="D1000" s="213" t="str">
        <f>IF(allSellings_table[[#This Row],[Date]]="","",TEXT(allSellings_table[[#This Row],[Date]],"mmmm"))</f>
        <v/>
      </c>
      <c r="E1000" s="213"/>
      <c r="F1000" s="73"/>
    </row>
  </sheetData>
  <mergeCells count="2">
    <mergeCell ref="H2:I2"/>
    <mergeCell ref="H1:J1"/>
  </mergeCell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C6FF3-3858-4469-A061-BCD8397DC3D6}">
  <sheetPr codeName="Sheet26"/>
  <dimension ref="A1:I500"/>
  <sheetViews>
    <sheetView workbookViewId="0">
      <pane xSplit="2" ySplit="1" topLeftCell="C2" activePane="bottomRight" state="frozen"/>
      <selection activeCell="N20" sqref="N20"/>
      <selection pane="topRight" activeCell="N20" sqref="N20"/>
      <selection pane="bottomLeft" activeCell="N20" sqref="N20"/>
      <selection pane="bottomRight" activeCell="N20" sqref="N20"/>
    </sheetView>
  </sheetViews>
  <sheetFormatPr defaultRowHeight="14.4" x14ac:dyDescent="0.3"/>
  <cols>
    <col min="1" max="1" width="15.6640625" customWidth="1"/>
    <col min="2" max="2" width="13.77734375" customWidth="1"/>
    <col min="3" max="3" width="9.77734375" customWidth="1"/>
    <col min="4" max="4" width="19.44140625" customWidth="1"/>
    <col min="5" max="5" width="17.77734375" customWidth="1"/>
    <col min="6" max="6" width="21" customWidth="1"/>
    <col min="7" max="7" width="14.44140625" customWidth="1"/>
    <col min="8" max="8" width="12.44140625" customWidth="1"/>
    <col min="9" max="9" width="35.88671875" customWidth="1"/>
  </cols>
  <sheetData>
    <row r="1" spans="1:9" ht="18" customHeight="1" x14ac:dyDescent="0.3">
      <c r="A1" s="310" t="s">
        <v>244</v>
      </c>
      <c r="B1" s="311"/>
      <c r="D1" s="40" t="s">
        <v>49</v>
      </c>
      <c r="E1" s="229" t="s">
        <v>50</v>
      </c>
      <c r="F1" s="229" t="s">
        <v>47</v>
      </c>
      <c r="G1" s="229" t="s">
        <v>42</v>
      </c>
      <c r="H1" s="229" t="s">
        <v>231</v>
      </c>
      <c r="I1" s="229" t="s">
        <v>7</v>
      </c>
    </row>
    <row r="2" spans="1:9" ht="20.399999999999999" customHeight="1" x14ac:dyDescent="0.3">
      <c r="A2" s="47" t="s">
        <v>157</v>
      </c>
      <c r="B2" s="24" t="s">
        <v>113</v>
      </c>
      <c r="D2" s="230" t="str" cm="1">
        <f t="array" ref="D2:I7">IF($B$2="All",_xlfn._xlws.FILTER(allSellings_table[], allSellings_table[*Item Name] &lt;&gt; "", ""),_xlfn._xlws.FILTER(allSellings_table[],allSellings_table[Month]=$B$2,"No items sold this month"))</f>
        <v>grammar</v>
      </c>
      <c r="E2" s="231">
        <v>800</v>
      </c>
      <c r="F2" s="232">
        <v>46272</v>
      </c>
      <c r="G2" s="19" t="str">
        <v>September</v>
      </c>
      <c r="H2" s="19" t="str">
        <v>ali</v>
      </c>
      <c r="I2" s="19">
        <v>0</v>
      </c>
    </row>
    <row r="3" spans="1:9" x14ac:dyDescent="0.3">
      <c r="A3" s="84" t="s">
        <v>235</v>
      </c>
      <c r="B3" s="280">
        <f>IF(D2 = "No items sold this month", 0, COUNTA(D2:D500))</f>
        <v>6</v>
      </c>
      <c r="D3" s="168" t="str">
        <v>book</v>
      </c>
      <c r="E3" s="171">
        <v>100</v>
      </c>
      <c r="F3" s="174">
        <v>46272</v>
      </c>
      <c r="G3" s="92" t="str">
        <v>September</v>
      </c>
      <c r="H3" s="92" t="str">
        <v>ahmad</v>
      </c>
      <c r="I3" s="92">
        <v>0</v>
      </c>
    </row>
    <row r="4" spans="1:9" ht="16.2" customHeight="1" x14ac:dyDescent="0.3">
      <c r="A4" s="47" t="s">
        <v>268</v>
      </c>
      <c r="B4" s="281">
        <f>SUM(E2:E500)</f>
        <v>8400</v>
      </c>
      <c r="D4" s="167" t="str">
        <v>english 1</v>
      </c>
      <c r="E4" s="170">
        <v>2000</v>
      </c>
      <c r="F4" s="173">
        <v>46272</v>
      </c>
      <c r="G4" s="91" t="str">
        <v>September</v>
      </c>
      <c r="H4" s="91" t="str">
        <v>farid</v>
      </c>
      <c r="I4" s="91">
        <v>0</v>
      </c>
    </row>
    <row r="5" spans="1:9" ht="16.2" customHeight="1" x14ac:dyDescent="0.3">
      <c r="D5" s="168" t="str">
        <v>english 2</v>
      </c>
      <c r="E5" s="171">
        <v>2200</v>
      </c>
      <c r="F5" s="174">
        <v>46272</v>
      </c>
      <c r="G5" s="92" t="str">
        <v>September</v>
      </c>
      <c r="H5" s="92" t="str">
        <v>hassan</v>
      </c>
      <c r="I5" s="92">
        <v>0</v>
      </c>
    </row>
    <row r="6" spans="1:9" x14ac:dyDescent="0.3">
      <c r="D6" s="167" t="str">
        <v>java book</v>
      </c>
      <c r="E6" s="170">
        <v>300</v>
      </c>
      <c r="F6" s="173">
        <v>46272</v>
      </c>
      <c r="G6" s="91" t="str">
        <v>September</v>
      </c>
      <c r="H6" s="91" t="str">
        <v>habib</v>
      </c>
      <c r="I6" s="230">
        <v>0</v>
      </c>
    </row>
    <row r="7" spans="1:9" x14ac:dyDescent="0.3">
      <c r="D7" s="168" t="str">
        <v>python book</v>
      </c>
      <c r="E7" s="171">
        <v>3000</v>
      </c>
      <c r="F7" s="174">
        <v>46272</v>
      </c>
      <c r="G7" s="92" t="str">
        <v>September</v>
      </c>
      <c r="H7" s="92" t="str">
        <v>ali</v>
      </c>
      <c r="I7" s="233">
        <v>0</v>
      </c>
    </row>
    <row r="8" spans="1:9" x14ac:dyDescent="0.3">
      <c r="D8" s="167"/>
      <c r="E8" s="170"/>
      <c r="F8" s="173"/>
      <c r="G8" s="91"/>
      <c r="H8" s="91"/>
      <c r="I8" s="91"/>
    </row>
    <row r="9" spans="1:9" x14ac:dyDescent="0.3">
      <c r="D9" s="168"/>
      <c r="E9" s="171"/>
      <c r="F9" s="174"/>
      <c r="G9" s="92"/>
      <c r="H9" s="92"/>
      <c r="I9" s="92"/>
    </row>
    <row r="10" spans="1:9" x14ac:dyDescent="0.3">
      <c r="D10" s="167"/>
      <c r="E10" s="170"/>
      <c r="F10" s="173"/>
      <c r="G10" s="91"/>
      <c r="H10" s="91"/>
      <c r="I10" s="91"/>
    </row>
    <row r="11" spans="1:9" x14ac:dyDescent="0.3">
      <c r="D11" s="168"/>
      <c r="E11" s="171"/>
      <c r="F11" s="174"/>
      <c r="G11" s="92"/>
      <c r="H11" s="92"/>
      <c r="I11" s="92"/>
    </row>
    <row r="12" spans="1:9" x14ac:dyDescent="0.3">
      <c r="D12" s="167"/>
      <c r="E12" s="170"/>
      <c r="F12" s="173"/>
      <c r="G12" s="91"/>
      <c r="H12" s="91"/>
      <c r="I12" s="91"/>
    </row>
    <row r="13" spans="1:9" x14ac:dyDescent="0.3">
      <c r="D13" s="168"/>
      <c r="E13" s="171"/>
      <c r="F13" s="174"/>
      <c r="G13" s="92"/>
      <c r="H13" s="92"/>
      <c r="I13" s="92"/>
    </row>
    <row r="14" spans="1:9" x14ac:dyDescent="0.3">
      <c r="D14" s="167"/>
      <c r="E14" s="170"/>
      <c r="F14" s="173"/>
      <c r="G14" s="91"/>
      <c r="H14" s="91"/>
      <c r="I14" s="91"/>
    </row>
    <row r="15" spans="1:9" x14ac:dyDescent="0.3">
      <c r="D15" s="168"/>
      <c r="E15" s="171"/>
      <c r="F15" s="174"/>
      <c r="G15" s="92"/>
      <c r="H15" s="92"/>
      <c r="I15" s="92"/>
    </row>
    <row r="16" spans="1:9" x14ac:dyDescent="0.3">
      <c r="D16" s="167"/>
      <c r="E16" s="170"/>
      <c r="F16" s="173"/>
      <c r="G16" s="91"/>
      <c r="H16" s="91"/>
      <c r="I16" s="91"/>
    </row>
    <row r="17" spans="4:9" x14ac:dyDescent="0.3">
      <c r="D17" s="168"/>
      <c r="E17" s="171"/>
      <c r="F17" s="174"/>
      <c r="G17" s="92"/>
      <c r="H17" s="92"/>
      <c r="I17" s="92"/>
    </row>
    <row r="18" spans="4:9" x14ac:dyDescent="0.3">
      <c r="D18" s="167"/>
      <c r="E18" s="170"/>
      <c r="F18" s="173"/>
      <c r="G18" s="91"/>
      <c r="H18" s="91"/>
      <c r="I18" s="91"/>
    </row>
    <row r="19" spans="4:9" x14ac:dyDescent="0.3">
      <c r="D19" s="168"/>
      <c r="E19" s="171"/>
      <c r="F19" s="174"/>
      <c r="G19" s="92"/>
      <c r="H19" s="92"/>
      <c r="I19" s="92"/>
    </row>
    <row r="20" spans="4:9" x14ac:dyDescent="0.3">
      <c r="D20" s="167"/>
      <c r="E20" s="170"/>
      <c r="F20" s="173"/>
      <c r="G20" s="91"/>
      <c r="H20" s="91"/>
      <c r="I20" s="91"/>
    </row>
    <row r="21" spans="4:9" x14ac:dyDescent="0.3">
      <c r="D21" s="168"/>
      <c r="E21" s="171"/>
      <c r="F21" s="174"/>
      <c r="G21" s="92"/>
      <c r="H21" s="92"/>
      <c r="I21" s="92"/>
    </row>
    <row r="22" spans="4:9" x14ac:dyDescent="0.3">
      <c r="D22" s="167"/>
      <c r="E22" s="170"/>
      <c r="F22" s="173"/>
      <c r="G22" s="91"/>
      <c r="H22" s="91"/>
      <c r="I22" s="91"/>
    </row>
    <row r="23" spans="4:9" x14ac:dyDescent="0.3">
      <c r="D23" s="168"/>
      <c r="E23" s="171"/>
      <c r="F23" s="174"/>
      <c r="G23" s="92"/>
      <c r="H23" s="92"/>
      <c r="I23" s="92"/>
    </row>
    <row r="24" spans="4:9" x14ac:dyDescent="0.3">
      <c r="D24" s="167"/>
      <c r="E24" s="170"/>
      <c r="F24" s="173"/>
      <c r="G24" s="91"/>
      <c r="H24" s="91"/>
      <c r="I24" s="91"/>
    </row>
    <row r="25" spans="4:9" x14ac:dyDescent="0.3">
      <c r="D25" s="168"/>
      <c r="E25" s="171"/>
      <c r="F25" s="174"/>
      <c r="G25" s="92"/>
      <c r="H25" s="92"/>
      <c r="I25" s="92"/>
    </row>
    <row r="26" spans="4:9" x14ac:dyDescent="0.3">
      <c r="D26" s="167"/>
      <c r="E26" s="170"/>
      <c r="F26" s="173"/>
      <c r="G26" s="91"/>
      <c r="H26" s="91"/>
      <c r="I26" s="91"/>
    </row>
    <row r="27" spans="4:9" x14ac:dyDescent="0.3">
      <c r="D27" s="168"/>
      <c r="E27" s="171"/>
      <c r="F27" s="174"/>
      <c r="G27" s="92"/>
      <c r="H27" s="92"/>
      <c r="I27" s="92"/>
    </row>
    <row r="28" spans="4:9" x14ac:dyDescent="0.3">
      <c r="D28" s="167"/>
      <c r="E28" s="170"/>
      <c r="F28" s="173"/>
      <c r="G28" s="91"/>
      <c r="H28" s="91"/>
      <c r="I28" s="91"/>
    </row>
    <row r="29" spans="4:9" x14ac:dyDescent="0.3">
      <c r="D29" s="168"/>
      <c r="E29" s="171"/>
      <c r="F29" s="174"/>
      <c r="G29" s="92"/>
      <c r="H29" s="92"/>
      <c r="I29" s="92"/>
    </row>
    <row r="30" spans="4:9" x14ac:dyDescent="0.3">
      <c r="D30" s="167"/>
      <c r="E30" s="170"/>
      <c r="F30" s="173"/>
      <c r="G30" s="91"/>
      <c r="H30" s="91"/>
      <c r="I30" s="91"/>
    </row>
    <row r="31" spans="4:9" x14ac:dyDescent="0.3">
      <c r="D31" s="168"/>
      <c r="E31" s="171"/>
      <c r="F31" s="174"/>
      <c r="G31" s="92"/>
      <c r="H31" s="92"/>
      <c r="I31" s="92"/>
    </row>
    <row r="32" spans="4:9" x14ac:dyDescent="0.3">
      <c r="D32" s="167"/>
      <c r="E32" s="170"/>
      <c r="F32" s="173"/>
      <c r="G32" s="91"/>
      <c r="H32" s="91"/>
      <c r="I32" s="91"/>
    </row>
    <row r="33" spans="4:9" x14ac:dyDescent="0.3">
      <c r="D33" s="168"/>
      <c r="E33" s="171"/>
      <c r="F33" s="174"/>
      <c r="G33" s="92"/>
      <c r="H33" s="92"/>
      <c r="I33" s="92"/>
    </row>
    <row r="34" spans="4:9" x14ac:dyDescent="0.3">
      <c r="D34" s="167"/>
      <c r="E34" s="170"/>
      <c r="F34" s="173"/>
      <c r="G34" s="91"/>
      <c r="H34" s="91"/>
      <c r="I34" s="91"/>
    </row>
    <row r="35" spans="4:9" x14ac:dyDescent="0.3">
      <c r="D35" s="168"/>
      <c r="E35" s="171"/>
      <c r="F35" s="174"/>
      <c r="G35" s="92"/>
      <c r="H35" s="92"/>
      <c r="I35" s="92"/>
    </row>
    <row r="36" spans="4:9" x14ac:dyDescent="0.3">
      <c r="D36" s="167"/>
      <c r="E36" s="170"/>
      <c r="F36" s="173"/>
      <c r="G36" s="91"/>
      <c r="H36" s="91"/>
      <c r="I36" s="91"/>
    </row>
    <row r="37" spans="4:9" x14ac:dyDescent="0.3">
      <c r="D37" s="168"/>
      <c r="E37" s="171"/>
      <c r="F37" s="174"/>
      <c r="G37" s="92"/>
      <c r="H37" s="92"/>
      <c r="I37" s="92"/>
    </row>
    <row r="38" spans="4:9" x14ac:dyDescent="0.3">
      <c r="D38" s="167"/>
      <c r="E38" s="170"/>
      <c r="F38" s="173"/>
      <c r="G38" s="91"/>
      <c r="H38" s="91"/>
      <c r="I38" s="91"/>
    </row>
    <row r="39" spans="4:9" x14ac:dyDescent="0.3">
      <c r="D39" s="168"/>
      <c r="E39" s="171"/>
      <c r="F39" s="174"/>
      <c r="G39" s="92"/>
      <c r="H39" s="92"/>
      <c r="I39" s="92"/>
    </row>
    <row r="40" spans="4:9" x14ac:dyDescent="0.3">
      <c r="D40" s="167"/>
      <c r="E40" s="170"/>
      <c r="F40" s="173"/>
      <c r="G40" s="91"/>
      <c r="H40" s="91"/>
      <c r="I40" s="91"/>
    </row>
    <row r="41" spans="4:9" x14ac:dyDescent="0.3">
      <c r="D41" s="168"/>
      <c r="E41" s="171"/>
      <c r="F41" s="174"/>
      <c r="G41" s="92"/>
      <c r="H41" s="92"/>
      <c r="I41" s="92"/>
    </row>
    <row r="42" spans="4:9" x14ac:dyDescent="0.3">
      <c r="D42" s="167"/>
      <c r="E42" s="170"/>
      <c r="F42" s="173"/>
      <c r="G42" s="91"/>
      <c r="H42" s="91"/>
      <c r="I42" s="91"/>
    </row>
    <row r="43" spans="4:9" x14ac:dyDescent="0.3">
      <c r="D43" s="168"/>
      <c r="E43" s="171"/>
      <c r="F43" s="174"/>
      <c r="G43" s="92"/>
      <c r="H43" s="92"/>
      <c r="I43" s="92"/>
    </row>
    <row r="44" spans="4:9" x14ac:dyDescent="0.3">
      <c r="D44" s="167"/>
      <c r="E44" s="170"/>
      <c r="F44" s="173"/>
      <c r="G44" s="91"/>
      <c r="H44" s="91"/>
      <c r="I44" s="91"/>
    </row>
    <row r="45" spans="4:9" x14ac:dyDescent="0.3">
      <c r="D45" s="168"/>
      <c r="E45" s="171"/>
      <c r="F45" s="174"/>
      <c r="G45" s="92"/>
      <c r="H45" s="92"/>
      <c r="I45" s="92"/>
    </row>
    <row r="46" spans="4:9" x14ac:dyDescent="0.3">
      <c r="D46" s="167"/>
      <c r="E46" s="170"/>
      <c r="F46" s="173"/>
      <c r="G46" s="91"/>
      <c r="H46" s="91"/>
      <c r="I46" s="91"/>
    </row>
    <row r="47" spans="4:9" x14ac:dyDescent="0.3">
      <c r="D47" s="168"/>
      <c r="E47" s="171"/>
      <c r="F47" s="174"/>
      <c r="G47" s="92"/>
      <c r="H47" s="92"/>
      <c r="I47" s="92"/>
    </row>
    <row r="48" spans="4:9" x14ac:dyDescent="0.3">
      <c r="D48" s="167"/>
      <c r="E48" s="170"/>
      <c r="F48" s="173"/>
      <c r="G48" s="91"/>
      <c r="H48" s="91"/>
      <c r="I48" s="91"/>
    </row>
    <row r="49" spans="4:9" x14ac:dyDescent="0.3">
      <c r="D49" s="168"/>
      <c r="E49" s="171"/>
      <c r="F49" s="174"/>
      <c r="G49" s="92"/>
      <c r="H49" s="92"/>
      <c r="I49" s="92"/>
    </row>
    <row r="50" spans="4:9" x14ac:dyDescent="0.3">
      <c r="D50" s="167"/>
      <c r="E50" s="170"/>
      <c r="F50" s="173"/>
      <c r="G50" s="91"/>
      <c r="H50" s="91"/>
      <c r="I50" s="91"/>
    </row>
    <row r="51" spans="4:9" x14ac:dyDescent="0.3">
      <c r="D51" s="168"/>
      <c r="E51" s="171"/>
      <c r="F51" s="174"/>
      <c r="G51" s="92"/>
      <c r="H51" s="92"/>
      <c r="I51" s="92"/>
    </row>
    <row r="52" spans="4:9" x14ac:dyDescent="0.3">
      <c r="D52" s="167"/>
      <c r="E52" s="170"/>
      <c r="F52" s="173"/>
      <c r="G52" s="91"/>
      <c r="H52" s="91"/>
      <c r="I52" s="91"/>
    </row>
    <row r="53" spans="4:9" x14ac:dyDescent="0.3">
      <c r="D53" s="168"/>
      <c r="E53" s="171"/>
      <c r="F53" s="174"/>
      <c r="G53" s="92"/>
      <c r="H53" s="92"/>
      <c r="I53" s="92"/>
    </row>
    <row r="54" spans="4:9" x14ac:dyDescent="0.3">
      <c r="D54" s="167"/>
      <c r="E54" s="170"/>
      <c r="F54" s="173"/>
      <c r="G54" s="91"/>
      <c r="H54" s="91"/>
      <c r="I54" s="91"/>
    </row>
    <row r="55" spans="4:9" x14ac:dyDescent="0.3">
      <c r="D55" s="168"/>
      <c r="E55" s="171"/>
      <c r="F55" s="174"/>
      <c r="G55" s="92"/>
      <c r="H55" s="92"/>
      <c r="I55" s="92"/>
    </row>
    <row r="56" spans="4:9" x14ac:dyDescent="0.3">
      <c r="D56" s="167"/>
      <c r="E56" s="170"/>
      <c r="F56" s="173"/>
      <c r="G56" s="91"/>
      <c r="H56" s="91"/>
      <c r="I56" s="91"/>
    </row>
    <row r="57" spans="4:9" x14ac:dyDescent="0.3">
      <c r="D57" s="168"/>
      <c r="E57" s="171"/>
      <c r="F57" s="174"/>
      <c r="G57" s="92"/>
      <c r="H57" s="92"/>
      <c r="I57" s="92"/>
    </row>
    <row r="58" spans="4:9" x14ac:dyDescent="0.3">
      <c r="D58" s="167"/>
      <c r="E58" s="170"/>
      <c r="F58" s="173"/>
      <c r="G58" s="91"/>
      <c r="H58" s="91"/>
      <c r="I58" s="91"/>
    </row>
    <row r="59" spans="4:9" x14ac:dyDescent="0.3">
      <c r="D59" s="168"/>
      <c r="E59" s="171"/>
      <c r="F59" s="174"/>
      <c r="G59" s="92"/>
      <c r="H59" s="92"/>
      <c r="I59" s="92"/>
    </row>
    <row r="60" spans="4:9" x14ac:dyDescent="0.3">
      <c r="D60" s="167"/>
      <c r="E60" s="170"/>
      <c r="F60" s="173"/>
      <c r="G60" s="91"/>
      <c r="H60" s="91"/>
      <c r="I60" s="91"/>
    </row>
    <row r="61" spans="4:9" x14ac:dyDescent="0.3">
      <c r="D61" s="168"/>
      <c r="E61" s="171"/>
      <c r="F61" s="174"/>
      <c r="G61" s="92"/>
      <c r="H61" s="92"/>
      <c r="I61" s="92"/>
    </row>
    <row r="62" spans="4:9" x14ac:dyDescent="0.3">
      <c r="D62" s="167"/>
      <c r="E62" s="170"/>
      <c r="F62" s="173"/>
      <c r="G62" s="91"/>
      <c r="H62" s="91"/>
      <c r="I62" s="91"/>
    </row>
    <row r="63" spans="4:9" x14ac:dyDescent="0.3">
      <c r="D63" s="168"/>
      <c r="E63" s="171"/>
      <c r="F63" s="174"/>
      <c r="G63" s="92"/>
      <c r="H63" s="92"/>
      <c r="I63" s="92"/>
    </row>
    <row r="64" spans="4:9" x14ac:dyDescent="0.3">
      <c r="D64" s="167"/>
      <c r="E64" s="170"/>
      <c r="F64" s="173"/>
      <c r="G64" s="91"/>
      <c r="H64" s="91"/>
      <c r="I64" s="91"/>
    </row>
    <row r="65" spans="4:9" x14ac:dyDescent="0.3">
      <c r="D65" s="168"/>
      <c r="E65" s="171"/>
      <c r="F65" s="174"/>
      <c r="G65" s="92"/>
      <c r="H65" s="92"/>
      <c r="I65" s="92"/>
    </row>
    <row r="66" spans="4:9" x14ac:dyDescent="0.3">
      <c r="D66" s="167"/>
      <c r="E66" s="170"/>
      <c r="F66" s="173"/>
      <c r="G66" s="91"/>
      <c r="H66" s="91"/>
      <c r="I66" s="91"/>
    </row>
    <row r="67" spans="4:9" x14ac:dyDescent="0.3">
      <c r="D67" s="168"/>
      <c r="E67" s="171"/>
      <c r="F67" s="174"/>
      <c r="G67" s="92"/>
      <c r="H67" s="92"/>
      <c r="I67" s="92"/>
    </row>
    <row r="68" spans="4:9" x14ac:dyDescent="0.3">
      <c r="D68" s="167"/>
      <c r="E68" s="170"/>
      <c r="F68" s="173"/>
      <c r="G68" s="91"/>
      <c r="H68" s="91"/>
      <c r="I68" s="91"/>
    </row>
    <row r="69" spans="4:9" x14ac:dyDescent="0.3">
      <c r="D69" s="168"/>
      <c r="E69" s="171"/>
      <c r="F69" s="174"/>
      <c r="G69" s="92"/>
      <c r="H69" s="92"/>
      <c r="I69" s="92"/>
    </row>
    <row r="70" spans="4:9" x14ac:dyDescent="0.3">
      <c r="D70" s="167"/>
      <c r="E70" s="170"/>
      <c r="F70" s="173"/>
      <c r="G70" s="91"/>
      <c r="H70" s="91"/>
      <c r="I70" s="91"/>
    </row>
    <row r="71" spans="4:9" x14ac:dyDescent="0.3">
      <c r="D71" s="168"/>
      <c r="E71" s="171"/>
      <c r="F71" s="174"/>
      <c r="G71" s="92"/>
      <c r="H71" s="92"/>
      <c r="I71" s="92"/>
    </row>
    <row r="72" spans="4:9" x14ac:dyDescent="0.3">
      <c r="D72" s="167"/>
      <c r="E72" s="170"/>
      <c r="F72" s="173"/>
      <c r="G72" s="91"/>
      <c r="H72" s="91"/>
      <c r="I72" s="91"/>
    </row>
    <row r="73" spans="4:9" x14ac:dyDescent="0.3">
      <c r="D73" s="168"/>
      <c r="E73" s="171"/>
      <c r="F73" s="174"/>
      <c r="G73" s="92"/>
      <c r="H73" s="92"/>
      <c r="I73" s="92"/>
    </row>
    <row r="74" spans="4:9" x14ac:dyDescent="0.3">
      <c r="D74" s="167"/>
      <c r="E74" s="170"/>
      <c r="F74" s="173"/>
      <c r="G74" s="91"/>
      <c r="H74" s="91"/>
      <c r="I74" s="91"/>
    </row>
    <row r="75" spans="4:9" x14ac:dyDescent="0.3">
      <c r="D75" s="168"/>
      <c r="E75" s="171"/>
      <c r="F75" s="174"/>
      <c r="G75" s="92"/>
      <c r="H75" s="92"/>
      <c r="I75" s="92"/>
    </row>
    <row r="76" spans="4:9" x14ac:dyDescent="0.3">
      <c r="D76" s="167"/>
      <c r="E76" s="170"/>
      <c r="F76" s="173"/>
      <c r="G76" s="91"/>
      <c r="H76" s="91"/>
      <c r="I76" s="91"/>
    </row>
    <row r="77" spans="4:9" x14ac:dyDescent="0.3">
      <c r="D77" s="168"/>
      <c r="E77" s="171"/>
      <c r="F77" s="174"/>
      <c r="G77" s="92"/>
      <c r="H77" s="92"/>
      <c r="I77" s="92"/>
    </row>
    <row r="78" spans="4:9" x14ac:dyDescent="0.3">
      <c r="D78" s="167"/>
      <c r="E78" s="170"/>
      <c r="F78" s="173"/>
      <c r="G78" s="91"/>
      <c r="H78" s="91"/>
      <c r="I78" s="91"/>
    </row>
    <row r="79" spans="4:9" x14ac:dyDescent="0.3">
      <c r="D79" s="168"/>
      <c r="E79" s="171"/>
      <c r="F79" s="174"/>
      <c r="G79" s="92"/>
      <c r="H79" s="92"/>
      <c r="I79" s="92"/>
    </row>
    <row r="80" spans="4:9" x14ac:dyDescent="0.3">
      <c r="D80" s="167"/>
      <c r="E80" s="170"/>
      <c r="F80" s="173"/>
      <c r="G80" s="91"/>
      <c r="H80" s="91"/>
      <c r="I80" s="91"/>
    </row>
    <row r="81" spans="4:9" x14ac:dyDescent="0.3">
      <c r="D81" s="168"/>
      <c r="E81" s="171"/>
      <c r="F81" s="174"/>
      <c r="G81" s="92"/>
      <c r="H81" s="92"/>
      <c r="I81" s="92"/>
    </row>
    <row r="82" spans="4:9" x14ac:dyDescent="0.3">
      <c r="D82" s="167"/>
      <c r="E82" s="170"/>
      <c r="F82" s="173"/>
      <c r="G82" s="91"/>
      <c r="H82" s="91"/>
      <c r="I82" s="91"/>
    </row>
    <row r="83" spans="4:9" x14ac:dyDescent="0.3">
      <c r="D83" s="168"/>
      <c r="E83" s="171"/>
      <c r="F83" s="174"/>
      <c r="G83" s="92"/>
      <c r="H83" s="92"/>
      <c r="I83" s="92"/>
    </row>
    <row r="84" spans="4:9" x14ac:dyDescent="0.3">
      <c r="D84" s="167"/>
      <c r="E84" s="170"/>
      <c r="F84" s="173"/>
      <c r="G84" s="91"/>
      <c r="H84" s="91"/>
      <c r="I84" s="91"/>
    </row>
    <row r="85" spans="4:9" x14ac:dyDescent="0.3">
      <c r="D85" s="168"/>
      <c r="E85" s="171"/>
      <c r="F85" s="174"/>
      <c r="G85" s="92"/>
      <c r="H85" s="92"/>
      <c r="I85" s="92"/>
    </row>
    <row r="86" spans="4:9" x14ac:dyDescent="0.3">
      <c r="D86" s="167"/>
      <c r="E86" s="170"/>
      <c r="F86" s="173"/>
      <c r="G86" s="91"/>
      <c r="H86" s="91"/>
      <c r="I86" s="91"/>
    </row>
    <row r="87" spans="4:9" x14ac:dyDescent="0.3">
      <c r="D87" s="168"/>
      <c r="E87" s="171"/>
      <c r="F87" s="174"/>
      <c r="G87" s="92"/>
      <c r="H87" s="92"/>
      <c r="I87" s="92"/>
    </row>
    <row r="88" spans="4:9" x14ac:dyDescent="0.3">
      <c r="D88" s="167"/>
      <c r="E88" s="170"/>
      <c r="F88" s="173"/>
      <c r="G88" s="91"/>
      <c r="H88" s="91"/>
      <c r="I88" s="91"/>
    </row>
    <row r="89" spans="4:9" x14ac:dyDescent="0.3">
      <c r="D89" s="168"/>
      <c r="E89" s="171"/>
      <c r="F89" s="174"/>
      <c r="G89" s="92"/>
      <c r="H89" s="92"/>
      <c r="I89" s="92"/>
    </row>
    <row r="90" spans="4:9" x14ac:dyDescent="0.3">
      <c r="D90" s="167"/>
      <c r="E90" s="170"/>
      <c r="F90" s="173"/>
      <c r="G90" s="91"/>
      <c r="H90" s="91"/>
      <c r="I90" s="91"/>
    </row>
    <row r="91" spans="4:9" x14ac:dyDescent="0.3">
      <c r="D91" s="168"/>
      <c r="E91" s="171"/>
      <c r="F91" s="174"/>
      <c r="G91" s="92"/>
      <c r="H91" s="92"/>
      <c r="I91" s="92"/>
    </row>
    <row r="92" spans="4:9" x14ac:dyDescent="0.3">
      <c r="D92" s="167"/>
      <c r="E92" s="170"/>
      <c r="F92" s="173"/>
      <c r="G92" s="91"/>
      <c r="H92" s="91"/>
      <c r="I92" s="91"/>
    </row>
    <row r="93" spans="4:9" x14ac:dyDescent="0.3">
      <c r="D93" s="168"/>
      <c r="E93" s="171"/>
      <c r="F93" s="174"/>
      <c r="G93" s="92"/>
      <c r="H93" s="92"/>
      <c r="I93" s="92"/>
    </row>
    <row r="94" spans="4:9" x14ac:dyDescent="0.3">
      <c r="D94" s="167"/>
      <c r="E94" s="170"/>
      <c r="F94" s="173"/>
      <c r="G94" s="91"/>
      <c r="H94" s="91"/>
      <c r="I94" s="91"/>
    </row>
    <row r="95" spans="4:9" x14ac:dyDescent="0.3">
      <c r="D95" s="168"/>
      <c r="E95" s="171"/>
      <c r="F95" s="174"/>
      <c r="G95" s="92"/>
      <c r="H95" s="92"/>
      <c r="I95" s="92"/>
    </row>
    <row r="96" spans="4:9" x14ac:dyDescent="0.3">
      <c r="D96" s="167"/>
      <c r="E96" s="170"/>
      <c r="F96" s="173"/>
      <c r="G96" s="91"/>
      <c r="H96" s="91"/>
      <c r="I96" s="91"/>
    </row>
    <row r="97" spans="4:9" x14ac:dyDescent="0.3">
      <c r="D97" s="168"/>
      <c r="E97" s="171"/>
      <c r="F97" s="174"/>
      <c r="G97" s="92"/>
      <c r="H97" s="92"/>
      <c r="I97" s="92"/>
    </row>
    <row r="98" spans="4:9" x14ac:dyDescent="0.3">
      <c r="D98" s="167"/>
      <c r="E98" s="170"/>
      <c r="F98" s="173"/>
      <c r="G98" s="91"/>
      <c r="H98" s="91"/>
      <c r="I98" s="91"/>
    </row>
    <row r="99" spans="4:9" x14ac:dyDescent="0.3">
      <c r="D99" s="168"/>
      <c r="E99" s="171"/>
      <c r="F99" s="174"/>
      <c r="G99" s="92"/>
      <c r="H99" s="92"/>
      <c r="I99" s="92"/>
    </row>
    <row r="100" spans="4:9" x14ac:dyDescent="0.3">
      <c r="D100" s="167"/>
      <c r="E100" s="170"/>
      <c r="F100" s="173"/>
      <c r="G100" s="91"/>
      <c r="H100" s="91"/>
      <c r="I100" s="91"/>
    </row>
    <row r="101" spans="4:9" x14ac:dyDescent="0.3">
      <c r="D101" s="168"/>
      <c r="E101" s="171"/>
      <c r="F101" s="174"/>
      <c r="G101" s="92"/>
      <c r="H101" s="92"/>
      <c r="I101" s="92"/>
    </row>
    <row r="102" spans="4:9" x14ac:dyDescent="0.3">
      <c r="D102" s="167"/>
      <c r="E102" s="170"/>
      <c r="F102" s="173"/>
      <c r="G102" s="91"/>
      <c r="H102" s="91"/>
      <c r="I102" s="91"/>
    </row>
    <row r="103" spans="4:9" x14ac:dyDescent="0.3">
      <c r="D103" s="168"/>
      <c r="E103" s="171"/>
      <c r="F103" s="174"/>
      <c r="G103" s="92"/>
      <c r="H103" s="92"/>
      <c r="I103" s="92"/>
    </row>
    <row r="104" spans="4:9" x14ac:dyDescent="0.3">
      <c r="D104" s="167"/>
      <c r="E104" s="170"/>
      <c r="F104" s="173"/>
      <c r="G104" s="91"/>
      <c r="H104" s="91"/>
      <c r="I104" s="91"/>
    </row>
    <row r="105" spans="4:9" x14ac:dyDescent="0.3">
      <c r="D105" s="168"/>
      <c r="E105" s="171"/>
      <c r="F105" s="174"/>
      <c r="G105" s="92"/>
      <c r="H105" s="92"/>
      <c r="I105" s="92"/>
    </row>
    <row r="106" spans="4:9" x14ac:dyDescent="0.3">
      <c r="D106" s="167"/>
      <c r="E106" s="170"/>
      <c r="F106" s="173"/>
      <c r="G106" s="91"/>
      <c r="H106" s="91"/>
      <c r="I106" s="91"/>
    </row>
    <row r="107" spans="4:9" x14ac:dyDescent="0.3">
      <c r="D107" s="168"/>
      <c r="E107" s="171"/>
      <c r="F107" s="174"/>
      <c r="G107" s="92"/>
      <c r="H107" s="92"/>
      <c r="I107" s="92"/>
    </row>
    <row r="108" spans="4:9" x14ac:dyDescent="0.3">
      <c r="D108" s="167"/>
      <c r="E108" s="170"/>
      <c r="F108" s="173"/>
      <c r="G108" s="91"/>
      <c r="H108" s="91"/>
      <c r="I108" s="91"/>
    </row>
    <row r="109" spans="4:9" x14ac:dyDescent="0.3">
      <c r="D109" s="168"/>
      <c r="E109" s="171"/>
      <c r="F109" s="174"/>
      <c r="G109" s="92"/>
      <c r="H109" s="92"/>
      <c r="I109" s="92"/>
    </row>
    <row r="110" spans="4:9" x14ac:dyDescent="0.3">
      <c r="D110" s="167"/>
      <c r="E110" s="170"/>
      <c r="F110" s="173"/>
      <c r="G110" s="91"/>
      <c r="H110" s="91"/>
      <c r="I110" s="91"/>
    </row>
    <row r="111" spans="4:9" x14ac:dyDescent="0.3">
      <c r="D111" s="168"/>
      <c r="E111" s="171"/>
      <c r="F111" s="174"/>
      <c r="G111" s="92"/>
      <c r="H111" s="92"/>
      <c r="I111" s="92"/>
    </row>
    <row r="112" spans="4:9" x14ac:dyDescent="0.3">
      <c r="D112" s="167"/>
      <c r="E112" s="170"/>
      <c r="F112" s="173"/>
      <c r="G112" s="91"/>
      <c r="H112" s="91"/>
      <c r="I112" s="91"/>
    </row>
    <row r="113" spans="4:9" x14ac:dyDescent="0.3">
      <c r="D113" s="168"/>
      <c r="E113" s="171"/>
      <c r="F113" s="174"/>
      <c r="G113" s="92"/>
      <c r="H113" s="92"/>
      <c r="I113" s="92"/>
    </row>
    <row r="114" spans="4:9" x14ac:dyDescent="0.3">
      <c r="D114" s="167"/>
      <c r="E114" s="170"/>
      <c r="F114" s="173"/>
      <c r="G114" s="91"/>
      <c r="H114" s="91"/>
      <c r="I114" s="91"/>
    </row>
    <row r="115" spans="4:9" x14ac:dyDescent="0.3">
      <c r="D115" s="168"/>
      <c r="E115" s="171"/>
      <c r="F115" s="174"/>
      <c r="G115" s="92"/>
      <c r="H115" s="92"/>
      <c r="I115" s="92"/>
    </row>
    <row r="116" spans="4:9" x14ac:dyDescent="0.3">
      <c r="D116" s="167"/>
      <c r="E116" s="170"/>
      <c r="F116" s="173"/>
      <c r="G116" s="91"/>
      <c r="H116" s="91"/>
      <c r="I116" s="91"/>
    </row>
    <row r="117" spans="4:9" x14ac:dyDescent="0.3">
      <c r="D117" s="168"/>
      <c r="E117" s="171"/>
      <c r="F117" s="174"/>
      <c r="G117" s="92"/>
      <c r="H117" s="92"/>
      <c r="I117" s="92"/>
    </row>
    <row r="118" spans="4:9" x14ac:dyDescent="0.3">
      <c r="D118" s="167"/>
      <c r="E118" s="170"/>
      <c r="F118" s="173"/>
      <c r="G118" s="91"/>
      <c r="H118" s="91"/>
      <c r="I118" s="91"/>
    </row>
    <row r="119" spans="4:9" x14ac:dyDescent="0.3">
      <c r="D119" s="168"/>
      <c r="E119" s="171"/>
      <c r="F119" s="174"/>
      <c r="G119" s="92"/>
      <c r="H119" s="92"/>
      <c r="I119" s="92"/>
    </row>
    <row r="120" spans="4:9" x14ac:dyDescent="0.3">
      <c r="D120" s="167"/>
      <c r="E120" s="170"/>
      <c r="F120" s="173"/>
      <c r="G120" s="91"/>
      <c r="H120" s="91"/>
      <c r="I120" s="91"/>
    </row>
    <row r="121" spans="4:9" x14ac:dyDescent="0.3">
      <c r="D121" s="168"/>
      <c r="E121" s="171"/>
      <c r="F121" s="174"/>
      <c r="G121" s="92"/>
      <c r="H121" s="92"/>
      <c r="I121" s="92"/>
    </row>
    <row r="122" spans="4:9" x14ac:dyDescent="0.3">
      <c r="D122" s="167"/>
      <c r="E122" s="170"/>
      <c r="F122" s="173"/>
      <c r="G122" s="91"/>
      <c r="H122" s="91"/>
      <c r="I122" s="91"/>
    </row>
    <row r="123" spans="4:9" x14ac:dyDescent="0.3">
      <c r="D123" s="168"/>
      <c r="E123" s="171"/>
      <c r="F123" s="174"/>
      <c r="G123" s="92"/>
      <c r="H123" s="92"/>
      <c r="I123" s="92"/>
    </row>
    <row r="124" spans="4:9" x14ac:dyDescent="0.3">
      <c r="D124" s="167"/>
      <c r="E124" s="170"/>
      <c r="F124" s="173"/>
      <c r="G124" s="91"/>
      <c r="H124" s="91"/>
      <c r="I124" s="91"/>
    </row>
    <row r="125" spans="4:9" x14ac:dyDescent="0.3">
      <c r="D125" s="168"/>
      <c r="E125" s="171"/>
      <c r="F125" s="174"/>
      <c r="G125" s="92"/>
      <c r="H125" s="92"/>
      <c r="I125" s="92"/>
    </row>
    <row r="126" spans="4:9" x14ac:dyDescent="0.3">
      <c r="D126" s="167"/>
      <c r="E126" s="170"/>
      <c r="F126" s="173"/>
      <c r="G126" s="91"/>
      <c r="H126" s="91"/>
      <c r="I126" s="91"/>
    </row>
    <row r="127" spans="4:9" x14ac:dyDescent="0.3">
      <c r="D127" s="168"/>
      <c r="E127" s="171"/>
      <c r="F127" s="174"/>
      <c r="G127" s="92"/>
      <c r="H127" s="92"/>
      <c r="I127" s="92"/>
    </row>
    <row r="128" spans="4:9" x14ac:dyDescent="0.3">
      <c r="D128" s="167"/>
      <c r="E128" s="170"/>
      <c r="F128" s="173"/>
      <c r="G128" s="91"/>
      <c r="H128" s="91"/>
      <c r="I128" s="91"/>
    </row>
    <row r="129" spans="4:9" x14ac:dyDescent="0.3">
      <c r="D129" s="168"/>
      <c r="E129" s="171"/>
      <c r="F129" s="174"/>
      <c r="G129" s="92"/>
      <c r="H129" s="92"/>
      <c r="I129" s="92"/>
    </row>
    <row r="130" spans="4:9" x14ac:dyDescent="0.3">
      <c r="D130" s="167"/>
      <c r="E130" s="170"/>
      <c r="F130" s="173"/>
      <c r="G130" s="91"/>
      <c r="H130" s="91"/>
      <c r="I130" s="91"/>
    </row>
    <row r="131" spans="4:9" x14ac:dyDescent="0.3">
      <c r="D131" s="168"/>
      <c r="E131" s="171"/>
      <c r="F131" s="174"/>
      <c r="G131" s="92"/>
      <c r="H131" s="92"/>
      <c r="I131" s="92"/>
    </row>
    <row r="132" spans="4:9" x14ac:dyDescent="0.3">
      <c r="D132" s="167"/>
      <c r="E132" s="170"/>
      <c r="F132" s="173"/>
      <c r="G132" s="91"/>
      <c r="H132" s="91"/>
      <c r="I132" s="91"/>
    </row>
    <row r="133" spans="4:9" x14ac:dyDescent="0.3">
      <c r="D133" s="168"/>
      <c r="E133" s="171"/>
      <c r="F133" s="174"/>
      <c r="G133" s="92"/>
      <c r="H133" s="92"/>
      <c r="I133" s="92"/>
    </row>
    <row r="134" spans="4:9" x14ac:dyDescent="0.3">
      <c r="D134" s="167"/>
      <c r="E134" s="170"/>
      <c r="F134" s="173"/>
      <c r="G134" s="91"/>
      <c r="H134" s="91"/>
      <c r="I134" s="91"/>
    </row>
    <row r="135" spans="4:9" x14ac:dyDescent="0.3">
      <c r="D135" s="168"/>
      <c r="E135" s="171"/>
      <c r="F135" s="174"/>
      <c r="G135" s="92"/>
      <c r="H135" s="92"/>
      <c r="I135" s="92"/>
    </row>
    <row r="136" spans="4:9" x14ac:dyDescent="0.3">
      <c r="D136" s="167"/>
      <c r="E136" s="170"/>
      <c r="F136" s="173"/>
      <c r="G136" s="91"/>
      <c r="H136" s="91"/>
      <c r="I136" s="91"/>
    </row>
    <row r="137" spans="4:9" x14ac:dyDescent="0.3">
      <c r="D137" s="168"/>
      <c r="E137" s="171"/>
      <c r="F137" s="174"/>
      <c r="G137" s="92"/>
      <c r="H137" s="92"/>
      <c r="I137" s="92"/>
    </row>
    <row r="138" spans="4:9" x14ac:dyDescent="0.3">
      <c r="D138" s="167"/>
      <c r="E138" s="170"/>
      <c r="F138" s="173"/>
      <c r="G138" s="91"/>
      <c r="H138" s="91"/>
      <c r="I138" s="91"/>
    </row>
    <row r="139" spans="4:9" x14ac:dyDescent="0.3">
      <c r="D139" s="168"/>
      <c r="E139" s="171"/>
      <c r="F139" s="174"/>
      <c r="G139" s="92"/>
      <c r="H139" s="92"/>
      <c r="I139" s="92"/>
    </row>
    <row r="140" spans="4:9" x14ac:dyDescent="0.3">
      <c r="D140" s="167"/>
      <c r="E140" s="170"/>
      <c r="F140" s="173"/>
      <c r="G140" s="91"/>
      <c r="H140" s="91"/>
      <c r="I140" s="91"/>
    </row>
    <row r="141" spans="4:9" x14ac:dyDescent="0.3">
      <c r="D141" s="168"/>
      <c r="E141" s="171"/>
      <c r="F141" s="174"/>
      <c r="G141" s="92"/>
      <c r="H141" s="92"/>
      <c r="I141" s="92"/>
    </row>
    <row r="142" spans="4:9" x14ac:dyDescent="0.3">
      <c r="D142" s="167"/>
      <c r="E142" s="170"/>
      <c r="F142" s="173"/>
      <c r="G142" s="91"/>
      <c r="H142" s="91"/>
      <c r="I142" s="91"/>
    </row>
    <row r="143" spans="4:9" x14ac:dyDescent="0.3">
      <c r="D143" s="168"/>
      <c r="E143" s="171"/>
      <c r="F143" s="174"/>
      <c r="G143" s="92"/>
      <c r="H143" s="92"/>
      <c r="I143" s="92"/>
    </row>
    <row r="144" spans="4:9" x14ac:dyDescent="0.3">
      <c r="D144" s="167"/>
      <c r="E144" s="170"/>
      <c r="F144" s="173"/>
      <c r="G144" s="91"/>
      <c r="H144" s="91"/>
      <c r="I144" s="91"/>
    </row>
    <row r="145" spans="4:9" x14ac:dyDescent="0.3">
      <c r="D145" s="168"/>
      <c r="E145" s="171"/>
      <c r="F145" s="174"/>
      <c r="G145" s="92"/>
      <c r="H145" s="92"/>
      <c r="I145" s="92"/>
    </row>
    <row r="146" spans="4:9" x14ac:dyDescent="0.3">
      <c r="D146" s="167"/>
      <c r="E146" s="170"/>
      <c r="F146" s="173"/>
      <c r="G146" s="91"/>
      <c r="H146" s="91"/>
      <c r="I146" s="91"/>
    </row>
    <row r="147" spans="4:9" x14ac:dyDescent="0.3">
      <c r="D147" s="168"/>
      <c r="E147" s="171"/>
      <c r="F147" s="174"/>
      <c r="G147" s="92"/>
      <c r="H147" s="92"/>
      <c r="I147" s="92"/>
    </row>
    <row r="148" spans="4:9" x14ac:dyDescent="0.3">
      <c r="D148" s="167"/>
      <c r="E148" s="170"/>
      <c r="F148" s="173"/>
      <c r="G148" s="91"/>
      <c r="H148" s="91"/>
      <c r="I148" s="91"/>
    </row>
    <row r="149" spans="4:9" x14ac:dyDescent="0.3">
      <c r="D149" s="168"/>
      <c r="E149" s="171"/>
      <c r="F149" s="174"/>
      <c r="G149" s="92"/>
      <c r="H149" s="92"/>
      <c r="I149" s="92"/>
    </row>
    <row r="150" spans="4:9" x14ac:dyDescent="0.3">
      <c r="D150" s="167"/>
      <c r="E150" s="170"/>
      <c r="F150" s="173"/>
      <c r="G150" s="91"/>
      <c r="H150" s="91"/>
      <c r="I150" s="91"/>
    </row>
    <row r="151" spans="4:9" x14ac:dyDescent="0.3">
      <c r="D151" s="168"/>
      <c r="E151" s="171"/>
      <c r="F151" s="174"/>
      <c r="G151" s="92"/>
      <c r="H151" s="92"/>
      <c r="I151" s="92"/>
    </row>
    <row r="152" spans="4:9" x14ac:dyDescent="0.3">
      <c r="D152" s="167"/>
      <c r="E152" s="170"/>
      <c r="F152" s="173"/>
      <c r="G152" s="91"/>
      <c r="H152" s="91"/>
      <c r="I152" s="91"/>
    </row>
    <row r="153" spans="4:9" x14ac:dyDescent="0.3">
      <c r="D153" s="168"/>
      <c r="E153" s="171"/>
      <c r="F153" s="174"/>
      <c r="G153" s="92"/>
      <c r="H153" s="92"/>
      <c r="I153" s="92"/>
    </row>
    <row r="154" spans="4:9" x14ac:dyDescent="0.3">
      <c r="D154" s="167"/>
      <c r="E154" s="170"/>
      <c r="F154" s="173"/>
      <c r="G154" s="91"/>
      <c r="H154" s="91"/>
      <c r="I154" s="91"/>
    </row>
    <row r="155" spans="4:9" x14ac:dyDescent="0.3">
      <c r="D155" s="168"/>
      <c r="E155" s="171"/>
      <c r="F155" s="174"/>
      <c r="G155" s="92"/>
      <c r="H155" s="92"/>
      <c r="I155" s="92"/>
    </row>
    <row r="156" spans="4:9" x14ac:dyDescent="0.3">
      <c r="D156" s="167"/>
      <c r="E156" s="170"/>
      <c r="F156" s="173"/>
      <c r="G156" s="91"/>
      <c r="H156" s="91"/>
      <c r="I156" s="91"/>
    </row>
    <row r="157" spans="4:9" x14ac:dyDescent="0.3">
      <c r="D157" s="168"/>
      <c r="E157" s="171"/>
      <c r="F157" s="174"/>
      <c r="G157" s="92"/>
      <c r="H157" s="92"/>
      <c r="I157" s="92"/>
    </row>
    <row r="158" spans="4:9" x14ac:dyDescent="0.3">
      <c r="D158" s="167"/>
      <c r="E158" s="170"/>
      <c r="F158" s="173"/>
      <c r="G158" s="91"/>
      <c r="H158" s="91"/>
      <c r="I158" s="91"/>
    </row>
    <row r="159" spans="4:9" x14ac:dyDescent="0.3">
      <c r="D159" s="168"/>
      <c r="E159" s="171"/>
      <c r="F159" s="174"/>
      <c r="G159" s="92"/>
      <c r="H159" s="92"/>
      <c r="I159" s="92"/>
    </row>
    <row r="160" spans="4:9" x14ac:dyDescent="0.3">
      <c r="D160" s="167"/>
      <c r="E160" s="170"/>
      <c r="F160" s="173"/>
      <c r="G160" s="91"/>
      <c r="H160" s="91"/>
      <c r="I160" s="91"/>
    </row>
    <row r="161" spans="4:9" x14ac:dyDescent="0.3">
      <c r="D161" s="168"/>
      <c r="E161" s="171"/>
      <c r="F161" s="174"/>
      <c r="G161" s="92"/>
      <c r="H161" s="92"/>
      <c r="I161" s="92"/>
    </row>
    <row r="162" spans="4:9" x14ac:dyDescent="0.3">
      <c r="D162" s="167"/>
      <c r="E162" s="170"/>
      <c r="F162" s="173"/>
      <c r="G162" s="91"/>
      <c r="H162" s="91"/>
      <c r="I162" s="91"/>
    </row>
    <row r="163" spans="4:9" x14ac:dyDescent="0.3">
      <c r="D163" s="168"/>
      <c r="E163" s="171"/>
      <c r="F163" s="174"/>
      <c r="G163" s="92"/>
      <c r="H163" s="92"/>
      <c r="I163" s="92"/>
    </row>
    <row r="164" spans="4:9" x14ac:dyDescent="0.3">
      <c r="D164" s="167"/>
      <c r="E164" s="170"/>
      <c r="F164" s="173"/>
      <c r="G164" s="91"/>
      <c r="H164" s="91"/>
      <c r="I164" s="91"/>
    </row>
    <row r="165" spans="4:9" x14ac:dyDescent="0.3">
      <c r="D165" s="168"/>
      <c r="E165" s="171"/>
      <c r="F165" s="174"/>
      <c r="G165" s="92"/>
      <c r="H165" s="92"/>
      <c r="I165" s="92"/>
    </row>
    <row r="166" spans="4:9" x14ac:dyDescent="0.3">
      <c r="D166" s="167"/>
      <c r="E166" s="170"/>
      <c r="F166" s="173"/>
      <c r="G166" s="91"/>
      <c r="H166" s="91"/>
      <c r="I166" s="91"/>
    </row>
    <row r="167" spans="4:9" x14ac:dyDescent="0.3">
      <c r="D167" s="168"/>
      <c r="E167" s="171"/>
      <c r="F167" s="174"/>
      <c r="G167" s="92"/>
      <c r="H167" s="92"/>
      <c r="I167" s="92"/>
    </row>
    <row r="168" spans="4:9" x14ac:dyDescent="0.3">
      <c r="D168" s="167"/>
      <c r="E168" s="170"/>
      <c r="F168" s="173"/>
      <c r="G168" s="91"/>
      <c r="H168" s="91"/>
      <c r="I168" s="91"/>
    </row>
    <row r="169" spans="4:9" x14ac:dyDescent="0.3">
      <c r="D169" s="168"/>
      <c r="E169" s="171"/>
      <c r="F169" s="174"/>
      <c r="G169" s="92"/>
      <c r="H169" s="92"/>
      <c r="I169" s="92"/>
    </row>
    <row r="170" spans="4:9" x14ac:dyDescent="0.3">
      <c r="D170" s="167"/>
      <c r="E170" s="170"/>
      <c r="F170" s="173"/>
      <c r="G170" s="91"/>
      <c r="H170" s="91"/>
      <c r="I170" s="91"/>
    </row>
    <row r="171" spans="4:9" x14ac:dyDescent="0.3">
      <c r="D171" s="168"/>
      <c r="E171" s="171"/>
      <c r="F171" s="174"/>
      <c r="G171" s="92"/>
      <c r="H171" s="92"/>
      <c r="I171" s="92"/>
    </row>
    <row r="172" spans="4:9" x14ac:dyDescent="0.3">
      <c r="D172" s="167"/>
      <c r="E172" s="170"/>
      <c r="F172" s="173"/>
      <c r="G172" s="91"/>
      <c r="H172" s="91"/>
      <c r="I172" s="91"/>
    </row>
    <row r="173" spans="4:9" x14ac:dyDescent="0.3">
      <c r="D173" s="168"/>
      <c r="E173" s="171"/>
      <c r="F173" s="174"/>
      <c r="G173" s="92"/>
      <c r="H173" s="92"/>
      <c r="I173" s="92"/>
    </row>
    <row r="174" spans="4:9" x14ac:dyDescent="0.3">
      <c r="D174" s="167"/>
      <c r="E174" s="170"/>
      <c r="F174" s="173"/>
      <c r="G174" s="91"/>
      <c r="H174" s="91"/>
      <c r="I174" s="91"/>
    </row>
    <row r="175" spans="4:9" x14ac:dyDescent="0.3">
      <c r="D175" s="168"/>
      <c r="E175" s="171"/>
      <c r="F175" s="174"/>
      <c r="G175" s="92"/>
      <c r="H175" s="92"/>
      <c r="I175" s="92"/>
    </row>
    <row r="176" spans="4:9" x14ac:dyDescent="0.3">
      <c r="D176" s="167"/>
      <c r="E176" s="170"/>
      <c r="F176" s="173"/>
      <c r="G176" s="91"/>
      <c r="H176" s="91"/>
      <c r="I176" s="91"/>
    </row>
    <row r="177" spans="4:9" x14ac:dyDescent="0.3">
      <c r="D177" s="168"/>
      <c r="E177" s="171"/>
      <c r="F177" s="174"/>
      <c r="G177" s="92"/>
      <c r="H177" s="92"/>
      <c r="I177" s="92"/>
    </row>
    <row r="178" spans="4:9" x14ac:dyDescent="0.3">
      <c r="D178" s="167"/>
      <c r="E178" s="170"/>
      <c r="F178" s="173"/>
      <c r="G178" s="91"/>
      <c r="H178" s="91"/>
      <c r="I178" s="91"/>
    </row>
    <row r="179" spans="4:9" x14ac:dyDescent="0.3">
      <c r="D179" s="168"/>
      <c r="E179" s="171"/>
      <c r="F179" s="174"/>
      <c r="G179" s="92"/>
      <c r="H179" s="92"/>
      <c r="I179" s="92"/>
    </row>
    <row r="180" spans="4:9" x14ac:dyDescent="0.3">
      <c r="D180" s="167"/>
      <c r="E180" s="170"/>
      <c r="F180" s="173"/>
      <c r="G180" s="91"/>
      <c r="H180" s="91"/>
      <c r="I180" s="91"/>
    </row>
    <row r="181" spans="4:9" x14ac:dyDescent="0.3">
      <c r="D181" s="168"/>
      <c r="E181" s="171"/>
      <c r="F181" s="174"/>
      <c r="G181" s="92"/>
      <c r="H181" s="92"/>
      <c r="I181" s="92"/>
    </row>
    <row r="182" spans="4:9" x14ac:dyDescent="0.3">
      <c r="D182" s="167"/>
      <c r="E182" s="170"/>
      <c r="F182" s="173"/>
      <c r="G182" s="91"/>
      <c r="H182" s="91"/>
      <c r="I182" s="91"/>
    </row>
    <row r="183" spans="4:9" x14ac:dyDescent="0.3">
      <c r="D183" s="168"/>
      <c r="E183" s="171"/>
      <c r="F183" s="174"/>
      <c r="G183" s="92"/>
      <c r="H183" s="92"/>
      <c r="I183" s="92"/>
    </row>
    <row r="184" spans="4:9" x14ac:dyDescent="0.3">
      <c r="D184" s="167"/>
      <c r="E184" s="170"/>
      <c r="F184" s="173"/>
      <c r="G184" s="91"/>
      <c r="H184" s="91"/>
      <c r="I184" s="91"/>
    </row>
    <row r="185" spans="4:9" x14ac:dyDescent="0.3">
      <c r="D185" s="168"/>
      <c r="E185" s="171"/>
      <c r="F185" s="174"/>
      <c r="G185" s="92"/>
      <c r="H185" s="92"/>
      <c r="I185" s="92"/>
    </row>
    <row r="186" spans="4:9" x14ac:dyDescent="0.3">
      <c r="D186" s="167"/>
      <c r="E186" s="170"/>
      <c r="F186" s="173"/>
      <c r="G186" s="91"/>
      <c r="H186" s="91"/>
      <c r="I186" s="91"/>
    </row>
    <row r="187" spans="4:9" x14ac:dyDescent="0.3">
      <c r="D187" s="168"/>
      <c r="E187" s="171"/>
      <c r="F187" s="174"/>
      <c r="G187" s="92"/>
      <c r="H187" s="92"/>
      <c r="I187" s="92"/>
    </row>
    <row r="188" spans="4:9" x14ac:dyDescent="0.3">
      <c r="D188" s="167"/>
      <c r="E188" s="170"/>
      <c r="F188" s="173"/>
      <c r="G188" s="91"/>
      <c r="H188" s="91"/>
      <c r="I188" s="91"/>
    </row>
    <row r="189" spans="4:9" x14ac:dyDescent="0.3">
      <c r="D189" s="168"/>
      <c r="E189" s="171"/>
      <c r="F189" s="174"/>
      <c r="G189" s="92"/>
      <c r="H189" s="92"/>
      <c r="I189" s="92"/>
    </row>
    <row r="190" spans="4:9" x14ac:dyDescent="0.3">
      <c r="D190" s="167"/>
      <c r="E190" s="170"/>
      <c r="F190" s="173"/>
      <c r="G190" s="91"/>
      <c r="H190" s="91"/>
      <c r="I190" s="91"/>
    </row>
    <row r="191" spans="4:9" x14ac:dyDescent="0.3">
      <c r="D191" s="168"/>
      <c r="E191" s="171"/>
      <c r="F191" s="174"/>
      <c r="G191" s="92"/>
      <c r="H191" s="92"/>
      <c r="I191" s="92"/>
    </row>
    <row r="192" spans="4:9" x14ac:dyDescent="0.3">
      <c r="D192" s="167"/>
      <c r="E192" s="170"/>
      <c r="F192" s="173"/>
      <c r="G192" s="91"/>
      <c r="H192" s="91"/>
      <c r="I192" s="91"/>
    </row>
    <row r="193" spans="4:9" x14ac:dyDescent="0.3">
      <c r="D193" s="168"/>
      <c r="E193" s="171"/>
      <c r="F193" s="174"/>
      <c r="G193" s="92"/>
      <c r="H193" s="92"/>
      <c r="I193" s="92"/>
    </row>
    <row r="194" spans="4:9" x14ac:dyDescent="0.3">
      <c r="D194" s="167"/>
      <c r="E194" s="170"/>
      <c r="F194" s="173"/>
      <c r="G194" s="91"/>
      <c r="H194" s="91"/>
      <c r="I194" s="91"/>
    </row>
    <row r="195" spans="4:9" x14ac:dyDescent="0.3">
      <c r="D195" s="168"/>
      <c r="E195" s="171"/>
      <c r="F195" s="174"/>
      <c r="G195" s="92"/>
      <c r="H195" s="92"/>
      <c r="I195" s="92"/>
    </row>
    <row r="196" spans="4:9" x14ac:dyDescent="0.3">
      <c r="D196" s="167"/>
      <c r="E196" s="170"/>
      <c r="F196" s="173"/>
      <c r="G196" s="91"/>
      <c r="H196" s="91"/>
      <c r="I196" s="91"/>
    </row>
    <row r="197" spans="4:9" x14ac:dyDescent="0.3">
      <c r="D197" s="168"/>
      <c r="E197" s="171"/>
      <c r="F197" s="174"/>
      <c r="G197" s="92"/>
      <c r="H197" s="92"/>
      <c r="I197" s="92"/>
    </row>
    <row r="198" spans="4:9" x14ac:dyDescent="0.3">
      <c r="D198" s="167"/>
      <c r="E198" s="170"/>
      <c r="F198" s="173"/>
      <c r="G198" s="91"/>
      <c r="H198" s="91"/>
      <c r="I198" s="91"/>
    </row>
    <row r="199" spans="4:9" x14ac:dyDescent="0.3">
      <c r="D199" s="168"/>
      <c r="E199" s="171"/>
      <c r="F199" s="174"/>
      <c r="G199" s="92"/>
      <c r="H199" s="92"/>
      <c r="I199" s="92"/>
    </row>
    <row r="200" spans="4:9" x14ac:dyDescent="0.3">
      <c r="D200" s="167"/>
      <c r="E200" s="170"/>
      <c r="F200" s="173"/>
      <c r="G200" s="91"/>
      <c r="H200" s="91"/>
      <c r="I200" s="91"/>
    </row>
    <row r="201" spans="4:9" x14ac:dyDescent="0.3">
      <c r="D201" s="168"/>
      <c r="E201" s="171"/>
      <c r="F201" s="174"/>
      <c r="G201" s="92"/>
      <c r="H201" s="92"/>
      <c r="I201" s="92"/>
    </row>
    <row r="202" spans="4:9" x14ac:dyDescent="0.3">
      <c r="D202" s="167"/>
      <c r="E202" s="170"/>
      <c r="F202" s="173"/>
      <c r="G202" s="91"/>
      <c r="H202" s="91"/>
      <c r="I202" s="91"/>
    </row>
    <row r="203" spans="4:9" x14ac:dyDescent="0.3">
      <c r="D203" s="168"/>
      <c r="E203" s="171"/>
      <c r="F203" s="174"/>
      <c r="G203" s="92"/>
      <c r="H203" s="92"/>
      <c r="I203" s="92"/>
    </row>
    <row r="204" spans="4:9" x14ac:dyDescent="0.3">
      <c r="D204" s="167"/>
      <c r="E204" s="170"/>
      <c r="F204" s="173"/>
      <c r="G204" s="91"/>
      <c r="H204" s="91"/>
      <c r="I204" s="91"/>
    </row>
    <row r="205" spans="4:9" x14ac:dyDescent="0.3">
      <c r="D205" s="168"/>
      <c r="E205" s="171"/>
      <c r="F205" s="174"/>
      <c r="G205" s="92"/>
      <c r="H205" s="92"/>
      <c r="I205" s="92"/>
    </row>
    <row r="206" spans="4:9" x14ac:dyDescent="0.3">
      <c r="D206" s="167"/>
      <c r="E206" s="170"/>
      <c r="F206" s="173"/>
      <c r="G206" s="91"/>
      <c r="H206" s="91"/>
      <c r="I206" s="91"/>
    </row>
    <row r="207" spans="4:9" x14ac:dyDescent="0.3">
      <c r="D207" s="168"/>
      <c r="E207" s="171"/>
      <c r="F207" s="174"/>
      <c r="G207" s="92"/>
      <c r="H207" s="92"/>
      <c r="I207" s="92"/>
    </row>
    <row r="208" spans="4:9" x14ac:dyDescent="0.3">
      <c r="D208" s="167"/>
      <c r="E208" s="170"/>
      <c r="F208" s="173"/>
      <c r="G208" s="91"/>
      <c r="H208" s="91"/>
      <c r="I208" s="91"/>
    </row>
    <row r="209" spans="4:9" x14ac:dyDescent="0.3">
      <c r="D209" s="168"/>
      <c r="E209" s="171"/>
      <c r="F209" s="174"/>
      <c r="G209" s="92"/>
      <c r="H209" s="92"/>
      <c r="I209" s="92"/>
    </row>
    <row r="210" spans="4:9" x14ac:dyDescent="0.3">
      <c r="D210" s="167"/>
      <c r="E210" s="170"/>
      <c r="F210" s="173"/>
      <c r="G210" s="91"/>
      <c r="H210" s="91"/>
      <c r="I210" s="91"/>
    </row>
    <row r="211" spans="4:9" x14ac:dyDescent="0.3">
      <c r="D211" s="168"/>
      <c r="E211" s="171"/>
      <c r="F211" s="174"/>
      <c r="G211" s="92"/>
      <c r="H211" s="92"/>
      <c r="I211" s="92"/>
    </row>
    <row r="212" spans="4:9" x14ac:dyDescent="0.3">
      <c r="D212" s="167"/>
      <c r="E212" s="170"/>
      <c r="F212" s="173"/>
      <c r="G212" s="91"/>
      <c r="H212" s="91"/>
      <c r="I212" s="91"/>
    </row>
    <row r="213" spans="4:9" x14ac:dyDescent="0.3">
      <c r="D213" s="168"/>
      <c r="E213" s="171"/>
      <c r="F213" s="174"/>
      <c r="G213" s="92"/>
      <c r="H213" s="92"/>
      <c r="I213" s="92"/>
    </row>
    <row r="214" spans="4:9" x14ac:dyDescent="0.3">
      <c r="D214" s="167"/>
      <c r="E214" s="170"/>
      <c r="F214" s="173"/>
      <c r="G214" s="91"/>
      <c r="H214" s="91"/>
      <c r="I214" s="91"/>
    </row>
    <row r="215" spans="4:9" x14ac:dyDescent="0.3">
      <c r="D215" s="168"/>
      <c r="E215" s="171"/>
      <c r="F215" s="174"/>
      <c r="G215" s="92"/>
      <c r="H215" s="92"/>
      <c r="I215" s="92"/>
    </row>
    <row r="216" spans="4:9" x14ac:dyDescent="0.3">
      <c r="D216" s="167"/>
      <c r="E216" s="170"/>
      <c r="F216" s="173"/>
      <c r="G216" s="91"/>
      <c r="H216" s="91"/>
      <c r="I216" s="91"/>
    </row>
    <row r="217" spans="4:9" x14ac:dyDescent="0.3">
      <c r="D217" s="168"/>
      <c r="E217" s="171"/>
      <c r="F217" s="174"/>
      <c r="G217" s="92"/>
      <c r="H217" s="92"/>
      <c r="I217" s="92"/>
    </row>
    <row r="218" spans="4:9" x14ac:dyDescent="0.3">
      <c r="D218" s="167"/>
      <c r="E218" s="170"/>
      <c r="F218" s="173"/>
      <c r="G218" s="91"/>
      <c r="H218" s="91"/>
      <c r="I218" s="91"/>
    </row>
    <row r="219" spans="4:9" x14ac:dyDescent="0.3">
      <c r="D219" s="168"/>
      <c r="E219" s="171"/>
      <c r="F219" s="174"/>
      <c r="G219" s="92"/>
      <c r="H219" s="92"/>
      <c r="I219" s="92"/>
    </row>
    <row r="220" spans="4:9" x14ac:dyDescent="0.3">
      <c r="D220" s="167"/>
      <c r="E220" s="170"/>
      <c r="F220" s="173"/>
      <c r="G220" s="91"/>
      <c r="H220" s="91"/>
      <c r="I220" s="91"/>
    </row>
    <row r="221" spans="4:9" x14ac:dyDescent="0.3">
      <c r="D221" s="168"/>
      <c r="E221" s="171"/>
      <c r="F221" s="174"/>
      <c r="G221" s="92"/>
      <c r="H221" s="92"/>
      <c r="I221" s="92"/>
    </row>
    <row r="222" spans="4:9" x14ac:dyDescent="0.3">
      <c r="D222" s="167"/>
      <c r="E222" s="170"/>
      <c r="F222" s="173"/>
      <c r="G222" s="91"/>
      <c r="H222" s="91"/>
      <c r="I222" s="91"/>
    </row>
    <row r="223" spans="4:9" x14ac:dyDescent="0.3">
      <c r="D223" s="168"/>
      <c r="E223" s="171"/>
      <c r="F223" s="174"/>
      <c r="G223" s="92"/>
      <c r="H223" s="92"/>
      <c r="I223" s="92"/>
    </row>
    <row r="224" spans="4:9" x14ac:dyDescent="0.3">
      <c r="D224" s="167"/>
      <c r="E224" s="170"/>
      <c r="F224" s="173"/>
      <c r="G224" s="91"/>
      <c r="H224" s="91"/>
      <c r="I224" s="91"/>
    </row>
    <row r="225" spans="4:9" x14ac:dyDescent="0.3">
      <c r="D225" s="168"/>
      <c r="E225" s="171"/>
      <c r="F225" s="174"/>
      <c r="G225" s="92"/>
      <c r="H225" s="92"/>
      <c r="I225" s="92"/>
    </row>
    <row r="226" spans="4:9" x14ac:dyDescent="0.3">
      <c r="D226" s="167"/>
      <c r="E226" s="170"/>
      <c r="F226" s="173"/>
      <c r="G226" s="91"/>
      <c r="H226" s="91"/>
      <c r="I226" s="91"/>
    </row>
    <row r="227" spans="4:9" x14ac:dyDescent="0.3">
      <c r="D227" s="168"/>
      <c r="E227" s="171"/>
      <c r="F227" s="174"/>
      <c r="G227" s="92"/>
      <c r="H227" s="92"/>
      <c r="I227" s="92"/>
    </row>
    <row r="228" spans="4:9" x14ac:dyDescent="0.3">
      <c r="D228" s="167"/>
      <c r="E228" s="170"/>
      <c r="F228" s="173"/>
      <c r="G228" s="91"/>
      <c r="H228" s="91"/>
      <c r="I228" s="91"/>
    </row>
    <row r="229" spans="4:9" x14ac:dyDescent="0.3">
      <c r="D229" s="168"/>
      <c r="E229" s="171"/>
      <c r="F229" s="174"/>
      <c r="G229" s="92"/>
      <c r="H229" s="92"/>
      <c r="I229" s="92"/>
    </row>
    <row r="230" spans="4:9" x14ac:dyDescent="0.3">
      <c r="D230" s="167"/>
      <c r="E230" s="170"/>
      <c r="F230" s="173"/>
      <c r="G230" s="91"/>
      <c r="H230" s="91"/>
      <c r="I230" s="91"/>
    </row>
    <row r="231" spans="4:9" x14ac:dyDescent="0.3">
      <c r="D231" s="168"/>
      <c r="E231" s="171"/>
      <c r="F231" s="174"/>
      <c r="G231" s="92"/>
      <c r="H231" s="92"/>
      <c r="I231" s="92"/>
    </row>
    <row r="232" spans="4:9" x14ac:dyDescent="0.3">
      <c r="D232" s="167"/>
      <c r="E232" s="170"/>
      <c r="F232" s="173"/>
      <c r="G232" s="91"/>
      <c r="H232" s="91"/>
      <c r="I232" s="91"/>
    </row>
    <row r="233" spans="4:9" x14ac:dyDescent="0.3">
      <c r="D233" s="168"/>
      <c r="E233" s="171"/>
      <c r="F233" s="174"/>
      <c r="G233" s="92"/>
      <c r="H233" s="92"/>
      <c r="I233" s="92"/>
    </row>
    <row r="234" spans="4:9" x14ac:dyDescent="0.3">
      <c r="D234" s="167"/>
      <c r="E234" s="170"/>
      <c r="F234" s="173"/>
      <c r="G234" s="91"/>
      <c r="H234" s="91"/>
      <c r="I234" s="91"/>
    </row>
    <row r="235" spans="4:9" x14ac:dyDescent="0.3">
      <c r="D235" s="168"/>
      <c r="E235" s="171"/>
      <c r="F235" s="174"/>
      <c r="G235" s="92"/>
      <c r="H235" s="92"/>
      <c r="I235" s="92"/>
    </row>
    <row r="236" spans="4:9" x14ac:dyDescent="0.3">
      <c r="D236" s="167"/>
      <c r="E236" s="170"/>
      <c r="F236" s="173"/>
      <c r="G236" s="91"/>
      <c r="H236" s="91"/>
      <c r="I236" s="91"/>
    </row>
    <row r="237" spans="4:9" x14ac:dyDescent="0.3">
      <c r="D237" s="168"/>
      <c r="E237" s="171"/>
      <c r="F237" s="174"/>
      <c r="G237" s="92"/>
      <c r="H237" s="92"/>
      <c r="I237" s="92"/>
    </row>
    <row r="238" spans="4:9" x14ac:dyDescent="0.3">
      <c r="D238" s="167"/>
      <c r="E238" s="170"/>
      <c r="F238" s="173"/>
      <c r="G238" s="91"/>
      <c r="H238" s="91"/>
      <c r="I238" s="91"/>
    </row>
    <row r="239" spans="4:9" x14ac:dyDescent="0.3">
      <c r="D239" s="168"/>
      <c r="E239" s="171"/>
      <c r="F239" s="174"/>
      <c r="G239" s="92"/>
      <c r="H239" s="92"/>
      <c r="I239" s="92"/>
    </row>
    <row r="240" spans="4:9" x14ac:dyDescent="0.3">
      <c r="D240" s="167"/>
      <c r="E240" s="170"/>
      <c r="F240" s="173"/>
      <c r="G240" s="91"/>
      <c r="H240" s="91"/>
      <c r="I240" s="91"/>
    </row>
    <row r="241" spans="4:9" x14ac:dyDescent="0.3">
      <c r="D241" s="168"/>
      <c r="E241" s="171"/>
      <c r="F241" s="174"/>
      <c r="G241" s="92"/>
      <c r="H241" s="92"/>
      <c r="I241" s="92"/>
    </row>
    <row r="242" spans="4:9" x14ac:dyDescent="0.3">
      <c r="D242" s="167"/>
      <c r="E242" s="170"/>
      <c r="F242" s="173"/>
      <c r="G242" s="91"/>
      <c r="H242" s="91"/>
      <c r="I242" s="91"/>
    </row>
    <row r="243" spans="4:9" x14ac:dyDescent="0.3">
      <c r="D243" s="168"/>
      <c r="E243" s="171"/>
      <c r="F243" s="174"/>
      <c r="G243" s="92"/>
      <c r="H243" s="92"/>
      <c r="I243" s="92"/>
    </row>
    <row r="244" spans="4:9" x14ac:dyDescent="0.3">
      <c r="D244" s="167"/>
      <c r="E244" s="170"/>
      <c r="F244" s="173"/>
      <c r="G244" s="91"/>
      <c r="H244" s="91"/>
      <c r="I244" s="91"/>
    </row>
    <row r="245" spans="4:9" x14ac:dyDescent="0.3">
      <c r="D245" s="168"/>
      <c r="E245" s="171"/>
      <c r="F245" s="174"/>
      <c r="G245" s="92"/>
      <c r="H245" s="92"/>
      <c r="I245" s="92"/>
    </row>
    <row r="246" spans="4:9" x14ac:dyDescent="0.3">
      <c r="D246" s="167"/>
      <c r="E246" s="170"/>
      <c r="F246" s="173"/>
      <c r="G246" s="91"/>
      <c r="H246" s="91"/>
      <c r="I246" s="91"/>
    </row>
    <row r="247" spans="4:9" x14ac:dyDescent="0.3">
      <c r="D247" s="168"/>
      <c r="E247" s="171"/>
      <c r="F247" s="174"/>
      <c r="G247" s="92"/>
      <c r="H247" s="92"/>
      <c r="I247" s="92"/>
    </row>
    <row r="248" spans="4:9" x14ac:dyDescent="0.3">
      <c r="D248" s="167"/>
      <c r="E248" s="170"/>
      <c r="F248" s="173"/>
      <c r="G248" s="91"/>
      <c r="H248" s="91"/>
      <c r="I248" s="91"/>
    </row>
    <row r="249" spans="4:9" x14ac:dyDescent="0.3">
      <c r="D249" s="168"/>
      <c r="E249" s="171"/>
      <c r="F249" s="174"/>
      <c r="G249" s="92"/>
      <c r="H249" s="92"/>
      <c r="I249" s="92"/>
    </row>
    <row r="250" spans="4:9" x14ac:dyDescent="0.3">
      <c r="D250" s="167"/>
      <c r="E250" s="170"/>
      <c r="F250" s="173"/>
      <c r="G250" s="91"/>
      <c r="H250" s="91"/>
      <c r="I250" s="91"/>
    </row>
    <row r="251" spans="4:9" x14ac:dyDescent="0.3">
      <c r="D251" s="168"/>
      <c r="E251" s="171"/>
      <c r="F251" s="174"/>
      <c r="G251" s="92"/>
      <c r="H251" s="92"/>
      <c r="I251" s="92"/>
    </row>
    <row r="252" spans="4:9" x14ac:dyDescent="0.3">
      <c r="D252" s="167"/>
      <c r="E252" s="170"/>
      <c r="F252" s="173"/>
      <c r="G252" s="91"/>
      <c r="H252" s="91"/>
      <c r="I252" s="91"/>
    </row>
    <row r="253" spans="4:9" x14ac:dyDescent="0.3">
      <c r="D253" s="168"/>
      <c r="E253" s="171"/>
      <c r="F253" s="174"/>
      <c r="G253" s="92"/>
      <c r="H253" s="92"/>
      <c r="I253" s="92"/>
    </row>
    <row r="254" spans="4:9" x14ac:dyDescent="0.3">
      <c r="D254" s="167"/>
      <c r="E254" s="170"/>
      <c r="F254" s="173"/>
      <c r="G254" s="91"/>
      <c r="H254" s="91"/>
      <c r="I254" s="91"/>
    </row>
    <row r="255" spans="4:9" x14ac:dyDescent="0.3">
      <c r="D255" s="168"/>
      <c r="E255" s="171"/>
      <c r="F255" s="174"/>
      <c r="G255" s="92"/>
      <c r="H255" s="92"/>
      <c r="I255" s="92"/>
    </row>
    <row r="256" spans="4:9" x14ac:dyDescent="0.3">
      <c r="D256" s="167"/>
      <c r="E256" s="170"/>
      <c r="F256" s="173"/>
      <c r="G256" s="91"/>
      <c r="H256" s="91"/>
      <c r="I256" s="91"/>
    </row>
    <row r="257" spans="4:9" x14ac:dyDescent="0.3">
      <c r="D257" s="168"/>
      <c r="E257" s="171"/>
      <c r="F257" s="174"/>
      <c r="G257" s="92"/>
      <c r="H257" s="92"/>
      <c r="I257" s="92"/>
    </row>
    <row r="258" spans="4:9" x14ac:dyDescent="0.3">
      <c r="D258" s="167"/>
      <c r="E258" s="170"/>
      <c r="F258" s="173"/>
      <c r="G258" s="91"/>
      <c r="H258" s="91"/>
      <c r="I258" s="91"/>
    </row>
    <row r="259" spans="4:9" x14ac:dyDescent="0.3">
      <c r="D259" s="168"/>
      <c r="E259" s="171"/>
      <c r="F259" s="174"/>
      <c r="G259" s="92"/>
      <c r="H259" s="92"/>
      <c r="I259" s="92"/>
    </row>
    <row r="260" spans="4:9" x14ac:dyDescent="0.3">
      <c r="D260" s="167"/>
      <c r="E260" s="170"/>
      <c r="F260" s="173"/>
      <c r="G260" s="91"/>
      <c r="H260" s="91"/>
      <c r="I260" s="91"/>
    </row>
    <row r="261" spans="4:9" x14ac:dyDescent="0.3">
      <c r="D261" s="168"/>
      <c r="E261" s="171"/>
      <c r="F261" s="174"/>
      <c r="G261" s="92"/>
      <c r="H261" s="92"/>
      <c r="I261" s="92"/>
    </row>
    <row r="262" spans="4:9" x14ac:dyDescent="0.3">
      <c r="D262" s="167"/>
      <c r="E262" s="170"/>
      <c r="F262" s="173"/>
      <c r="G262" s="91"/>
      <c r="H262" s="91"/>
      <c r="I262" s="91"/>
    </row>
    <row r="263" spans="4:9" x14ac:dyDescent="0.3">
      <c r="D263" s="168"/>
      <c r="E263" s="171"/>
      <c r="F263" s="174"/>
      <c r="G263" s="92"/>
      <c r="H263" s="92"/>
      <c r="I263" s="92"/>
    </row>
    <row r="264" spans="4:9" x14ac:dyDescent="0.3">
      <c r="D264" s="167"/>
      <c r="E264" s="170"/>
      <c r="F264" s="173"/>
      <c r="G264" s="91"/>
      <c r="H264" s="91"/>
      <c r="I264" s="91"/>
    </row>
    <row r="265" spans="4:9" x14ac:dyDescent="0.3">
      <c r="D265" s="168"/>
      <c r="E265" s="171"/>
      <c r="F265" s="174"/>
      <c r="G265" s="92"/>
      <c r="H265" s="92"/>
      <c r="I265" s="92"/>
    </row>
    <row r="266" spans="4:9" x14ac:dyDescent="0.3">
      <c r="D266" s="167"/>
      <c r="E266" s="170"/>
      <c r="F266" s="173"/>
      <c r="G266" s="91"/>
      <c r="H266" s="91"/>
      <c r="I266" s="91"/>
    </row>
    <row r="267" spans="4:9" x14ac:dyDescent="0.3">
      <c r="D267" s="168"/>
      <c r="E267" s="171"/>
      <c r="F267" s="174"/>
      <c r="G267" s="92"/>
      <c r="H267" s="92"/>
      <c r="I267" s="92"/>
    </row>
    <row r="268" spans="4:9" x14ac:dyDescent="0.3">
      <c r="D268" s="167"/>
      <c r="E268" s="170"/>
      <c r="F268" s="173"/>
      <c r="G268" s="91"/>
      <c r="H268" s="91"/>
      <c r="I268" s="91"/>
    </row>
    <row r="269" spans="4:9" x14ac:dyDescent="0.3">
      <c r="D269" s="168"/>
      <c r="E269" s="171"/>
      <c r="F269" s="174"/>
      <c r="G269" s="92"/>
      <c r="H269" s="92"/>
      <c r="I269" s="92"/>
    </row>
    <row r="270" spans="4:9" x14ac:dyDescent="0.3">
      <c r="D270" s="167"/>
      <c r="E270" s="170"/>
      <c r="F270" s="173"/>
      <c r="G270" s="91"/>
      <c r="H270" s="91"/>
      <c r="I270" s="91"/>
    </row>
    <row r="271" spans="4:9" x14ac:dyDescent="0.3">
      <c r="D271" s="168"/>
      <c r="E271" s="171"/>
      <c r="F271" s="174"/>
      <c r="G271" s="92"/>
      <c r="H271" s="92"/>
      <c r="I271" s="92"/>
    </row>
    <row r="272" spans="4:9" x14ac:dyDescent="0.3">
      <c r="D272" s="167"/>
      <c r="E272" s="170"/>
      <c r="F272" s="173"/>
      <c r="G272" s="91"/>
      <c r="H272" s="91"/>
      <c r="I272" s="91"/>
    </row>
    <row r="273" spans="4:9" x14ac:dyDescent="0.3">
      <c r="D273" s="168"/>
      <c r="E273" s="171"/>
      <c r="F273" s="174"/>
      <c r="G273" s="92"/>
      <c r="H273" s="92"/>
      <c r="I273" s="92"/>
    </row>
    <row r="274" spans="4:9" x14ac:dyDescent="0.3">
      <c r="D274" s="167"/>
      <c r="E274" s="170"/>
      <c r="F274" s="173"/>
      <c r="G274" s="91"/>
      <c r="H274" s="91"/>
      <c r="I274" s="91"/>
    </row>
    <row r="275" spans="4:9" x14ac:dyDescent="0.3">
      <c r="D275" s="168"/>
      <c r="E275" s="171"/>
      <c r="F275" s="174"/>
      <c r="G275" s="92"/>
      <c r="H275" s="92"/>
      <c r="I275" s="92"/>
    </row>
    <row r="276" spans="4:9" x14ac:dyDescent="0.3">
      <c r="D276" s="167"/>
      <c r="E276" s="170"/>
      <c r="F276" s="173"/>
      <c r="G276" s="91"/>
      <c r="H276" s="91"/>
      <c r="I276" s="91"/>
    </row>
    <row r="277" spans="4:9" x14ac:dyDescent="0.3">
      <c r="D277" s="168"/>
      <c r="E277" s="171"/>
      <c r="F277" s="174"/>
      <c r="G277" s="92"/>
      <c r="H277" s="92"/>
      <c r="I277" s="92"/>
    </row>
    <row r="278" spans="4:9" x14ac:dyDescent="0.3">
      <c r="D278" s="167"/>
      <c r="E278" s="170"/>
      <c r="F278" s="173"/>
      <c r="G278" s="91"/>
      <c r="H278" s="91"/>
      <c r="I278" s="91"/>
    </row>
    <row r="279" spans="4:9" x14ac:dyDescent="0.3">
      <c r="D279" s="168"/>
      <c r="E279" s="171"/>
      <c r="F279" s="174"/>
      <c r="G279" s="92"/>
      <c r="H279" s="92"/>
      <c r="I279" s="92"/>
    </row>
    <row r="280" spans="4:9" x14ac:dyDescent="0.3">
      <c r="D280" s="167"/>
      <c r="E280" s="170"/>
      <c r="F280" s="173"/>
      <c r="G280" s="91"/>
      <c r="H280" s="91"/>
      <c r="I280" s="91"/>
    </row>
    <row r="281" spans="4:9" x14ac:dyDescent="0.3">
      <c r="D281" s="168"/>
      <c r="E281" s="171"/>
      <c r="F281" s="174"/>
      <c r="G281" s="92"/>
      <c r="H281" s="92"/>
      <c r="I281" s="92"/>
    </row>
    <row r="282" spans="4:9" x14ac:dyDescent="0.3">
      <c r="D282" s="167"/>
      <c r="E282" s="170"/>
      <c r="F282" s="173"/>
      <c r="G282" s="91"/>
      <c r="H282" s="91"/>
      <c r="I282" s="91"/>
    </row>
    <row r="283" spans="4:9" x14ac:dyDescent="0.3">
      <c r="D283" s="168"/>
      <c r="E283" s="171"/>
      <c r="F283" s="174"/>
      <c r="G283" s="92"/>
      <c r="H283" s="92"/>
      <c r="I283" s="92"/>
    </row>
    <row r="284" spans="4:9" x14ac:dyDescent="0.3">
      <c r="D284" s="167"/>
      <c r="E284" s="170"/>
      <c r="F284" s="173"/>
      <c r="G284" s="91"/>
      <c r="H284" s="91"/>
      <c r="I284" s="91"/>
    </row>
    <row r="285" spans="4:9" x14ac:dyDescent="0.3">
      <c r="D285" s="168"/>
      <c r="E285" s="171"/>
      <c r="F285" s="174"/>
      <c r="G285" s="92"/>
      <c r="H285" s="92"/>
      <c r="I285" s="92"/>
    </row>
    <row r="286" spans="4:9" x14ac:dyDescent="0.3">
      <c r="D286" s="167"/>
      <c r="E286" s="170"/>
      <c r="F286" s="173"/>
      <c r="G286" s="91"/>
      <c r="H286" s="91"/>
      <c r="I286" s="91"/>
    </row>
    <row r="287" spans="4:9" x14ac:dyDescent="0.3">
      <c r="D287" s="168"/>
      <c r="E287" s="171"/>
      <c r="F287" s="174"/>
      <c r="G287" s="92"/>
      <c r="H287" s="92"/>
      <c r="I287" s="92"/>
    </row>
    <row r="288" spans="4:9" x14ac:dyDescent="0.3">
      <c r="D288" s="167"/>
      <c r="E288" s="170"/>
      <c r="F288" s="173"/>
      <c r="G288" s="91"/>
      <c r="H288" s="91"/>
      <c r="I288" s="91"/>
    </row>
    <row r="289" spans="4:9" x14ac:dyDescent="0.3">
      <c r="D289" s="168"/>
      <c r="E289" s="171"/>
      <c r="F289" s="174"/>
      <c r="G289" s="92"/>
      <c r="H289" s="92"/>
      <c r="I289" s="92"/>
    </row>
    <row r="290" spans="4:9" x14ac:dyDescent="0.3">
      <c r="D290" s="167"/>
      <c r="E290" s="170"/>
      <c r="F290" s="173"/>
      <c r="G290" s="91"/>
      <c r="H290" s="91"/>
      <c r="I290" s="91"/>
    </row>
    <row r="291" spans="4:9" x14ac:dyDescent="0.3">
      <c r="D291" s="168"/>
      <c r="E291" s="171"/>
      <c r="F291" s="174"/>
      <c r="G291" s="92"/>
      <c r="H291" s="92"/>
      <c r="I291" s="92"/>
    </row>
    <row r="292" spans="4:9" x14ac:dyDescent="0.3">
      <c r="D292" s="167"/>
      <c r="E292" s="170"/>
      <c r="F292" s="173"/>
      <c r="G292" s="91"/>
      <c r="H292" s="91"/>
      <c r="I292" s="91"/>
    </row>
    <row r="293" spans="4:9" x14ac:dyDescent="0.3">
      <c r="D293" s="168"/>
      <c r="E293" s="171"/>
      <c r="F293" s="174"/>
      <c r="G293" s="92"/>
      <c r="H293" s="92"/>
      <c r="I293" s="92"/>
    </row>
    <row r="294" spans="4:9" x14ac:dyDescent="0.3">
      <c r="D294" s="167"/>
      <c r="E294" s="170"/>
      <c r="F294" s="173"/>
      <c r="G294" s="91"/>
      <c r="H294" s="91"/>
      <c r="I294" s="91"/>
    </row>
    <row r="295" spans="4:9" x14ac:dyDescent="0.3">
      <c r="D295" s="168"/>
      <c r="E295" s="171"/>
      <c r="F295" s="174"/>
      <c r="G295" s="92"/>
      <c r="H295" s="92"/>
      <c r="I295" s="92"/>
    </row>
    <row r="296" spans="4:9" x14ac:dyDescent="0.3">
      <c r="D296" s="167"/>
      <c r="E296" s="170"/>
      <c r="F296" s="173"/>
      <c r="G296" s="91"/>
      <c r="H296" s="91"/>
      <c r="I296" s="91"/>
    </row>
    <row r="297" spans="4:9" x14ac:dyDescent="0.3">
      <c r="D297" s="168"/>
      <c r="E297" s="171"/>
      <c r="F297" s="174"/>
      <c r="G297" s="92"/>
      <c r="H297" s="92"/>
      <c r="I297" s="92"/>
    </row>
    <row r="298" spans="4:9" x14ac:dyDescent="0.3">
      <c r="D298" s="167"/>
      <c r="E298" s="170"/>
      <c r="F298" s="173"/>
      <c r="G298" s="91"/>
      <c r="H298" s="91"/>
      <c r="I298" s="91"/>
    </row>
    <row r="299" spans="4:9" x14ac:dyDescent="0.3">
      <c r="D299" s="168"/>
      <c r="E299" s="171"/>
      <c r="F299" s="174"/>
      <c r="G299" s="92"/>
      <c r="H299" s="92"/>
      <c r="I299" s="92"/>
    </row>
    <row r="300" spans="4:9" x14ac:dyDescent="0.3">
      <c r="D300" s="167"/>
      <c r="E300" s="170"/>
      <c r="F300" s="173"/>
      <c r="G300" s="91"/>
      <c r="H300" s="91"/>
      <c r="I300" s="91"/>
    </row>
    <row r="301" spans="4:9" x14ac:dyDescent="0.3">
      <c r="D301" s="168"/>
      <c r="E301" s="171"/>
      <c r="F301" s="174"/>
      <c r="G301" s="92"/>
      <c r="H301" s="92"/>
      <c r="I301" s="92"/>
    </row>
    <row r="302" spans="4:9" x14ac:dyDescent="0.3">
      <c r="D302" s="167"/>
      <c r="E302" s="170"/>
      <c r="F302" s="173"/>
      <c r="G302" s="91"/>
      <c r="H302" s="91"/>
      <c r="I302" s="91"/>
    </row>
    <row r="303" spans="4:9" x14ac:dyDescent="0.3">
      <c r="D303" s="168"/>
      <c r="E303" s="171"/>
      <c r="F303" s="174"/>
      <c r="G303" s="92"/>
      <c r="H303" s="92"/>
      <c r="I303" s="92"/>
    </row>
    <row r="304" spans="4:9" x14ac:dyDescent="0.3">
      <c r="D304" s="167"/>
      <c r="E304" s="170"/>
      <c r="F304" s="173"/>
      <c r="G304" s="91"/>
      <c r="H304" s="91"/>
      <c r="I304" s="91"/>
    </row>
    <row r="305" spans="4:9" x14ac:dyDescent="0.3">
      <c r="D305" s="168"/>
      <c r="E305" s="171"/>
      <c r="F305" s="174"/>
      <c r="G305" s="92"/>
      <c r="H305" s="92"/>
      <c r="I305" s="92"/>
    </row>
    <row r="306" spans="4:9" x14ac:dyDescent="0.3">
      <c r="D306" s="167"/>
      <c r="E306" s="170"/>
      <c r="F306" s="173"/>
      <c r="G306" s="91"/>
      <c r="H306" s="91"/>
      <c r="I306" s="91"/>
    </row>
    <row r="307" spans="4:9" x14ac:dyDescent="0.3">
      <c r="D307" s="168"/>
      <c r="E307" s="171"/>
      <c r="F307" s="174"/>
      <c r="G307" s="92"/>
      <c r="H307" s="92"/>
      <c r="I307" s="92"/>
    </row>
    <row r="308" spans="4:9" x14ac:dyDescent="0.3">
      <c r="D308" s="167"/>
      <c r="E308" s="170"/>
      <c r="F308" s="173"/>
      <c r="G308" s="91"/>
      <c r="H308" s="91"/>
      <c r="I308" s="91"/>
    </row>
    <row r="309" spans="4:9" x14ac:dyDescent="0.3">
      <c r="D309" s="168"/>
      <c r="E309" s="171"/>
      <c r="F309" s="174"/>
      <c r="G309" s="92"/>
      <c r="H309" s="92"/>
      <c r="I309" s="92"/>
    </row>
    <row r="310" spans="4:9" x14ac:dyDescent="0.3">
      <c r="D310" s="167"/>
      <c r="E310" s="170"/>
      <c r="F310" s="173"/>
      <c r="G310" s="91"/>
      <c r="H310" s="91"/>
      <c r="I310" s="91"/>
    </row>
    <row r="311" spans="4:9" x14ac:dyDescent="0.3">
      <c r="D311" s="168"/>
      <c r="E311" s="171"/>
      <c r="F311" s="174"/>
      <c r="G311" s="92"/>
      <c r="H311" s="92"/>
      <c r="I311" s="92"/>
    </row>
    <row r="312" spans="4:9" x14ac:dyDescent="0.3">
      <c r="D312" s="167"/>
      <c r="E312" s="170"/>
      <c r="F312" s="173"/>
      <c r="G312" s="91"/>
      <c r="H312" s="91"/>
      <c r="I312" s="91"/>
    </row>
    <row r="313" spans="4:9" x14ac:dyDescent="0.3">
      <c r="D313" s="168"/>
      <c r="E313" s="171"/>
      <c r="F313" s="174"/>
      <c r="G313" s="92"/>
      <c r="H313" s="92"/>
      <c r="I313" s="92"/>
    </row>
    <row r="314" spans="4:9" x14ac:dyDescent="0.3">
      <c r="D314" s="167"/>
      <c r="E314" s="170"/>
      <c r="F314" s="173"/>
      <c r="G314" s="91"/>
      <c r="H314" s="91"/>
      <c r="I314" s="91"/>
    </row>
    <row r="315" spans="4:9" x14ac:dyDescent="0.3">
      <c r="D315" s="168"/>
      <c r="E315" s="171"/>
      <c r="F315" s="174"/>
      <c r="G315" s="92"/>
      <c r="H315" s="92"/>
      <c r="I315" s="92"/>
    </row>
    <row r="316" spans="4:9" x14ac:dyDescent="0.3">
      <c r="D316" s="167"/>
      <c r="E316" s="170"/>
      <c r="F316" s="173"/>
      <c r="G316" s="91"/>
      <c r="H316" s="91"/>
      <c r="I316" s="91"/>
    </row>
    <row r="317" spans="4:9" x14ac:dyDescent="0.3">
      <c r="D317" s="168"/>
      <c r="E317" s="171"/>
      <c r="F317" s="174"/>
      <c r="G317" s="92"/>
      <c r="H317" s="92"/>
      <c r="I317" s="92"/>
    </row>
    <row r="318" spans="4:9" x14ac:dyDescent="0.3">
      <c r="D318" s="167"/>
      <c r="E318" s="170"/>
      <c r="F318" s="173"/>
      <c r="G318" s="91"/>
      <c r="H318" s="91"/>
      <c r="I318" s="91"/>
    </row>
    <row r="319" spans="4:9" x14ac:dyDescent="0.3">
      <c r="D319" s="168"/>
      <c r="E319" s="171"/>
      <c r="F319" s="174"/>
      <c r="G319" s="92"/>
      <c r="H319" s="92"/>
      <c r="I319" s="92"/>
    </row>
    <row r="320" spans="4:9" x14ac:dyDescent="0.3">
      <c r="D320" s="167"/>
      <c r="E320" s="170"/>
      <c r="F320" s="173"/>
      <c r="G320" s="91"/>
      <c r="H320" s="91"/>
      <c r="I320" s="91"/>
    </row>
    <row r="321" spans="4:9" x14ac:dyDescent="0.3">
      <c r="D321" s="168"/>
      <c r="E321" s="171"/>
      <c r="F321" s="174"/>
      <c r="G321" s="92"/>
      <c r="H321" s="92"/>
      <c r="I321" s="92"/>
    </row>
    <row r="322" spans="4:9" x14ac:dyDescent="0.3">
      <c r="D322" s="167"/>
      <c r="E322" s="170"/>
      <c r="F322" s="173"/>
      <c r="G322" s="91"/>
      <c r="H322" s="91"/>
      <c r="I322" s="91"/>
    </row>
    <row r="323" spans="4:9" x14ac:dyDescent="0.3">
      <c r="D323" s="168"/>
      <c r="E323" s="171"/>
      <c r="F323" s="174"/>
      <c r="G323" s="92"/>
      <c r="H323" s="92"/>
      <c r="I323" s="92"/>
    </row>
    <row r="324" spans="4:9" x14ac:dyDescent="0.3">
      <c r="D324" s="167"/>
      <c r="E324" s="170"/>
      <c r="F324" s="173"/>
      <c r="G324" s="91"/>
      <c r="H324" s="91"/>
      <c r="I324" s="91"/>
    </row>
    <row r="325" spans="4:9" x14ac:dyDescent="0.3">
      <c r="D325" s="168"/>
      <c r="E325" s="171"/>
      <c r="F325" s="174"/>
      <c r="G325" s="92"/>
      <c r="H325" s="92"/>
      <c r="I325" s="92"/>
    </row>
    <row r="326" spans="4:9" x14ac:dyDescent="0.3">
      <c r="D326" s="167"/>
      <c r="E326" s="170"/>
      <c r="F326" s="173"/>
      <c r="G326" s="91"/>
      <c r="H326" s="91"/>
      <c r="I326" s="91"/>
    </row>
    <row r="327" spans="4:9" x14ac:dyDescent="0.3">
      <c r="D327" s="168"/>
      <c r="E327" s="171"/>
      <c r="F327" s="174"/>
      <c r="G327" s="92"/>
      <c r="H327" s="92"/>
      <c r="I327" s="92"/>
    </row>
    <row r="328" spans="4:9" x14ac:dyDescent="0.3">
      <c r="D328" s="167"/>
      <c r="E328" s="170"/>
      <c r="F328" s="173"/>
      <c r="G328" s="91"/>
      <c r="H328" s="91"/>
      <c r="I328" s="91"/>
    </row>
    <row r="329" spans="4:9" x14ac:dyDescent="0.3">
      <c r="D329" s="168"/>
      <c r="E329" s="171"/>
      <c r="F329" s="174"/>
      <c r="G329" s="92"/>
      <c r="H329" s="92"/>
      <c r="I329" s="92"/>
    </row>
    <row r="330" spans="4:9" x14ac:dyDescent="0.3">
      <c r="D330" s="167"/>
      <c r="E330" s="170"/>
      <c r="F330" s="173"/>
      <c r="G330" s="91"/>
      <c r="H330" s="91"/>
      <c r="I330" s="91"/>
    </row>
    <row r="331" spans="4:9" x14ac:dyDescent="0.3">
      <c r="D331" s="168"/>
      <c r="E331" s="171"/>
      <c r="F331" s="174"/>
      <c r="G331" s="92"/>
      <c r="H331" s="92"/>
      <c r="I331" s="92"/>
    </row>
    <row r="332" spans="4:9" x14ac:dyDescent="0.3">
      <c r="D332" s="167"/>
      <c r="E332" s="170"/>
      <c r="F332" s="173"/>
      <c r="G332" s="91"/>
      <c r="H332" s="91"/>
      <c r="I332" s="91"/>
    </row>
    <row r="333" spans="4:9" x14ac:dyDescent="0.3">
      <c r="D333" s="168"/>
      <c r="E333" s="171"/>
      <c r="F333" s="174"/>
      <c r="G333" s="92"/>
      <c r="H333" s="92"/>
      <c r="I333" s="92"/>
    </row>
    <row r="334" spans="4:9" x14ac:dyDescent="0.3">
      <c r="D334" s="167"/>
      <c r="E334" s="170"/>
      <c r="F334" s="173"/>
      <c r="G334" s="91"/>
      <c r="H334" s="91"/>
      <c r="I334" s="91"/>
    </row>
    <row r="335" spans="4:9" x14ac:dyDescent="0.3">
      <c r="D335" s="168"/>
      <c r="E335" s="171"/>
      <c r="F335" s="174"/>
      <c r="G335" s="92"/>
      <c r="H335" s="92"/>
      <c r="I335" s="92"/>
    </row>
    <row r="336" spans="4:9" x14ac:dyDescent="0.3">
      <c r="D336" s="167"/>
      <c r="E336" s="170"/>
      <c r="F336" s="173"/>
      <c r="G336" s="91"/>
      <c r="H336" s="91"/>
      <c r="I336" s="91"/>
    </row>
    <row r="337" spans="4:9" x14ac:dyDescent="0.3">
      <c r="D337" s="168"/>
      <c r="E337" s="171"/>
      <c r="F337" s="174"/>
      <c r="G337" s="92"/>
      <c r="H337" s="92"/>
      <c r="I337" s="92"/>
    </row>
    <row r="338" spans="4:9" x14ac:dyDescent="0.3">
      <c r="D338" s="167"/>
      <c r="E338" s="170"/>
      <c r="F338" s="173"/>
      <c r="G338" s="91"/>
      <c r="H338" s="91"/>
      <c r="I338" s="91"/>
    </row>
    <row r="339" spans="4:9" x14ac:dyDescent="0.3">
      <c r="D339" s="168"/>
      <c r="E339" s="171"/>
      <c r="F339" s="174"/>
      <c r="G339" s="92"/>
      <c r="H339" s="92"/>
      <c r="I339" s="92"/>
    </row>
    <row r="340" spans="4:9" x14ac:dyDescent="0.3">
      <c r="D340" s="167"/>
      <c r="E340" s="170"/>
      <c r="F340" s="173"/>
      <c r="G340" s="91"/>
      <c r="H340" s="91"/>
      <c r="I340" s="91"/>
    </row>
    <row r="341" spans="4:9" x14ac:dyDescent="0.3">
      <c r="D341" s="168"/>
      <c r="E341" s="171"/>
      <c r="F341" s="174"/>
      <c r="G341" s="92"/>
      <c r="H341" s="92"/>
      <c r="I341" s="92"/>
    </row>
    <row r="342" spans="4:9" x14ac:dyDescent="0.3">
      <c r="D342" s="167"/>
      <c r="E342" s="170"/>
      <c r="F342" s="173"/>
      <c r="G342" s="91"/>
      <c r="H342" s="91"/>
      <c r="I342" s="91"/>
    </row>
    <row r="343" spans="4:9" x14ac:dyDescent="0.3">
      <c r="D343" s="168"/>
      <c r="E343" s="171"/>
      <c r="F343" s="174"/>
      <c r="G343" s="92"/>
      <c r="H343" s="92"/>
      <c r="I343" s="92"/>
    </row>
    <row r="344" spans="4:9" x14ac:dyDescent="0.3">
      <c r="D344" s="167"/>
      <c r="E344" s="170"/>
      <c r="F344" s="173"/>
      <c r="G344" s="91"/>
      <c r="H344" s="91"/>
      <c r="I344" s="91"/>
    </row>
    <row r="345" spans="4:9" x14ac:dyDescent="0.3">
      <c r="D345" s="168"/>
      <c r="E345" s="171"/>
      <c r="F345" s="174"/>
      <c r="G345" s="92"/>
      <c r="H345" s="92"/>
      <c r="I345" s="92"/>
    </row>
    <row r="346" spans="4:9" x14ac:dyDescent="0.3">
      <c r="D346" s="167"/>
      <c r="E346" s="170"/>
      <c r="F346" s="173"/>
      <c r="G346" s="91"/>
      <c r="H346" s="91"/>
      <c r="I346" s="91"/>
    </row>
    <row r="347" spans="4:9" x14ac:dyDescent="0.3">
      <c r="D347" s="168"/>
      <c r="E347" s="171"/>
      <c r="F347" s="174"/>
      <c r="G347" s="92"/>
      <c r="H347" s="92"/>
      <c r="I347" s="92"/>
    </row>
    <row r="348" spans="4:9" x14ac:dyDescent="0.3">
      <c r="D348" s="167"/>
      <c r="E348" s="170"/>
      <c r="F348" s="173"/>
      <c r="G348" s="91"/>
      <c r="H348" s="91"/>
      <c r="I348" s="91"/>
    </row>
    <row r="349" spans="4:9" x14ac:dyDescent="0.3">
      <c r="D349" s="168"/>
      <c r="E349" s="171"/>
      <c r="F349" s="174"/>
      <c r="G349" s="92"/>
      <c r="H349" s="92"/>
      <c r="I349" s="92"/>
    </row>
    <row r="350" spans="4:9" x14ac:dyDescent="0.3">
      <c r="D350" s="167"/>
      <c r="E350" s="170"/>
      <c r="F350" s="173"/>
      <c r="G350" s="91"/>
      <c r="H350" s="91"/>
      <c r="I350" s="91"/>
    </row>
    <row r="351" spans="4:9" x14ac:dyDescent="0.3">
      <c r="D351" s="168"/>
      <c r="E351" s="171"/>
      <c r="F351" s="174"/>
      <c r="G351" s="92"/>
      <c r="H351" s="92"/>
      <c r="I351" s="92"/>
    </row>
    <row r="352" spans="4:9" x14ac:dyDescent="0.3">
      <c r="D352" s="167"/>
      <c r="E352" s="170"/>
      <c r="F352" s="173"/>
      <c r="G352" s="91"/>
      <c r="H352" s="91"/>
      <c r="I352" s="91"/>
    </row>
    <row r="353" spans="4:9" x14ac:dyDescent="0.3">
      <c r="D353" s="168"/>
      <c r="E353" s="171"/>
      <c r="F353" s="174"/>
      <c r="G353" s="92"/>
      <c r="H353" s="92"/>
      <c r="I353" s="92"/>
    </row>
    <row r="354" spans="4:9" x14ac:dyDescent="0.3">
      <c r="D354" s="167"/>
      <c r="E354" s="170"/>
      <c r="F354" s="173"/>
      <c r="G354" s="91"/>
      <c r="H354" s="91"/>
      <c r="I354" s="91"/>
    </row>
    <row r="355" spans="4:9" x14ac:dyDescent="0.3">
      <c r="D355" s="168"/>
      <c r="E355" s="171"/>
      <c r="F355" s="174"/>
      <c r="G355" s="92"/>
      <c r="H355" s="92"/>
      <c r="I355" s="92"/>
    </row>
    <row r="356" spans="4:9" x14ac:dyDescent="0.3">
      <c r="D356" s="167"/>
      <c r="E356" s="170"/>
      <c r="F356" s="173"/>
      <c r="G356" s="91"/>
      <c r="H356" s="91"/>
      <c r="I356" s="91"/>
    </row>
    <row r="357" spans="4:9" x14ac:dyDescent="0.3">
      <c r="D357" s="168"/>
      <c r="E357" s="171"/>
      <c r="F357" s="174"/>
      <c r="G357" s="92"/>
      <c r="H357" s="92"/>
      <c r="I357" s="92"/>
    </row>
    <row r="358" spans="4:9" x14ac:dyDescent="0.3">
      <c r="D358" s="167"/>
      <c r="E358" s="170"/>
      <c r="F358" s="173"/>
      <c r="G358" s="91"/>
      <c r="H358" s="91"/>
      <c r="I358" s="91"/>
    </row>
    <row r="359" spans="4:9" x14ac:dyDescent="0.3">
      <c r="D359" s="168"/>
      <c r="E359" s="171"/>
      <c r="F359" s="174"/>
      <c r="G359" s="92"/>
      <c r="H359" s="92"/>
      <c r="I359" s="92"/>
    </row>
    <row r="360" spans="4:9" x14ac:dyDescent="0.3">
      <c r="D360" s="167"/>
      <c r="E360" s="170"/>
      <c r="F360" s="173"/>
      <c r="G360" s="91"/>
      <c r="H360" s="91"/>
      <c r="I360" s="91"/>
    </row>
    <row r="361" spans="4:9" x14ac:dyDescent="0.3">
      <c r="D361" s="168"/>
      <c r="E361" s="171"/>
      <c r="F361" s="174"/>
      <c r="G361" s="92"/>
      <c r="H361" s="92"/>
      <c r="I361" s="92"/>
    </row>
    <row r="362" spans="4:9" x14ac:dyDescent="0.3">
      <c r="D362" s="167"/>
      <c r="E362" s="170"/>
      <c r="F362" s="173"/>
      <c r="G362" s="91"/>
      <c r="H362" s="91"/>
      <c r="I362" s="91"/>
    </row>
    <row r="363" spans="4:9" x14ac:dyDescent="0.3">
      <c r="D363" s="168"/>
      <c r="E363" s="171"/>
      <c r="F363" s="174"/>
      <c r="G363" s="92"/>
      <c r="H363" s="92"/>
      <c r="I363" s="92"/>
    </row>
    <row r="364" spans="4:9" x14ac:dyDescent="0.3">
      <c r="D364" s="167"/>
      <c r="E364" s="170"/>
      <c r="F364" s="173"/>
      <c r="G364" s="91"/>
      <c r="H364" s="91"/>
      <c r="I364" s="91"/>
    </row>
    <row r="365" spans="4:9" x14ac:dyDescent="0.3">
      <c r="D365" s="168"/>
      <c r="E365" s="171"/>
      <c r="F365" s="174"/>
      <c r="G365" s="92"/>
      <c r="H365" s="92"/>
      <c r="I365" s="92"/>
    </row>
    <row r="366" spans="4:9" x14ac:dyDescent="0.3">
      <c r="D366" s="167"/>
      <c r="E366" s="170"/>
      <c r="F366" s="173"/>
      <c r="G366" s="91"/>
      <c r="H366" s="91"/>
      <c r="I366" s="91"/>
    </row>
    <row r="367" spans="4:9" x14ac:dyDescent="0.3">
      <c r="D367" s="168"/>
      <c r="E367" s="171"/>
      <c r="F367" s="174"/>
      <c r="G367" s="92"/>
      <c r="H367" s="92"/>
      <c r="I367" s="92"/>
    </row>
    <row r="368" spans="4:9" x14ac:dyDescent="0.3">
      <c r="D368" s="167"/>
      <c r="E368" s="170"/>
      <c r="F368" s="173"/>
      <c r="G368" s="91"/>
      <c r="H368" s="91"/>
      <c r="I368" s="91"/>
    </row>
    <row r="369" spans="4:9" x14ac:dyDescent="0.3">
      <c r="D369" s="168"/>
      <c r="E369" s="171"/>
      <c r="F369" s="174"/>
      <c r="G369" s="92"/>
      <c r="H369" s="92"/>
      <c r="I369" s="92"/>
    </row>
    <row r="370" spans="4:9" x14ac:dyDescent="0.3">
      <c r="D370" s="167"/>
      <c r="E370" s="170"/>
      <c r="F370" s="173"/>
      <c r="G370" s="91"/>
      <c r="H370" s="91"/>
      <c r="I370" s="91"/>
    </row>
    <row r="371" spans="4:9" x14ac:dyDescent="0.3">
      <c r="D371" s="168"/>
      <c r="E371" s="171"/>
      <c r="F371" s="174"/>
      <c r="G371" s="92"/>
      <c r="H371" s="92"/>
      <c r="I371" s="92"/>
    </row>
    <row r="372" spans="4:9" x14ac:dyDescent="0.3">
      <c r="D372" s="167"/>
      <c r="E372" s="170"/>
      <c r="F372" s="173"/>
      <c r="G372" s="91"/>
      <c r="H372" s="91"/>
      <c r="I372" s="91"/>
    </row>
    <row r="373" spans="4:9" x14ac:dyDescent="0.3">
      <c r="D373" s="168"/>
      <c r="E373" s="171"/>
      <c r="F373" s="174"/>
      <c r="G373" s="92"/>
      <c r="H373" s="92"/>
      <c r="I373" s="92"/>
    </row>
    <row r="374" spans="4:9" x14ac:dyDescent="0.3">
      <c r="D374" s="167"/>
      <c r="E374" s="170"/>
      <c r="F374" s="173"/>
      <c r="G374" s="91"/>
      <c r="H374" s="91"/>
      <c r="I374" s="91"/>
    </row>
    <row r="375" spans="4:9" x14ac:dyDescent="0.3">
      <c r="D375" s="168"/>
      <c r="E375" s="171"/>
      <c r="F375" s="174"/>
      <c r="G375" s="92"/>
      <c r="H375" s="92"/>
      <c r="I375" s="92"/>
    </row>
    <row r="376" spans="4:9" x14ac:dyDescent="0.3">
      <c r="D376" s="167"/>
      <c r="E376" s="170"/>
      <c r="F376" s="173"/>
      <c r="G376" s="91"/>
      <c r="H376" s="91"/>
      <c r="I376" s="91"/>
    </row>
    <row r="377" spans="4:9" x14ac:dyDescent="0.3">
      <c r="D377" s="168"/>
      <c r="E377" s="171"/>
      <c r="F377" s="174"/>
      <c r="G377" s="92"/>
      <c r="H377" s="92"/>
      <c r="I377" s="92"/>
    </row>
    <row r="378" spans="4:9" x14ac:dyDescent="0.3">
      <c r="D378" s="167"/>
      <c r="E378" s="170"/>
      <c r="F378" s="173"/>
      <c r="G378" s="91"/>
      <c r="H378" s="91"/>
      <c r="I378" s="91"/>
    </row>
    <row r="379" spans="4:9" x14ac:dyDescent="0.3">
      <c r="D379" s="168"/>
      <c r="E379" s="171"/>
      <c r="F379" s="174"/>
      <c r="G379" s="92"/>
      <c r="H379" s="92"/>
      <c r="I379" s="92"/>
    </row>
    <row r="380" spans="4:9" x14ac:dyDescent="0.3">
      <c r="D380" s="167"/>
      <c r="E380" s="170"/>
      <c r="F380" s="173"/>
      <c r="G380" s="91"/>
      <c r="H380" s="91"/>
      <c r="I380" s="91"/>
    </row>
    <row r="381" spans="4:9" x14ac:dyDescent="0.3">
      <c r="D381" s="168"/>
      <c r="E381" s="171"/>
      <c r="F381" s="174"/>
      <c r="G381" s="92"/>
      <c r="H381" s="92"/>
      <c r="I381" s="92"/>
    </row>
    <row r="382" spans="4:9" x14ac:dyDescent="0.3">
      <c r="D382" s="167"/>
      <c r="E382" s="170"/>
      <c r="F382" s="173"/>
      <c r="G382" s="91"/>
      <c r="H382" s="91"/>
      <c r="I382" s="91"/>
    </row>
    <row r="383" spans="4:9" x14ac:dyDescent="0.3">
      <c r="D383" s="168"/>
      <c r="E383" s="171"/>
      <c r="F383" s="174"/>
      <c r="G383" s="92"/>
      <c r="H383" s="92"/>
      <c r="I383" s="92"/>
    </row>
    <row r="384" spans="4:9" x14ac:dyDescent="0.3">
      <c r="D384" s="167"/>
      <c r="E384" s="170"/>
      <c r="F384" s="173"/>
      <c r="G384" s="91"/>
      <c r="H384" s="91"/>
      <c r="I384" s="91"/>
    </row>
    <row r="385" spans="4:9" x14ac:dyDescent="0.3">
      <c r="D385" s="168"/>
      <c r="E385" s="171"/>
      <c r="F385" s="174"/>
      <c r="G385" s="92"/>
      <c r="H385" s="92"/>
      <c r="I385" s="92"/>
    </row>
    <row r="386" spans="4:9" x14ac:dyDescent="0.3">
      <c r="D386" s="167"/>
      <c r="E386" s="170"/>
      <c r="F386" s="173"/>
      <c r="G386" s="91"/>
      <c r="H386" s="91"/>
      <c r="I386" s="91"/>
    </row>
    <row r="387" spans="4:9" x14ac:dyDescent="0.3">
      <c r="D387" s="168"/>
      <c r="E387" s="171"/>
      <c r="F387" s="174"/>
      <c r="G387" s="92"/>
      <c r="H387" s="92"/>
      <c r="I387" s="92"/>
    </row>
    <row r="388" spans="4:9" x14ac:dyDescent="0.3">
      <c r="D388" s="167"/>
      <c r="E388" s="170"/>
      <c r="F388" s="173"/>
      <c r="G388" s="91"/>
      <c r="H388" s="91"/>
      <c r="I388" s="91"/>
    </row>
    <row r="389" spans="4:9" x14ac:dyDescent="0.3">
      <c r="D389" s="168"/>
      <c r="E389" s="171"/>
      <c r="F389" s="174"/>
      <c r="G389" s="92"/>
      <c r="H389" s="92"/>
      <c r="I389" s="92"/>
    </row>
    <row r="390" spans="4:9" x14ac:dyDescent="0.3">
      <c r="D390" s="167"/>
      <c r="E390" s="170"/>
      <c r="F390" s="173"/>
      <c r="G390" s="91"/>
      <c r="H390" s="91"/>
      <c r="I390" s="91"/>
    </row>
    <row r="391" spans="4:9" x14ac:dyDescent="0.3">
      <c r="D391" s="168"/>
      <c r="E391" s="171"/>
      <c r="F391" s="174"/>
      <c r="G391" s="92"/>
      <c r="H391" s="92"/>
      <c r="I391" s="92"/>
    </row>
    <row r="392" spans="4:9" x14ac:dyDescent="0.3">
      <c r="D392" s="167"/>
      <c r="E392" s="170"/>
      <c r="F392" s="173"/>
      <c r="G392" s="91"/>
      <c r="H392" s="91"/>
      <c r="I392" s="91"/>
    </row>
    <row r="393" spans="4:9" x14ac:dyDescent="0.3">
      <c r="D393" s="168"/>
      <c r="E393" s="171"/>
      <c r="F393" s="174"/>
      <c r="G393" s="92"/>
      <c r="H393" s="92"/>
      <c r="I393" s="92"/>
    </row>
    <row r="394" spans="4:9" x14ac:dyDescent="0.3">
      <c r="D394" s="167"/>
      <c r="E394" s="170"/>
      <c r="F394" s="173"/>
      <c r="G394" s="91"/>
      <c r="H394" s="91"/>
      <c r="I394" s="91"/>
    </row>
    <row r="395" spans="4:9" x14ac:dyDescent="0.3">
      <c r="D395" s="168"/>
      <c r="E395" s="171"/>
      <c r="F395" s="174"/>
      <c r="G395" s="92"/>
      <c r="H395" s="92"/>
      <c r="I395" s="92"/>
    </row>
    <row r="396" spans="4:9" x14ac:dyDescent="0.3">
      <c r="D396" s="167"/>
      <c r="E396" s="170"/>
      <c r="F396" s="173"/>
      <c r="G396" s="91"/>
      <c r="H396" s="91"/>
      <c r="I396" s="91"/>
    </row>
    <row r="397" spans="4:9" x14ac:dyDescent="0.3">
      <c r="D397" s="168"/>
      <c r="E397" s="171"/>
      <c r="F397" s="174"/>
      <c r="G397" s="92"/>
      <c r="H397" s="92"/>
      <c r="I397" s="92"/>
    </row>
    <row r="398" spans="4:9" x14ac:dyDescent="0.3">
      <c r="D398" s="167"/>
      <c r="E398" s="170"/>
      <c r="F398" s="173"/>
      <c r="G398" s="91"/>
      <c r="H398" s="91"/>
      <c r="I398" s="91"/>
    </row>
    <row r="399" spans="4:9" x14ac:dyDescent="0.3">
      <c r="D399" s="168"/>
      <c r="E399" s="171"/>
      <c r="F399" s="174"/>
      <c r="G399" s="92"/>
      <c r="H399" s="92"/>
      <c r="I399" s="92"/>
    </row>
    <row r="400" spans="4:9" x14ac:dyDescent="0.3">
      <c r="D400" s="167"/>
      <c r="E400" s="170"/>
      <c r="F400" s="173"/>
      <c r="G400" s="91"/>
      <c r="H400" s="91"/>
      <c r="I400" s="91"/>
    </row>
    <row r="401" spans="4:9" x14ac:dyDescent="0.3">
      <c r="D401" s="168"/>
      <c r="E401" s="171"/>
      <c r="F401" s="174"/>
      <c r="G401" s="92"/>
      <c r="H401" s="92"/>
      <c r="I401" s="92"/>
    </row>
    <row r="402" spans="4:9" x14ac:dyDescent="0.3">
      <c r="D402" s="167"/>
      <c r="E402" s="170"/>
      <c r="F402" s="173"/>
      <c r="G402" s="91"/>
      <c r="H402" s="91"/>
      <c r="I402" s="91"/>
    </row>
    <row r="403" spans="4:9" x14ac:dyDescent="0.3">
      <c r="D403" s="168"/>
      <c r="E403" s="171"/>
      <c r="F403" s="174"/>
      <c r="G403" s="92"/>
      <c r="H403" s="92"/>
      <c r="I403" s="92"/>
    </row>
    <row r="404" spans="4:9" x14ac:dyDescent="0.3">
      <c r="D404" s="167"/>
      <c r="E404" s="170"/>
      <c r="F404" s="173"/>
      <c r="G404" s="91"/>
      <c r="H404" s="91"/>
      <c r="I404" s="91"/>
    </row>
    <row r="405" spans="4:9" x14ac:dyDescent="0.3">
      <c r="D405" s="168"/>
      <c r="E405" s="171"/>
      <c r="F405" s="174"/>
      <c r="G405" s="92"/>
      <c r="H405" s="92"/>
      <c r="I405" s="92"/>
    </row>
    <row r="406" spans="4:9" x14ac:dyDescent="0.3">
      <c r="D406" s="167"/>
      <c r="E406" s="170"/>
      <c r="F406" s="173"/>
      <c r="G406" s="91"/>
      <c r="H406" s="91"/>
      <c r="I406" s="91"/>
    </row>
    <row r="407" spans="4:9" x14ac:dyDescent="0.3">
      <c r="D407" s="168"/>
      <c r="E407" s="171"/>
      <c r="F407" s="174"/>
      <c r="G407" s="92"/>
      <c r="H407" s="92"/>
      <c r="I407" s="92"/>
    </row>
    <row r="408" spans="4:9" x14ac:dyDescent="0.3">
      <c r="D408" s="167"/>
      <c r="E408" s="170"/>
      <c r="F408" s="173"/>
      <c r="G408" s="91"/>
      <c r="H408" s="91"/>
      <c r="I408" s="91"/>
    </row>
    <row r="409" spans="4:9" x14ac:dyDescent="0.3">
      <c r="D409" s="168"/>
      <c r="E409" s="171"/>
      <c r="F409" s="174"/>
      <c r="G409" s="92"/>
      <c r="H409" s="92"/>
      <c r="I409" s="92"/>
    </row>
    <row r="410" spans="4:9" x14ac:dyDescent="0.3">
      <c r="D410" s="167"/>
      <c r="E410" s="170"/>
      <c r="F410" s="173"/>
      <c r="G410" s="91"/>
      <c r="H410" s="91"/>
      <c r="I410" s="91"/>
    </row>
    <row r="411" spans="4:9" x14ac:dyDescent="0.3">
      <c r="D411" s="168"/>
      <c r="E411" s="171"/>
      <c r="F411" s="174"/>
      <c r="G411" s="92"/>
      <c r="H411" s="92"/>
      <c r="I411" s="92"/>
    </row>
    <row r="412" spans="4:9" x14ac:dyDescent="0.3">
      <c r="D412" s="167"/>
      <c r="E412" s="170"/>
      <c r="F412" s="173"/>
      <c r="G412" s="91"/>
      <c r="H412" s="91"/>
      <c r="I412" s="91"/>
    </row>
    <row r="413" spans="4:9" x14ac:dyDescent="0.3">
      <c r="D413" s="168"/>
      <c r="E413" s="171"/>
      <c r="F413" s="174"/>
      <c r="G413" s="92"/>
      <c r="H413" s="92"/>
      <c r="I413" s="92"/>
    </row>
    <row r="414" spans="4:9" x14ac:dyDescent="0.3">
      <c r="D414" s="167"/>
      <c r="E414" s="170"/>
      <c r="F414" s="173"/>
      <c r="G414" s="91"/>
      <c r="H414" s="91"/>
      <c r="I414" s="91"/>
    </row>
    <row r="415" spans="4:9" x14ac:dyDescent="0.3">
      <c r="D415" s="168"/>
      <c r="E415" s="171"/>
      <c r="F415" s="174"/>
      <c r="G415" s="92"/>
      <c r="H415" s="92"/>
      <c r="I415" s="92"/>
    </row>
    <row r="416" spans="4:9" x14ac:dyDescent="0.3">
      <c r="D416" s="167"/>
      <c r="E416" s="170"/>
      <c r="F416" s="173"/>
      <c r="G416" s="91"/>
      <c r="H416" s="91"/>
      <c r="I416" s="91"/>
    </row>
    <row r="417" spans="4:9" x14ac:dyDescent="0.3">
      <c r="D417" s="168"/>
      <c r="E417" s="171"/>
      <c r="F417" s="174"/>
      <c r="G417" s="92"/>
      <c r="H417" s="92"/>
      <c r="I417" s="92"/>
    </row>
    <row r="418" spans="4:9" x14ac:dyDescent="0.3">
      <c r="D418" s="167"/>
      <c r="E418" s="170"/>
      <c r="F418" s="173"/>
      <c r="G418" s="91"/>
      <c r="H418" s="91"/>
      <c r="I418" s="91"/>
    </row>
    <row r="419" spans="4:9" x14ac:dyDescent="0.3">
      <c r="D419" s="168"/>
      <c r="E419" s="171"/>
      <c r="F419" s="174"/>
      <c r="G419" s="92"/>
      <c r="H419" s="92"/>
      <c r="I419" s="92"/>
    </row>
    <row r="420" spans="4:9" x14ac:dyDescent="0.3">
      <c r="D420" s="167"/>
      <c r="E420" s="170"/>
      <c r="F420" s="173"/>
      <c r="G420" s="91"/>
      <c r="H420" s="91"/>
      <c r="I420" s="91"/>
    </row>
    <row r="421" spans="4:9" x14ac:dyDescent="0.3">
      <c r="D421" s="168"/>
      <c r="E421" s="171"/>
      <c r="F421" s="174"/>
      <c r="G421" s="92"/>
      <c r="H421" s="92"/>
      <c r="I421" s="92"/>
    </row>
    <row r="422" spans="4:9" x14ac:dyDescent="0.3">
      <c r="D422" s="167"/>
      <c r="E422" s="170"/>
      <c r="F422" s="173"/>
      <c r="G422" s="91"/>
      <c r="H422" s="91"/>
      <c r="I422" s="91"/>
    </row>
    <row r="423" spans="4:9" x14ac:dyDescent="0.3">
      <c r="D423" s="168"/>
      <c r="E423" s="171"/>
      <c r="F423" s="174"/>
      <c r="G423" s="92"/>
      <c r="H423" s="92"/>
      <c r="I423" s="92"/>
    </row>
    <row r="424" spans="4:9" x14ac:dyDescent="0.3">
      <c r="D424" s="167"/>
      <c r="E424" s="170"/>
      <c r="F424" s="173"/>
      <c r="G424" s="91"/>
      <c r="H424" s="91"/>
      <c r="I424" s="91"/>
    </row>
    <row r="425" spans="4:9" x14ac:dyDescent="0.3">
      <c r="D425" s="168"/>
      <c r="E425" s="171"/>
      <c r="F425" s="174"/>
      <c r="G425" s="92"/>
      <c r="H425" s="92"/>
      <c r="I425" s="92"/>
    </row>
    <row r="426" spans="4:9" x14ac:dyDescent="0.3">
      <c r="D426" s="167"/>
      <c r="E426" s="170"/>
      <c r="F426" s="173"/>
      <c r="G426" s="91"/>
      <c r="H426" s="91"/>
      <c r="I426" s="91"/>
    </row>
    <row r="427" spans="4:9" x14ac:dyDescent="0.3">
      <c r="D427" s="168"/>
      <c r="E427" s="171"/>
      <c r="F427" s="174"/>
      <c r="G427" s="92"/>
      <c r="H427" s="92"/>
      <c r="I427" s="92"/>
    </row>
    <row r="428" spans="4:9" x14ac:dyDescent="0.3">
      <c r="D428" s="167"/>
      <c r="E428" s="170"/>
      <c r="F428" s="173"/>
      <c r="G428" s="91"/>
      <c r="H428" s="91"/>
      <c r="I428" s="91"/>
    </row>
    <row r="429" spans="4:9" x14ac:dyDescent="0.3">
      <c r="D429" s="168"/>
      <c r="E429" s="171"/>
      <c r="F429" s="174"/>
      <c r="G429" s="92"/>
      <c r="H429" s="92"/>
      <c r="I429" s="92"/>
    </row>
    <row r="430" spans="4:9" x14ac:dyDescent="0.3">
      <c r="D430" s="167"/>
      <c r="E430" s="170"/>
      <c r="F430" s="173"/>
      <c r="G430" s="91"/>
      <c r="H430" s="91"/>
      <c r="I430" s="91"/>
    </row>
    <row r="431" spans="4:9" x14ac:dyDescent="0.3">
      <c r="D431" s="168"/>
      <c r="E431" s="171"/>
      <c r="F431" s="174"/>
      <c r="G431" s="92"/>
      <c r="H431" s="92"/>
      <c r="I431" s="92"/>
    </row>
    <row r="432" spans="4:9" x14ac:dyDescent="0.3">
      <c r="D432" s="167"/>
      <c r="E432" s="170"/>
      <c r="F432" s="173"/>
      <c r="G432" s="91"/>
      <c r="H432" s="91"/>
      <c r="I432" s="91"/>
    </row>
    <row r="433" spans="4:9" x14ac:dyDescent="0.3">
      <c r="D433" s="168"/>
      <c r="E433" s="171"/>
      <c r="F433" s="174"/>
      <c r="G433" s="92"/>
      <c r="H433" s="92"/>
      <c r="I433" s="92"/>
    </row>
    <row r="434" spans="4:9" x14ac:dyDescent="0.3">
      <c r="D434" s="167"/>
      <c r="E434" s="170"/>
      <c r="F434" s="173"/>
      <c r="G434" s="91"/>
      <c r="H434" s="91"/>
      <c r="I434" s="91"/>
    </row>
    <row r="435" spans="4:9" x14ac:dyDescent="0.3">
      <c r="D435" s="168"/>
      <c r="E435" s="171"/>
      <c r="F435" s="174"/>
      <c r="G435" s="92"/>
      <c r="H435" s="92"/>
      <c r="I435" s="92"/>
    </row>
    <row r="436" spans="4:9" x14ac:dyDescent="0.3">
      <c r="D436" s="167"/>
      <c r="E436" s="170"/>
      <c r="F436" s="173"/>
      <c r="G436" s="91"/>
      <c r="H436" s="91"/>
      <c r="I436" s="91"/>
    </row>
    <row r="437" spans="4:9" x14ac:dyDescent="0.3">
      <c r="D437" s="168"/>
      <c r="E437" s="171"/>
      <c r="F437" s="174"/>
      <c r="G437" s="92"/>
      <c r="H437" s="92"/>
      <c r="I437" s="92"/>
    </row>
    <row r="438" spans="4:9" x14ac:dyDescent="0.3">
      <c r="D438" s="167"/>
      <c r="E438" s="170"/>
      <c r="F438" s="173"/>
      <c r="G438" s="91"/>
      <c r="H438" s="91"/>
      <c r="I438" s="91"/>
    </row>
    <row r="439" spans="4:9" x14ac:dyDescent="0.3">
      <c r="D439" s="168"/>
      <c r="E439" s="171"/>
      <c r="F439" s="174"/>
      <c r="G439" s="92"/>
      <c r="H439" s="92"/>
      <c r="I439" s="92"/>
    </row>
    <row r="440" spans="4:9" x14ac:dyDescent="0.3">
      <c r="D440" s="167"/>
      <c r="E440" s="170"/>
      <c r="F440" s="173"/>
      <c r="G440" s="91"/>
      <c r="H440" s="91"/>
      <c r="I440" s="91"/>
    </row>
    <row r="441" spans="4:9" x14ac:dyDescent="0.3">
      <c r="D441" s="168"/>
      <c r="E441" s="171"/>
      <c r="F441" s="174"/>
      <c r="G441" s="92"/>
      <c r="H441" s="92"/>
      <c r="I441" s="92"/>
    </row>
    <row r="442" spans="4:9" x14ac:dyDescent="0.3">
      <c r="D442" s="167"/>
      <c r="E442" s="170"/>
      <c r="F442" s="173"/>
      <c r="G442" s="91"/>
      <c r="H442" s="91"/>
      <c r="I442" s="91"/>
    </row>
    <row r="443" spans="4:9" x14ac:dyDescent="0.3">
      <c r="D443" s="168"/>
      <c r="E443" s="171"/>
      <c r="F443" s="174"/>
      <c r="G443" s="92"/>
      <c r="H443" s="92"/>
      <c r="I443" s="92"/>
    </row>
    <row r="444" spans="4:9" x14ac:dyDescent="0.3">
      <c r="D444" s="167"/>
      <c r="E444" s="170"/>
      <c r="F444" s="173"/>
      <c r="G444" s="91"/>
      <c r="H444" s="91"/>
      <c r="I444" s="91"/>
    </row>
    <row r="445" spans="4:9" x14ac:dyDescent="0.3">
      <c r="D445" s="168"/>
      <c r="E445" s="171"/>
      <c r="F445" s="174"/>
      <c r="G445" s="92"/>
      <c r="H445" s="92"/>
      <c r="I445" s="92"/>
    </row>
    <row r="446" spans="4:9" x14ac:dyDescent="0.3">
      <c r="D446" s="167"/>
      <c r="E446" s="170"/>
      <c r="F446" s="173"/>
      <c r="G446" s="91"/>
      <c r="H446" s="91"/>
      <c r="I446" s="91"/>
    </row>
    <row r="447" spans="4:9" x14ac:dyDescent="0.3">
      <c r="D447" s="168"/>
      <c r="E447" s="171"/>
      <c r="F447" s="174"/>
      <c r="G447" s="92"/>
      <c r="H447" s="92"/>
      <c r="I447" s="92"/>
    </row>
    <row r="448" spans="4:9" x14ac:dyDescent="0.3">
      <c r="D448" s="167"/>
      <c r="E448" s="170"/>
      <c r="F448" s="173"/>
      <c r="G448" s="91"/>
      <c r="H448" s="91"/>
      <c r="I448" s="91"/>
    </row>
    <row r="449" spans="4:9" x14ac:dyDescent="0.3">
      <c r="D449" s="168"/>
      <c r="E449" s="171"/>
      <c r="F449" s="174"/>
      <c r="G449" s="92"/>
      <c r="H449" s="92"/>
      <c r="I449" s="92"/>
    </row>
    <row r="450" spans="4:9" x14ac:dyDescent="0.3">
      <c r="D450" s="167"/>
      <c r="E450" s="170"/>
      <c r="F450" s="173"/>
      <c r="G450" s="91"/>
      <c r="H450" s="91"/>
      <c r="I450" s="91"/>
    </row>
    <row r="451" spans="4:9" x14ac:dyDescent="0.3">
      <c r="D451" s="168"/>
      <c r="E451" s="171"/>
      <c r="F451" s="174"/>
      <c r="G451" s="92"/>
      <c r="H451" s="92"/>
      <c r="I451" s="92"/>
    </row>
    <row r="452" spans="4:9" x14ac:dyDescent="0.3">
      <c r="D452" s="167"/>
      <c r="E452" s="170"/>
      <c r="F452" s="173"/>
      <c r="G452" s="91"/>
      <c r="H452" s="91"/>
      <c r="I452" s="91"/>
    </row>
    <row r="453" spans="4:9" x14ac:dyDescent="0.3">
      <c r="D453" s="168"/>
      <c r="E453" s="171"/>
      <c r="F453" s="174"/>
      <c r="G453" s="92"/>
      <c r="H453" s="92"/>
      <c r="I453" s="92"/>
    </row>
    <row r="454" spans="4:9" x14ac:dyDescent="0.3">
      <c r="D454" s="167"/>
      <c r="E454" s="170"/>
      <c r="F454" s="173"/>
      <c r="G454" s="91"/>
      <c r="H454" s="91"/>
      <c r="I454" s="91"/>
    </row>
    <row r="455" spans="4:9" x14ac:dyDescent="0.3">
      <c r="D455" s="168"/>
      <c r="E455" s="171"/>
      <c r="F455" s="174"/>
      <c r="G455" s="92"/>
      <c r="H455" s="92"/>
      <c r="I455" s="92"/>
    </row>
    <row r="456" spans="4:9" x14ac:dyDescent="0.3">
      <c r="D456" s="167"/>
      <c r="E456" s="170"/>
      <c r="F456" s="173"/>
      <c r="G456" s="91"/>
      <c r="H456" s="91"/>
      <c r="I456" s="91"/>
    </row>
    <row r="457" spans="4:9" x14ac:dyDescent="0.3">
      <c r="D457" s="168"/>
      <c r="E457" s="171"/>
      <c r="F457" s="174"/>
      <c r="G457" s="92"/>
      <c r="H457" s="92"/>
      <c r="I457" s="92"/>
    </row>
    <row r="458" spans="4:9" x14ac:dyDescent="0.3">
      <c r="D458" s="167"/>
      <c r="E458" s="170"/>
      <c r="F458" s="173"/>
      <c r="G458" s="91"/>
      <c r="H458" s="91"/>
      <c r="I458" s="91"/>
    </row>
    <row r="459" spans="4:9" x14ac:dyDescent="0.3">
      <c r="D459" s="168"/>
      <c r="E459" s="171"/>
      <c r="F459" s="174"/>
      <c r="G459" s="92"/>
      <c r="H459" s="92"/>
      <c r="I459" s="92"/>
    </row>
    <row r="460" spans="4:9" x14ac:dyDescent="0.3">
      <c r="D460" s="167"/>
      <c r="E460" s="170"/>
      <c r="F460" s="173"/>
      <c r="G460" s="91"/>
      <c r="H460" s="91"/>
      <c r="I460" s="91"/>
    </row>
    <row r="461" spans="4:9" x14ac:dyDescent="0.3">
      <c r="D461" s="168"/>
      <c r="E461" s="171"/>
      <c r="F461" s="174"/>
      <c r="G461" s="92"/>
      <c r="H461" s="92"/>
      <c r="I461" s="92"/>
    </row>
    <row r="462" spans="4:9" x14ac:dyDescent="0.3">
      <c r="D462" s="167"/>
      <c r="E462" s="170"/>
      <c r="F462" s="173"/>
      <c r="G462" s="91"/>
      <c r="H462" s="91"/>
      <c r="I462" s="91"/>
    </row>
    <row r="463" spans="4:9" x14ac:dyDescent="0.3">
      <c r="D463" s="168"/>
      <c r="E463" s="171"/>
      <c r="F463" s="174"/>
      <c r="G463" s="92"/>
      <c r="H463" s="92"/>
      <c r="I463" s="92"/>
    </row>
    <row r="464" spans="4:9" x14ac:dyDescent="0.3">
      <c r="D464" s="167"/>
      <c r="E464" s="170"/>
      <c r="F464" s="173"/>
      <c r="G464" s="91"/>
      <c r="H464" s="91"/>
      <c r="I464" s="91"/>
    </row>
    <row r="465" spans="4:9" x14ac:dyDescent="0.3">
      <c r="D465" s="168"/>
      <c r="E465" s="171"/>
      <c r="F465" s="174"/>
      <c r="G465" s="92"/>
      <c r="H465" s="92"/>
      <c r="I465" s="92"/>
    </row>
    <row r="466" spans="4:9" x14ac:dyDescent="0.3">
      <c r="D466" s="167"/>
      <c r="E466" s="170"/>
      <c r="F466" s="173"/>
      <c r="G466" s="91"/>
      <c r="H466" s="91"/>
      <c r="I466" s="91"/>
    </row>
    <row r="467" spans="4:9" x14ac:dyDescent="0.3">
      <c r="D467" s="168"/>
      <c r="E467" s="171"/>
      <c r="F467" s="174"/>
      <c r="G467" s="92"/>
      <c r="H467" s="92"/>
      <c r="I467" s="92"/>
    </row>
    <row r="468" spans="4:9" x14ac:dyDescent="0.3">
      <c r="D468" s="167"/>
      <c r="E468" s="170"/>
      <c r="F468" s="173"/>
      <c r="G468" s="91"/>
      <c r="H468" s="91"/>
      <c r="I468" s="91"/>
    </row>
    <row r="469" spans="4:9" x14ac:dyDescent="0.3">
      <c r="D469" s="168"/>
      <c r="E469" s="171"/>
      <c r="F469" s="174"/>
      <c r="G469" s="92"/>
      <c r="H469" s="92"/>
      <c r="I469" s="92"/>
    </row>
    <row r="470" spans="4:9" x14ac:dyDescent="0.3">
      <c r="D470" s="167"/>
      <c r="E470" s="170"/>
      <c r="F470" s="173"/>
      <c r="G470" s="91"/>
      <c r="H470" s="91"/>
      <c r="I470" s="91"/>
    </row>
    <row r="471" spans="4:9" x14ac:dyDescent="0.3">
      <c r="D471" s="168"/>
      <c r="E471" s="171"/>
      <c r="F471" s="174"/>
      <c r="G471" s="92"/>
      <c r="H471" s="92"/>
      <c r="I471" s="92"/>
    </row>
    <row r="472" spans="4:9" x14ac:dyDescent="0.3">
      <c r="D472" s="167"/>
      <c r="E472" s="170"/>
      <c r="F472" s="173"/>
      <c r="G472" s="91"/>
      <c r="H472" s="91"/>
      <c r="I472" s="91"/>
    </row>
    <row r="473" spans="4:9" x14ac:dyDescent="0.3">
      <c r="D473" s="168"/>
      <c r="E473" s="171"/>
      <c r="F473" s="174"/>
      <c r="G473" s="92"/>
      <c r="H473" s="92"/>
      <c r="I473" s="92"/>
    </row>
    <row r="474" spans="4:9" x14ac:dyDescent="0.3">
      <c r="D474" s="167"/>
      <c r="E474" s="170"/>
      <c r="F474" s="173"/>
      <c r="G474" s="91"/>
      <c r="H474" s="91"/>
      <c r="I474" s="91"/>
    </row>
    <row r="475" spans="4:9" x14ac:dyDescent="0.3">
      <c r="D475" s="168"/>
      <c r="E475" s="171"/>
      <c r="F475" s="174"/>
      <c r="G475" s="92"/>
      <c r="H475" s="92"/>
      <c r="I475" s="92"/>
    </row>
    <row r="476" spans="4:9" x14ac:dyDescent="0.3">
      <c r="D476" s="167"/>
      <c r="E476" s="170"/>
      <c r="F476" s="173"/>
      <c r="G476" s="91"/>
      <c r="H476" s="91"/>
      <c r="I476" s="91"/>
    </row>
    <row r="477" spans="4:9" x14ac:dyDescent="0.3">
      <c r="D477" s="168"/>
      <c r="E477" s="171"/>
      <c r="F477" s="174"/>
      <c r="G477" s="92"/>
      <c r="H477" s="92"/>
      <c r="I477" s="92"/>
    </row>
    <row r="478" spans="4:9" x14ac:dyDescent="0.3">
      <c r="D478" s="167"/>
      <c r="E478" s="170"/>
      <c r="F478" s="173"/>
      <c r="G478" s="91"/>
      <c r="H478" s="91"/>
      <c r="I478" s="91"/>
    </row>
    <row r="479" spans="4:9" x14ac:dyDescent="0.3">
      <c r="D479" s="168"/>
      <c r="E479" s="171"/>
      <c r="F479" s="174"/>
      <c r="G479" s="92"/>
      <c r="H479" s="92"/>
      <c r="I479" s="92"/>
    </row>
    <row r="480" spans="4:9" x14ac:dyDescent="0.3">
      <c r="D480" s="167"/>
      <c r="E480" s="170"/>
      <c r="F480" s="173"/>
      <c r="G480" s="91"/>
      <c r="H480" s="91"/>
      <c r="I480" s="91"/>
    </row>
    <row r="481" spans="4:9" x14ac:dyDescent="0.3">
      <c r="D481" s="168"/>
      <c r="E481" s="171"/>
      <c r="F481" s="174"/>
      <c r="G481" s="92"/>
      <c r="H481" s="92"/>
      <c r="I481" s="92"/>
    </row>
    <row r="482" spans="4:9" x14ac:dyDescent="0.3">
      <c r="D482" s="167"/>
      <c r="E482" s="170"/>
      <c r="F482" s="173"/>
      <c r="G482" s="91"/>
      <c r="H482" s="91"/>
      <c r="I482" s="91"/>
    </row>
    <row r="483" spans="4:9" x14ac:dyDescent="0.3">
      <c r="D483" s="168"/>
      <c r="E483" s="171"/>
      <c r="F483" s="174"/>
      <c r="G483" s="92"/>
      <c r="H483" s="92"/>
      <c r="I483" s="92"/>
    </row>
    <row r="484" spans="4:9" x14ac:dyDescent="0.3">
      <c r="D484" s="167"/>
      <c r="E484" s="170"/>
      <c r="F484" s="173"/>
      <c r="G484" s="91"/>
      <c r="H484" s="91"/>
      <c r="I484" s="91"/>
    </row>
    <row r="485" spans="4:9" x14ac:dyDescent="0.3">
      <c r="D485" s="168"/>
      <c r="E485" s="171"/>
      <c r="F485" s="174"/>
      <c r="G485" s="92"/>
      <c r="H485" s="92"/>
      <c r="I485" s="92"/>
    </row>
    <row r="486" spans="4:9" x14ac:dyDescent="0.3">
      <c r="D486" s="167"/>
      <c r="E486" s="170"/>
      <c r="F486" s="173"/>
      <c r="G486" s="91"/>
      <c r="H486" s="91"/>
      <c r="I486" s="91"/>
    </row>
    <row r="487" spans="4:9" x14ac:dyDescent="0.3">
      <c r="D487" s="168"/>
      <c r="E487" s="171"/>
      <c r="F487" s="174"/>
      <c r="G487" s="92"/>
      <c r="H487" s="92"/>
      <c r="I487" s="92"/>
    </row>
    <row r="488" spans="4:9" x14ac:dyDescent="0.3">
      <c r="D488" s="167"/>
      <c r="E488" s="170"/>
      <c r="F488" s="173"/>
      <c r="G488" s="91"/>
      <c r="H488" s="91"/>
      <c r="I488" s="91"/>
    </row>
    <row r="489" spans="4:9" x14ac:dyDescent="0.3">
      <c r="D489" s="168"/>
      <c r="E489" s="171"/>
      <c r="F489" s="174"/>
      <c r="G489" s="92"/>
      <c r="H489" s="92"/>
      <c r="I489" s="92"/>
    </row>
    <row r="490" spans="4:9" x14ac:dyDescent="0.3">
      <c r="D490" s="167"/>
      <c r="E490" s="170"/>
      <c r="F490" s="173"/>
      <c r="G490" s="91"/>
      <c r="H490" s="91"/>
      <c r="I490" s="91"/>
    </row>
    <row r="491" spans="4:9" x14ac:dyDescent="0.3">
      <c r="D491" s="168"/>
      <c r="E491" s="171"/>
      <c r="F491" s="174"/>
      <c r="G491" s="92"/>
      <c r="H491" s="92"/>
      <c r="I491" s="92"/>
    </row>
    <row r="492" spans="4:9" x14ac:dyDescent="0.3">
      <c r="D492" s="167"/>
      <c r="E492" s="170"/>
      <c r="F492" s="173"/>
      <c r="G492" s="91"/>
      <c r="H492" s="91"/>
      <c r="I492" s="91"/>
    </row>
    <row r="493" spans="4:9" x14ac:dyDescent="0.3">
      <c r="D493" s="168"/>
      <c r="E493" s="171"/>
      <c r="F493" s="174"/>
      <c r="G493" s="92"/>
      <c r="H493" s="92"/>
      <c r="I493" s="92"/>
    </row>
    <row r="494" spans="4:9" x14ac:dyDescent="0.3">
      <c r="D494" s="167"/>
      <c r="E494" s="170"/>
      <c r="F494" s="173"/>
      <c r="G494" s="91"/>
      <c r="H494" s="91"/>
      <c r="I494" s="91"/>
    </row>
    <row r="495" spans="4:9" x14ac:dyDescent="0.3">
      <c r="D495" s="168"/>
      <c r="E495" s="171"/>
      <c r="F495" s="174"/>
      <c r="G495" s="92"/>
      <c r="H495" s="92"/>
      <c r="I495" s="92"/>
    </row>
    <row r="496" spans="4:9" x14ac:dyDescent="0.3">
      <c r="D496" s="167"/>
      <c r="E496" s="170"/>
      <c r="F496" s="173"/>
      <c r="G496" s="91"/>
      <c r="H496" s="91"/>
      <c r="I496" s="91"/>
    </row>
    <row r="497" spans="4:9" x14ac:dyDescent="0.3">
      <c r="D497" s="168"/>
      <c r="E497" s="171"/>
      <c r="F497" s="174"/>
      <c r="G497" s="92"/>
      <c r="H497" s="92"/>
      <c r="I497" s="92"/>
    </row>
    <row r="498" spans="4:9" x14ac:dyDescent="0.3">
      <c r="D498" s="167"/>
      <c r="E498" s="170"/>
      <c r="F498" s="173"/>
      <c r="G498" s="91"/>
      <c r="H498" s="91"/>
      <c r="I498" s="91"/>
    </row>
    <row r="499" spans="4:9" x14ac:dyDescent="0.3">
      <c r="D499" s="168"/>
      <c r="E499" s="171"/>
      <c r="F499" s="174"/>
      <c r="G499" s="92"/>
      <c r="H499" s="92"/>
      <c r="I499" s="92"/>
    </row>
    <row r="500" spans="4:9" x14ac:dyDescent="0.3">
      <c r="D500" s="167"/>
      <c r="E500" s="170"/>
      <c r="F500" s="173"/>
      <c r="G500" s="91"/>
      <c r="H500" s="91"/>
      <c r="I500" s="91"/>
    </row>
  </sheetData>
  <mergeCells count="1">
    <mergeCell ref="A1:B1"/>
  </mergeCells>
  <dataValidations count="1">
    <dataValidation type="list" allowBlank="1" showInputMessage="1" showErrorMessage="1" sqref="B2" xr:uid="{2F734D83-FEED-4B79-BE3C-9728619CE5B1}">
      <formula1>"All,January,February,March,April,May,June,July,August,September,October,November,December"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FD3CD-E936-4F22-BCFB-C7EC841D02DD}">
  <sheetPr codeName="Sheet5"/>
  <dimension ref="A1:M1000"/>
  <sheetViews>
    <sheetView workbookViewId="0">
      <pane ySplit="1" topLeftCell="A2" activePane="bottomLeft" state="frozen"/>
      <selection activeCell="N20" sqref="N20"/>
      <selection pane="bottomLeft" activeCell="A7" sqref="A7"/>
    </sheetView>
  </sheetViews>
  <sheetFormatPr defaultRowHeight="14.4" x14ac:dyDescent="0.3"/>
  <cols>
    <col min="1" max="1" width="18.88671875" customWidth="1"/>
    <col min="2" max="2" width="14.44140625" customWidth="1"/>
    <col min="3" max="3" width="16" customWidth="1"/>
    <col min="4" max="4" width="15.88671875" customWidth="1"/>
    <col min="5" max="5" width="14.44140625" customWidth="1"/>
    <col min="6" max="6" width="15.33203125" customWidth="1"/>
    <col min="7" max="7" width="7.44140625" customWidth="1"/>
    <col min="8" max="8" width="19.88671875" customWidth="1"/>
    <col min="9" max="9" width="14.5546875" customWidth="1"/>
    <col min="10" max="10" width="16.44140625" customWidth="1"/>
    <col min="11" max="11" width="12.77734375" customWidth="1"/>
    <col min="12" max="12" width="15.6640625" customWidth="1"/>
    <col min="13" max="13" width="19.6640625" customWidth="1"/>
  </cols>
  <sheetData>
    <row r="1" spans="1:13" ht="19.2" customHeight="1" x14ac:dyDescent="0.3">
      <c r="A1" s="1" t="s">
        <v>236</v>
      </c>
      <c r="B1" s="1" t="s">
        <v>237</v>
      </c>
      <c r="C1" s="1" t="s">
        <v>47</v>
      </c>
      <c r="D1" s="1" t="s">
        <v>42</v>
      </c>
      <c r="E1" s="1" t="s">
        <v>245</v>
      </c>
      <c r="F1" s="1" t="s">
        <v>239</v>
      </c>
      <c r="H1" s="293" t="s">
        <v>207</v>
      </c>
      <c r="I1" s="293"/>
      <c r="J1" s="293"/>
      <c r="K1" s="238"/>
    </row>
    <row r="2" spans="1:13" ht="18.600000000000001" customHeight="1" x14ac:dyDescent="0.3">
      <c r="A2" s="2" t="s">
        <v>255</v>
      </c>
      <c r="B2" s="158">
        <v>1000</v>
      </c>
      <c r="C2" s="234">
        <v>46272</v>
      </c>
      <c r="D2" s="2" t="str">
        <f>IF(allExpenses_table[[#This Row],[Date]]="","",TEXT(allExpenses_table[[#This Row],[Date]],"mmmm"))</f>
        <v>September</v>
      </c>
      <c r="E2" s="2"/>
      <c r="F2" s="2"/>
      <c r="H2" s="294" t="s">
        <v>232</v>
      </c>
      <c r="I2" s="320"/>
      <c r="J2" s="237"/>
    </row>
    <row r="3" spans="1:13" x14ac:dyDescent="0.3">
      <c r="A3" s="2" t="s">
        <v>117</v>
      </c>
      <c r="B3" s="158">
        <v>200</v>
      </c>
      <c r="C3" s="234">
        <v>46272</v>
      </c>
      <c r="D3" t="str">
        <f>IF(allExpenses_table[[#This Row],[Date]]="","",TEXT(allExpenses_table[[#This Row],[Date]],"mmmm"))</f>
        <v>September</v>
      </c>
      <c r="H3" s="8"/>
      <c r="I3" s="8"/>
      <c r="J3" s="8"/>
    </row>
    <row r="4" spans="1:13" ht="17.399999999999999" customHeight="1" x14ac:dyDescent="0.3">
      <c r="A4" s="2" t="s">
        <v>246</v>
      </c>
      <c r="B4" s="158">
        <v>200</v>
      </c>
      <c r="C4" s="234">
        <v>46272</v>
      </c>
      <c r="D4" t="str">
        <f>IF(allExpenses_table[[#This Row],[Date]]="","",TEXT(allExpenses_table[[#This Row],[Date]],"mmmm"))</f>
        <v>September</v>
      </c>
      <c r="H4" s="196" t="s">
        <v>49</v>
      </c>
      <c r="I4" s="197" t="s">
        <v>50</v>
      </c>
      <c r="J4" s="197" t="s">
        <v>47</v>
      </c>
      <c r="K4" s="197" t="s">
        <v>42</v>
      </c>
      <c r="L4" s="197" t="s">
        <v>48</v>
      </c>
      <c r="M4" s="198" t="s">
        <v>7</v>
      </c>
    </row>
    <row r="5" spans="1:13" x14ac:dyDescent="0.3">
      <c r="A5" s="2" t="s">
        <v>256</v>
      </c>
      <c r="B5" s="158">
        <v>30</v>
      </c>
      <c r="C5" s="234">
        <v>46272</v>
      </c>
      <c r="D5" t="str">
        <f>IF(allExpenses_table[[#This Row],[Date]]="","",TEXT(allExpenses_table[[#This Row],[Date]],"mmmm"))</f>
        <v>September</v>
      </c>
      <c r="H5" s="235" t="str" cm="1">
        <f t="array" ref="H5">IF($J$2 &lt;&gt; "", _xlfn._xlws.FILTER(allExpenses_table[],ISNUMBER(SEARCH($J$2, allExpenses_table[*Item Name])), "No Students Found"), "Please enter an item name to search")</f>
        <v>Please enter an item name to search</v>
      </c>
      <c r="I5" s="200"/>
      <c r="J5" s="216"/>
      <c r="K5" s="201"/>
      <c r="L5" s="201"/>
      <c r="M5" s="202"/>
    </row>
    <row r="6" spans="1:13" x14ac:dyDescent="0.3">
      <c r="A6" s="2" t="s">
        <v>256</v>
      </c>
      <c r="B6" s="158">
        <v>600</v>
      </c>
      <c r="C6" s="234">
        <v>46272</v>
      </c>
      <c r="D6" t="str">
        <f>IF(allExpenses_table[[#This Row],[Date]]="","",TEXT(allExpenses_table[[#This Row],[Date]],"mmmm"))</f>
        <v>September</v>
      </c>
      <c r="H6" s="203"/>
      <c r="I6" s="204"/>
      <c r="J6" s="217"/>
      <c r="K6" s="192"/>
      <c r="L6" s="192"/>
      <c r="M6" s="52"/>
    </row>
    <row r="7" spans="1:13" x14ac:dyDescent="0.3">
      <c r="A7" s="2"/>
      <c r="B7" s="158"/>
      <c r="C7" s="234"/>
      <c r="D7" t="str">
        <f>IF(allExpenses_table[[#This Row],[Date]]="","",TEXT(allExpenses_table[[#This Row],[Date]],"mmmm"))</f>
        <v/>
      </c>
      <c r="H7" s="199"/>
      <c r="I7" s="200"/>
      <c r="J7" s="216"/>
      <c r="K7" s="193"/>
      <c r="L7" s="193"/>
      <c r="M7" s="194"/>
    </row>
    <row r="8" spans="1:13" x14ac:dyDescent="0.3">
      <c r="A8" s="2"/>
      <c r="B8" s="158"/>
      <c r="C8" s="234"/>
      <c r="D8" t="str">
        <f>IF(allExpenses_table[[#This Row],[Date]]="","",TEXT(allExpenses_table[[#This Row],[Date]],"mmmm"))</f>
        <v/>
      </c>
      <c r="H8" s="203"/>
      <c r="I8" s="204"/>
      <c r="J8" s="217"/>
      <c r="K8" s="192"/>
      <c r="L8" s="192"/>
      <c r="M8" s="52"/>
    </row>
    <row r="9" spans="1:13" x14ac:dyDescent="0.3">
      <c r="A9" s="2"/>
      <c r="B9" s="158"/>
      <c r="C9" s="234"/>
      <c r="D9" t="str">
        <f>IF(allExpenses_table[[#This Row],[Date]]="","",TEXT(allExpenses_table[[#This Row],[Date]],"mmmm"))</f>
        <v/>
      </c>
      <c r="H9" s="199"/>
      <c r="I9" s="200"/>
      <c r="J9" s="216"/>
      <c r="K9" s="193"/>
      <c r="L9" s="193"/>
      <c r="M9" s="194"/>
    </row>
    <row r="10" spans="1:13" x14ac:dyDescent="0.3">
      <c r="A10" s="2"/>
      <c r="B10" s="158"/>
      <c r="C10" s="234"/>
      <c r="D10" t="str">
        <f>IF(allExpenses_table[[#This Row],[Date]]="","",TEXT(allExpenses_table[[#This Row],[Date]],"mmmm"))</f>
        <v/>
      </c>
      <c r="H10" s="203"/>
      <c r="I10" s="204"/>
      <c r="J10" s="217"/>
      <c r="K10" s="192"/>
      <c r="L10" s="192"/>
      <c r="M10" s="52"/>
    </row>
    <row r="11" spans="1:13" x14ac:dyDescent="0.3">
      <c r="A11" s="2"/>
      <c r="B11" s="158"/>
      <c r="C11" s="234"/>
      <c r="D11" t="str">
        <f>IF(allExpenses_table[[#This Row],[Date]]="","",TEXT(allExpenses_table[[#This Row],[Date]],"mmmm"))</f>
        <v/>
      </c>
      <c r="H11" s="199"/>
      <c r="I11" s="200"/>
      <c r="J11" s="216"/>
      <c r="K11" s="193"/>
      <c r="L11" s="193"/>
      <c r="M11" s="194"/>
    </row>
    <row r="12" spans="1:13" x14ac:dyDescent="0.3">
      <c r="A12" s="2"/>
      <c r="B12" s="158"/>
      <c r="C12" s="234"/>
      <c r="D12" t="str">
        <f>IF(allExpenses_table[[#This Row],[Date]]="","",TEXT(allExpenses_table[[#This Row],[Date]],"mmmm"))</f>
        <v/>
      </c>
      <c r="H12" s="203"/>
      <c r="I12" s="204"/>
      <c r="J12" s="217"/>
      <c r="K12" s="192"/>
      <c r="L12" s="192"/>
      <c r="M12" s="52"/>
    </row>
    <row r="13" spans="1:13" x14ac:dyDescent="0.3">
      <c r="A13" s="2"/>
      <c r="B13" s="158"/>
      <c r="C13" s="234"/>
      <c r="D13" t="str">
        <f>IF(allExpenses_table[[#This Row],[Date]]="","",TEXT(allExpenses_table[[#This Row],[Date]],"mmmm"))</f>
        <v/>
      </c>
      <c r="H13" s="199"/>
      <c r="I13" s="200"/>
      <c r="J13" s="216"/>
      <c r="K13" s="193"/>
      <c r="L13" s="193"/>
      <c r="M13" s="194"/>
    </row>
    <row r="14" spans="1:13" x14ac:dyDescent="0.3">
      <c r="A14" s="2"/>
      <c r="B14" s="158"/>
      <c r="C14" s="234"/>
      <c r="D14" t="str">
        <f>IF(allExpenses_table[[#This Row],[Date]]="","",TEXT(allExpenses_table[[#This Row],[Date]],"mmmm"))</f>
        <v/>
      </c>
      <c r="H14" s="203"/>
      <c r="I14" s="204"/>
      <c r="J14" s="217"/>
      <c r="K14" s="192"/>
      <c r="L14" s="192"/>
      <c r="M14" s="52"/>
    </row>
    <row r="15" spans="1:13" x14ac:dyDescent="0.3">
      <c r="A15" s="2"/>
      <c r="B15" s="158"/>
      <c r="C15" s="234"/>
      <c r="D15" t="str">
        <f>IF(allExpenses_table[[#This Row],[Date]]="","",TEXT(allExpenses_table[[#This Row],[Date]],"mmmm"))</f>
        <v/>
      </c>
      <c r="H15" s="199"/>
      <c r="I15" s="200"/>
      <c r="J15" s="216"/>
      <c r="K15" s="193"/>
      <c r="L15" s="193"/>
      <c r="M15" s="194"/>
    </row>
    <row r="16" spans="1:13" x14ac:dyDescent="0.3">
      <c r="A16" s="2"/>
      <c r="B16" s="158"/>
      <c r="C16" s="234"/>
      <c r="D16" t="str">
        <f>IF(allExpenses_table[[#This Row],[Date]]="","",TEXT(allExpenses_table[[#This Row],[Date]],"mmmm"))</f>
        <v/>
      </c>
      <c r="H16" s="203"/>
      <c r="I16" s="204"/>
      <c r="J16" s="217"/>
      <c r="K16" s="192"/>
      <c r="L16" s="192"/>
      <c r="M16" s="52"/>
    </row>
    <row r="17" spans="1:13" x14ac:dyDescent="0.3">
      <c r="A17" s="2"/>
      <c r="B17" s="158"/>
      <c r="C17" s="234"/>
      <c r="D17" t="str">
        <f>IF(allExpenses_table[[#This Row],[Date]]="","",TEXT(allExpenses_table[[#This Row],[Date]],"mmmm"))</f>
        <v/>
      </c>
      <c r="H17" s="199"/>
      <c r="I17" s="200"/>
      <c r="J17" s="216"/>
      <c r="K17" s="193"/>
      <c r="L17" s="193"/>
      <c r="M17" s="194"/>
    </row>
    <row r="18" spans="1:13" x14ac:dyDescent="0.3">
      <c r="A18" s="2"/>
      <c r="B18" s="158"/>
      <c r="C18" s="234"/>
      <c r="D18" t="str">
        <f>IF(allExpenses_table[[#This Row],[Date]]="","",TEXT(allExpenses_table[[#This Row],[Date]],"mmmm"))</f>
        <v/>
      </c>
      <c r="H18" s="203"/>
      <c r="I18" s="204"/>
      <c r="J18" s="217"/>
      <c r="K18" s="192"/>
      <c r="L18" s="192"/>
      <c r="M18" s="52"/>
    </row>
    <row r="19" spans="1:13" x14ac:dyDescent="0.3">
      <c r="A19" s="2"/>
      <c r="B19" s="158"/>
      <c r="C19" s="234"/>
      <c r="D19" t="str">
        <f>IF(allExpenses_table[[#This Row],[Date]]="","",TEXT(allExpenses_table[[#This Row],[Date]],"mmmm"))</f>
        <v/>
      </c>
      <c r="H19" s="199"/>
      <c r="I19" s="200"/>
      <c r="J19" s="216"/>
      <c r="K19" s="193"/>
      <c r="L19" s="193"/>
      <c r="M19" s="194"/>
    </row>
    <row r="20" spans="1:13" x14ac:dyDescent="0.3">
      <c r="A20" s="2"/>
      <c r="B20" s="158"/>
      <c r="C20" s="234"/>
      <c r="D20" t="str">
        <f>IF(allExpenses_table[[#This Row],[Date]]="","",TEXT(allExpenses_table[[#This Row],[Date]],"mmmm"))</f>
        <v/>
      </c>
      <c r="H20" s="203"/>
      <c r="I20" s="204"/>
      <c r="J20" s="217"/>
      <c r="K20" s="192"/>
      <c r="L20" s="192"/>
      <c r="M20" s="52"/>
    </row>
    <row r="21" spans="1:13" x14ac:dyDescent="0.3">
      <c r="A21" s="2"/>
      <c r="B21" s="158"/>
      <c r="C21" s="234"/>
      <c r="D21" t="str">
        <f>IF(allExpenses_table[[#This Row],[Date]]="","",TEXT(allExpenses_table[[#This Row],[Date]],"mmmm"))</f>
        <v/>
      </c>
      <c r="H21" s="199"/>
      <c r="I21" s="200"/>
      <c r="J21" s="216"/>
      <c r="K21" s="193"/>
      <c r="L21" s="193"/>
      <c r="M21" s="194"/>
    </row>
    <row r="22" spans="1:13" x14ac:dyDescent="0.3">
      <c r="A22" s="2"/>
      <c r="B22" s="158"/>
      <c r="C22" s="234"/>
      <c r="D22" t="str">
        <f>IF(allExpenses_table[[#This Row],[Date]]="","",TEXT(allExpenses_table[[#This Row],[Date]],"mmmm"))</f>
        <v/>
      </c>
      <c r="H22" s="203"/>
      <c r="I22" s="204"/>
      <c r="J22" s="217"/>
      <c r="K22" s="192"/>
      <c r="L22" s="192"/>
      <c r="M22" s="52"/>
    </row>
    <row r="23" spans="1:13" x14ac:dyDescent="0.3">
      <c r="A23" s="2"/>
      <c r="B23" s="158"/>
      <c r="C23" s="234"/>
      <c r="D23" t="str">
        <f>IF(allExpenses_table[[#This Row],[Date]]="","",TEXT(allExpenses_table[[#This Row],[Date]],"mmmm"))</f>
        <v/>
      </c>
      <c r="H23" s="199"/>
      <c r="I23" s="200"/>
      <c r="J23" s="216"/>
      <c r="K23" s="193"/>
      <c r="L23" s="193"/>
      <c r="M23" s="194"/>
    </row>
    <row r="24" spans="1:13" x14ac:dyDescent="0.3">
      <c r="A24" s="2"/>
      <c r="B24" s="158"/>
      <c r="C24" s="234"/>
      <c r="D24" t="str">
        <f>IF(allExpenses_table[[#This Row],[Date]]="","",TEXT(allExpenses_table[[#This Row],[Date]],"mmmm"))</f>
        <v/>
      </c>
      <c r="H24" s="203"/>
      <c r="I24" s="204"/>
      <c r="J24" s="217"/>
      <c r="K24" s="192"/>
      <c r="L24" s="192"/>
      <c r="M24" s="52"/>
    </row>
    <row r="25" spans="1:13" x14ac:dyDescent="0.3">
      <c r="A25" s="2"/>
      <c r="B25" s="158"/>
      <c r="C25" s="234"/>
      <c r="D25" t="str">
        <f>IF(allExpenses_table[[#This Row],[Date]]="","",TEXT(allExpenses_table[[#This Row],[Date]],"mmmm"))</f>
        <v/>
      </c>
      <c r="H25" s="199"/>
      <c r="I25" s="200"/>
      <c r="J25" s="216"/>
      <c r="K25" s="193"/>
      <c r="L25" s="193"/>
      <c r="M25" s="194"/>
    </row>
    <row r="26" spans="1:13" x14ac:dyDescent="0.3">
      <c r="A26" s="2"/>
      <c r="B26" s="158"/>
      <c r="C26" s="234"/>
      <c r="D26" t="str">
        <f>IF(allExpenses_table[[#This Row],[Date]]="","",TEXT(allExpenses_table[[#This Row],[Date]],"mmmm"))</f>
        <v/>
      </c>
      <c r="H26" s="203"/>
      <c r="I26" s="204"/>
      <c r="J26" s="217"/>
      <c r="K26" s="192"/>
      <c r="L26" s="192"/>
      <c r="M26" s="52"/>
    </row>
    <row r="27" spans="1:13" x14ac:dyDescent="0.3">
      <c r="A27" s="2"/>
      <c r="B27" s="158"/>
      <c r="C27" s="234"/>
      <c r="D27" t="str">
        <f>IF(allExpenses_table[[#This Row],[Date]]="","",TEXT(allExpenses_table[[#This Row],[Date]],"mmmm"))</f>
        <v/>
      </c>
      <c r="H27" s="199"/>
      <c r="I27" s="200"/>
      <c r="J27" s="216"/>
      <c r="K27" s="193"/>
      <c r="L27" s="193"/>
      <c r="M27" s="194"/>
    </row>
    <row r="28" spans="1:13" x14ac:dyDescent="0.3">
      <c r="A28" s="2"/>
      <c r="B28" s="158"/>
      <c r="C28" s="234"/>
      <c r="D28" t="str">
        <f>IF(allExpenses_table[[#This Row],[Date]]="","",TEXT(allExpenses_table[[#This Row],[Date]],"mmmm"))</f>
        <v/>
      </c>
      <c r="H28" s="203"/>
      <c r="I28" s="204"/>
      <c r="J28" s="217"/>
      <c r="K28" s="192"/>
      <c r="L28" s="192"/>
      <c r="M28" s="52"/>
    </row>
    <row r="29" spans="1:13" x14ac:dyDescent="0.3">
      <c r="A29" s="2"/>
      <c r="B29" s="158"/>
      <c r="C29" s="234"/>
      <c r="D29" t="str">
        <f>IF(allExpenses_table[[#This Row],[Date]]="","",TEXT(allExpenses_table[[#This Row],[Date]],"mmmm"))</f>
        <v/>
      </c>
      <c r="H29" s="199"/>
      <c r="I29" s="200"/>
      <c r="J29" s="216"/>
      <c r="K29" s="193"/>
      <c r="L29" s="193"/>
      <c r="M29" s="194"/>
    </row>
    <row r="30" spans="1:13" x14ac:dyDescent="0.3">
      <c r="A30" s="2"/>
      <c r="B30" s="158"/>
      <c r="C30" s="234"/>
      <c r="D30" t="str">
        <f>IF(allExpenses_table[[#This Row],[Date]]="","",TEXT(allExpenses_table[[#This Row],[Date]],"mmmm"))</f>
        <v/>
      </c>
      <c r="H30" s="203"/>
      <c r="I30" s="204"/>
      <c r="J30" s="217"/>
      <c r="K30" s="192"/>
      <c r="L30" s="192"/>
      <c r="M30" s="52"/>
    </row>
    <row r="31" spans="1:13" x14ac:dyDescent="0.3">
      <c r="A31" s="2"/>
      <c r="B31" s="158"/>
      <c r="C31" s="234"/>
      <c r="D31" t="str">
        <f>IF(allExpenses_table[[#This Row],[Date]]="","",TEXT(allExpenses_table[[#This Row],[Date]],"mmmm"))</f>
        <v/>
      </c>
      <c r="H31" s="199"/>
      <c r="I31" s="200"/>
      <c r="J31" s="216"/>
      <c r="K31" s="193"/>
      <c r="L31" s="193"/>
      <c r="M31" s="194"/>
    </row>
    <row r="32" spans="1:13" x14ac:dyDescent="0.3">
      <c r="A32" s="2"/>
      <c r="B32" s="158"/>
      <c r="C32" s="234"/>
      <c r="D32" t="str">
        <f>IF(allExpenses_table[[#This Row],[Date]]="","",TEXT(allExpenses_table[[#This Row],[Date]],"mmmm"))</f>
        <v/>
      </c>
      <c r="H32" s="203"/>
      <c r="I32" s="204"/>
      <c r="J32" s="217"/>
      <c r="K32" s="192"/>
      <c r="L32" s="192"/>
      <c r="M32" s="52"/>
    </row>
    <row r="33" spans="1:13" x14ac:dyDescent="0.3">
      <c r="A33" s="2"/>
      <c r="B33" s="158"/>
      <c r="C33" s="234"/>
      <c r="D33" t="str">
        <f>IF(allExpenses_table[[#This Row],[Date]]="","",TEXT(allExpenses_table[[#This Row],[Date]],"mmmm"))</f>
        <v/>
      </c>
      <c r="H33" s="199"/>
      <c r="I33" s="200"/>
      <c r="J33" s="216"/>
      <c r="K33" s="193"/>
      <c r="L33" s="193"/>
      <c r="M33" s="194"/>
    </row>
    <row r="34" spans="1:13" x14ac:dyDescent="0.3">
      <c r="A34" s="2"/>
      <c r="B34" s="158"/>
      <c r="C34" s="234"/>
      <c r="D34" t="str">
        <f>IF(allExpenses_table[[#This Row],[Date]]="","",TEXT(allExpenses_table[[#This Row],[Date]],"mmmm"))</f>
        <v/>
      </c>
      <c r="H34" s="203"/>
      <c r="I34" s="204"/>
      <c r="J34" s="217"/>
      <c r="K34" s="192"/>
      <c r="L34" s="192"/>
      <c r="M34" s="52"/>
    </row>
    <row r="35" spans="1:13" x14ac:dyDescent="0.3">
      <c r="A35" s="2"/>
      <c r="B35" s="158"/>
      <c r="C35" s="234"/>
      <c r="D35" t="str">
        <f>IF(allExpenses_table[[#This Row],[Date]]="","",TEXT(allExpenses_table[[#This Row],[Date]],"mmmm"))</f>
        <v/>
      </c>
      <c r="H35" s="199"/>
      <c r="I35" s="200"/>
      <c r="J35" s="216"/>
      <c r="K35" s="193"/>
      <c r="L35" s="193"/>
      <c r="M35" s="194"/>
    </row>
    <row r="36" spans="1:13" x14ac:dyDescent="0.3">
      <c r="A36" s="2"/>
      <c r="B36" s="158"/>
      <c r="C36" s="234"/>
      <c r="D36" t="str">
        <f>IF(allExpenses_table[[#This Row],[Date]]="","",TEXT(allExpenses_table[[#This Row],[Date]],"mmmm"))</f>
        <v/>
      </c>
      <c r="H36" s="203"/>
      <c r="I36" s="204"/>
      <c r="J36" s="217"/>
      <c r="K36" s="192"/>
      <c r="L36" s="192"/>
      <c r="M36" s="52"/>
    </row>
    <row r="37" spans="1:13" x14ac:dyDescent="0.3">
      <c r="A37" s="2"/>
      <c r="B37" s="158"/>
      <c r="C37" s="234"/>
      <c r="D37" t="str">
        <f>IF(allExpenses_table[[#This Row],[Date]]="","",TEXT(allExpenses_table[[#This Row],[Date]],"mmmm"))</f>
        <v/>
      </c>
      <c r="H37" s="199"/>
      <c r="I37" s="200"/>
      <c r="J37" s="216"/>
      <c r="K37" s="193"/>
      <c r="L37" s="193"/>
      <c r="M37" s="194"/>
    </row>
    <row r="38" spans="1:13" x14ac:dyDescent="0.3">
      <c r="A38" s="2"/>
      <c r="B38" s="158"/>
      <c r="C38" s="234"/>
      <c r="D38" t="str">
        <f>IF(allExpenses_table[[#This Row],[Date]]="","",TEXT(allExpenses_table[[#This Row],[Date]],"mmmm"))</f>
        <v/>
      </c>
      <c r="H38" s="203"/>
      <c r="I38" s="204"/>
      <c r="J38" s="217"/>
      <c r="K38" s="192"/>
      <c r="L38" s="192"/>
      <c r="M38" s="52"/>
    </row>
    <row r="39" spans="1:13" x14ac:dyDescent="0.3">
      <c r="A39" s="2"/>
      <c r="B39" s="158"/>
      <c r="C39" s="234"/>
      <c r="D39" t="str">
        <f>IF(allExpenses_table[[#This Row],[Date]]="","",TEXT(allExpenses_table[[#This Row],[Date]],"mmmm"))</f>
        <v/>
      </c>
      <c r="H39" s="199"/>
      <c r="I39" s="200"/>
      <c r="J39" s="216"/>
      <c r="K39" s="193"/>
      <c r="L39" s="193"/>
      <c r="M39" s="194"/>
    </row>
    <row r="40" spans="1:13" x14ac:dyDescent="0.3">
      <c r="A40" s="2"/>
      <c r="B40" s="158"/>
      <c r="C40" s="234"/>
      <c r="D40" t="str">
        <f>IF(allExpenses_table[[#This Row],[Date]]="","",TEXT(allExpenses_table[[#This Row],[Date]],"mmmm"))</f>
        <v/>
      </c>
      <c r="H40" s="203"/>
      <c r="I40" s="204"/>
      <c r="J40" s="217"/>
      <c r="K40" s="192"/>
      <c r="L40" s="192"/>
      <c r="M40" s="52"/>
    </row>
    <row r="41" spans="1:13" x14ac:dyDescent="0.3">
      <c r="A41" s="2"/>
      <c r="B41" s="158"/>
      <c r="C41" s="234"/>
      <c r="D41" t="str">
        <f>IF(allExpenses_table[[#This Row],[Date]]="","",TEXT(allExpenses_table[[#This Row],[Date]],"mmmm"))</f>
        <v/>
      </c>
      <c r="H41" s="199"/>
      <c r="I41" s="200"/>
      <c r="J41" s="216"/>
      <c r="K41" s="193"/>
      <c r="L41" s="193"/>
      <c r="M41" s="194"/>
    </row>
    <row r="42" spans="1:13" x14ac:dyDescent="0.3">
      <c r="A42" s="2"/>
      <c r="B42" s="158"/>
      <c r="C42" s="234"/>
      <c r="D42" t="str">
        <f>IF(allExpenses_table[[#This Row],[Date]]="","",TEXT(allExpenses_table[[#This Row],[Date]],"mmmm"))</f>
        <v/>
      </c>
      <c r="H42" s="203"/>
      <c r="I42" s="204"/>
      <c r="J42" s="217"/>
      <c r="K42" s="192"/>
      <c r="L42" s="192"/>
      <c r="M42" s="52"/>
    </row>
    <row r="43" spans="1:13" x14ac:dyDescent="0.3">
      <c r="A43" s="2"/>
      <c r="B43" s="158"/>
      <c r="C43" s="234"/>
      <c r="D43" t="str">
        <f>IF(allExpenses_table[[#This Row],[Date]]="","",TEXT(allExpenses_table[[#This Row],[Date]],"mmmm"))</f>
        <v/>
      </c>
      <c r="H43" s="199"/>
      <c r="I43" s="200"/>
      <c r="J43" s="216"/>
      <c r="K43" s="193"/>
      <c r="L43" s="193"/>
      <c r="M43" s="194"/>
    </row>
    <row r="44" spans="1:13" x14ac:dyDescent="0.3">
      <c r="A44" s="2"/>
      <c r="B44" s="158"/>
      <c r="C44" s="234"/>
      <c r="D44" t="str">
        <f>IF(allExpenses_table[[#This Row],[Date]]="","",TEXT(allExpenses_table[[#This Row],[Date]],"mmmm"))</f>
        <v/>
      </c>
      <c r="H44" s="203"/>
      <c r="I44" s="204"/>
      <c r="J44" s="217"/>
      <c r="K44" s="192"/>
      <c r="L44" s="192"/>
      <c r="M44" s="52"/>
    </row>
    <row r="45" spans="1:13" x14ac:dyDescent="0.3">
      <c r="A45" s="2"/>
      <c r="B45" s="158"/>
      <c r="C45" s="234"/>
      <c r="D45" t="str">
        <f>IF(allExpenses_table[[#This Row],[Date]]="","",TEXT(allExpenses_table[[#This Row],[Date]],"mmmm"))</f>
        <v/>
      </c>
      <c r="H45" s="199"/>
      <c r="I45" s="200"/>
      <c r="J45" s="216"/>
      <c r="K45" s="193"/>
      <c r="L45" s="193"/>
      <c r="M45" s="194"/>
    </row>
    <row r="46" spans="1:13" x14ac:dyDescent="0.3">
      <c r="A46" s="2"/>
      <c r="B46" s="158"/>
      <c r="C46" s="234"/>
      <c r="D46" t="str">
        <f>IF(allExpenses_table[[#This Row],[Date]]="","",TEXT(allExpenses_table[[#This Row],[Date]],"mmmm"))</f>
        <v/>
      </c>
      <c r="H46" s="203"/>
      <c r="I46" s="204"/>
      <c r="J46" s="217"/>
      <c r="K46" s="192"/>
      <c r="L46" s="192"/>
      <c r="M46" s="52"/>
    </row>
    <row r="47" spans="1:13" x14ac:dyDescent="0.3">
      <c r="A47" s="2"/>
      <c r="B47" s="158"/>
      <c r="C47" s="234"/>
      <c r="D47" t="str">
        <f>IF(allExpenses_table[[#This Row],[Date]]="","",TEXT(allExpenses_table[[#This Row],[Date]],"mmmm"))</f>
        <v/>
      </c>
      <c r="H47" s="199"/>
      <c r="I47" s="200"/>
      <c r="J47" s="216"/>
      <c r="K47" s="193"/>
      <c r="L47" s="193"/>
      <c r="M47" s="194"/>
    </row>
    <row r="48" spans="1:13" x14ac:dyDescent="0.3">
      <c r="A48" s="2"/>
      <c r="B48" s="158"/>
      <c r="C48" s="234"/>
      <c r="D48" t="str">
        <f>IF(allExpenses_table[[#This Row],[Date]]="","",TEXT(allExpenses_table[[#This Row],[Date]],"mmmm"))</f>
        <v/>
      </c>
      <c r="H48" s="203"/>
      <c r="I48" s="204"/>
      <c r="J48" s="217"/>
      <c r="K48" s="192"/>
      <c r="L48" s="192"/>
      <c r="M48" s="52"/>
    </row>
    <row r="49" spans="1:13" x14ac:dyDescent="0.3">
      <c r="A49" s="2"/>
      <c r="B49" s="158"/>
      <c r="C49" s="234"/>
      <c r="D49" t="str">
        <f>IF(allExpenses_table[[#This Row],[Date]]="","",TEXT(allExpenses_table[[#This Row],[Date]],"mmmm"))</f>
        <v/>
      </c>
      <c r="H49" s="199"/>
      <c r="I49" s="200"/>
      <c r="J49" s="216"/>
      <c r="K49" s="193"/>
      <c r="L49" s="193"/>
      <c r="M49" s="194"/>
    </row>
    <row r="50" spans="1:13" x14ac:dyDescent="0.3">
      <c r="A50" s="2"/>
      <c r="B50" s="158"/>
      <c r="C50" s="234"/>
      <c r="D50" t="str">
        <f>IF(allExpenses_table[[#This Row],[Date]]="","",TEXT(allExpenses_table[[#This Row],[Date]],"mmmm"))</f>
        <v/>
      </c>
      <c r="H50" s="203"/>
      <c r="I50" s="204"/>
      <c r="J50" s="217"/>
      <c r="K50" s="192"/>
      <c r="L50" s="192"/>
      <c r="M50" s="52"/>
    </row>
    <row r="51" spans="1:13" x14ac:dyDescent="0.3">
      <c r="A51" s="2"/>
      <c r="B51" s="158"/>
      <c r="C51" s="234"/>
      <c r="D51" t="str">
        <f>IF(allExpenses_table[[#This Row],[Date]]="","",TEXT(allExpenses_table[[#This Row],[Date]],"mmmm"))</f>
        <v/>
      </c>
      <c r="H51" s="199"/>
      <c r="I51" s="200"/>
      <c r="J51" s="216"/>
      <c r="K51" s="193"/>
      <c r="L51" s="193"/>
      <c r="M51" s="194"/>
    </row>
    <row r="52" spans="1:13" x14ac:dyDescent="0.3">
      <c r="A52" s="2"/>
      <c r="B52" s="158"/>
      <c r="C52" s="234"/>
      <c r="D52" t="str">
        <f>IF(allExpenses_table[[#This Row],[Date]]="","",TEXT(allExpenses_table[[#This Row],[Date]],"mmmm"))</f>
        <v/>
      </c>
      <c r="H52" s="203"/>
      <c r="I52" s="204"/>
      <c r="J52" s="217"/>
      <c r="K52" s="192"/>
      <c r="L52" s="192"/>
      <c r="M52" s="52"/>
    </row>
    <row r="53" spans="1:13" x14ac:dyDescent="0.3">
      <c r="A53" s="2"/>
      <c r="B53" s="158"/>
      <c r="C53" s="234"/>
      <c r="D53" t="str">
        <f>IF(allExpenses_table[[#This Row],[Date]]="","",TEXT(allExpenses_table[[#This Row],[Date]],"mmmm"))</f>
        <v/>
      </c>
      <c r="H53" s="199"/>
      <c r="I53" s="200"/>
      <c r="J53" s="216"/>
      <c r="K53" s="193"/>
      <c r="L53" s="193"/>
      <c r="M53" s="194"/>
    </row>
    <row r="54" spans="1:13" x14ac:dyDescent="0.3">
      <c r="A54" s="2"/>
      <c r="B54" s="158"/>
      <c r="C54" s="234"/>
      <c r="D54" t="str">
        <f>IF(allExpenses_table[[#This Row],[Date]]="","",TEXT(allExpenses_table[[#This Row],[Date]],"mmmm"))</f>
        <v/>
      </c>
      <c r="H54" s="203"/>
      <c r="I54" s="204"/>
      <c r="J54" s="217"/>
      <c r="K54" s="192"/>
      <c r="L54" s="192"/>
      <c r="M54" s="52"/>
    </row>
    <row r="55" spans="1:13" x14ac:dyDescent="0.3">
      <c r="A55" s="2"/>
      <c r="B55" s="158"/>
      <c r="C55" s="234"/>
      <c r="D55" t="str">
        <f>IF(allExpenses_table[[#This Row],[Date]]="","",TEXT(allExpenses_table[[#This Row],[Date]],"mmmm"))</f>
        <v/>
      </c>
      <c r="H55" s="199"/>
      <c r="I55" s="200"/>
      <c r="J55" s="216"/>
      <c r="K55" s="193"/>
      <c r="L55" s="193"/>
      <c r="M55" s="194"/>
    </row>
    <row r="56" spans="1:13" x14ac:dyDescent="0.3">
      <c r="A56" s="2"/>
      <c r="B56" s="158"/>
      <c r="C56" s="234"/>
      <c r="D56" t="str">
        <f>IF(allExpenses_table[[#This Row],[Date]]="","",TEXT(allExpenses_table[[#This Row],[Date]],"mmmm"))</f>
        <v/>
      </c>
      <c r="H56" s="203"/>
      <c r="I56" s="204"/>
      <c r="J56" s="217"/>
      <c r="K56" s="192"/>
      <c r="L56" s="192"/>
      <c r="M56" s="52"/>
    </row>
    <row r="57" spans="1:13" x14ac:dyDescent="0.3">
      <c r="A57" s="2"/>
      <c r="B57" s="158"/>
      <c r="C57" s="234"/>
      <c r="D57" t="str">
        <f>IF(allExpenses_table[[#This Row],[Date]]="","",TEXT(allExpenses_table[[#This Row],[Date]],"mmmm"))</f>
        <v/>
      </c>
      <c r="H57" s="199"/>
      <c r="I57" s="200"/>
      <c r="J57" s="216"/>
      <c r="K57" s="193"/>
      <c r="L57" s="193"/>
      <c r="M57" s="194"/>
    </row>
    <row r="58" spans="1:13" x14ac:dyDescent="0.3">
      <c r="A58" s="2"/>
      <c r="B58" s="158"/>
      <c r="C58" s="234"/>
      <c r="D58" t="str">
        <f>IF(allExpenses_table[[#This Row],[Date]]="","",TEXT(allExpenses_table[[#This Row],[Date]],"mmmm"))</f>
        <v/>
      </c>
      <c r="H58" s="203"/>
      <c r="I58" s="204"/>
      <c r="J58" s="217"/>
      <c r="K58" s="192"/>
      <c r="L58" s="192"/>
      <c r="M58" s="52"/>
    </row>
    <row r="59" spans="1:13" x14ac:dyDescent="0.3">
      <c r="A59" s="2"/>
      <c r="B59" s="158"/>
      <c r="C59" s="234"/>
      <c r="D59" t="str">
        <f>IF(allExpenses_table[[#This Row],[Date]]="","",TEXT(allExpenses_table[[#This Row],[Date]],"mmmm"))</f>
        <v/>
      </c>
      <c r="H59" s="199"/>
      <c r="I59" s="200"/>
      <c r="J59" s="216"/>
      <c r="K59" s="193"/>
      <c r="L59" s="193"/>
      <c r="M59" s="194"/>
    </row>
    <row r="60" spans="1:13" x14ac:dyDescent="0.3">
      <c r="A60" s="2"/>
      <c r="B60" s="158"/>
      <c r="C60" s="234"/>
      <c r="D60" t="str">
        <f>IF(allExpenses_table[[#This Row],[Date]]="","",TEXT(allExpenses_table[[#This Row],[Date]],"mmmm"))</f>
        <v/>
      </c>
      <c r="H60" s="203"/>
      <c r="I60" s="204"/>
      <c r="J60" s="217"/>
      <c r="K60" s="192"/>
      <c r="L60" s="192"/>
      <c r="M60" s="52"/>
    </row>
    <row r="61" spans="1:13" x14ac:dyDescent="0.3">
      <c r="A61" s="2"/>
      <c r="B61" s="158"/>
      <c r="C61" s="234"/>
      <c r="D61" t="str">
        <f>IF(allExpenses_table[[#This Row],[Date]]="","",TEXT(allExpenses_table[[#This Row],[Date]],"mmmm"))</f>
        <v/>
      </c>
      <c r="H61" s="199"/>
      <c r="I61" s="200"/>
      <c r="J61" s="216"/>
      <c r="K61" s="193"/>
      <c r="L61" s="193"/>
      <c r="M61" s="194"/>
    </row>
    <row r="62" spans="1:13" x14ac:dyDescent="0.3">
      <c r="A62" s="2"/>
      <c r="B62" s="158"/>
      <c r="C62" s="234"/>
      <c r="D62" t="str">
        <f>IF(allExpenses_table[[#This Row],[Date]]="","",TEXT(allExpenses_table[[#This Row],[Date]],"mmmm"))</f>
        <v/>
      </c>
      <c r="H62" s="203"/>
      <c r="I62" s="204"/>
      <c r="J62" s="217"/>
      <c r="K62" s="192"/>
      <c r="L62" s="192"/>
      <c r="M62" s="52"/>
    </row>
    <row r="63" spans="1:13" x14ac:dyDescent="0.3">
      <c r="A63" s="2"/>
      <c r="B63" s="158"/>
      <c r="C63" s="234"/>
      <c r="D63" t="str">
        <f>IF(allExpenses_table[[#This Row],[Date]]="","",TEXT(allExpenses_table[[#This Row],[Date]],"mmmm"))</f>
        <v/>
      </c>
      <c r="H63" s="199"/>
      <c r="I63" s="200"/>
      <c r="J63" s="216"/>
      <c r="K63" s="193"/>
      <c r="L63" s="193"/>
      <c r="M63" s="194"/>
    </row>
    <row r="64" spans="1:13" x14ac:dyDescent="0.3">
      <c r="A64" s="2"/>
      <c r="B64" s="158"/>
      <c r="C64" s="234"/>
      <c r="D64" t="str">
        <f>IF(allExpenses_table[[#This Row],[Date]]="","",TEXT(allExpenses_table[[#This Row],[Date]],"mmmm"))</f>
        <v/>
      </c>
      <c r="H64" s="203"/>
      <c r="I64" s="204"/>
      <c r="J64" s="217"/>
      <c r="K64" s="192"/>
      <c r="L64" s="192"/>
      <c r="M64" s="52"/>
    </row>
    <row r="65" spans="1:13" x14ac:dyDescent="0.3">
      <c r="A65" s="2"/>
      <c r="B65" s="158"/>
      <c r="C65" s="234"/>
      <c r="D65" t="str">
        <f>IF(allExpenses_table[[#This Row],[Date]]="","",TEXT(allExpenses_table[[#This Row],[Date]],"mmmm"))</f>
        <v/>
      </c>
      <c r="H65" s="199"/>
      <c r="I65" s="200"/>
      <c r="J65" s="216"/>
      <c r="K65" s="193"/>
      <c r="L65" s="193"/>
      <c r="M65" s="194"/>
    </row>
    <row r="66" spans="1:13" x14ac:dyDescent="0.3">
      <c r="A66" s="2"/>
      <c r="B66" s="158"/>
      <c r="C66" s="234"/>
      <c r="D66" t="str">
        <f>IF(allExpenses_table[[#This Row],[Date]]="","",TEXT(allExpenses_table[[#This Row],[Date]],"mmmm"))</f>
        <v/>
      </c>
      <c r="H66" s="203"/>
      <c r="I66" s="204"/>
      <c r="J66" s="217"/>
      <c r="K66" s="192"/>
      <c r="L66" s="192"/>
      <c r="M66" s="52"/>
    </row>
    <row r="67" spans="1:13" x14ac:dyDescent="0.3">
      <c r="A67" s="2"/>
      <c r="B67" s="158"/>
      <c r="C67" s="234"/>
      <c r="D67" t="str">
        <f>IF(allExpenses_table[[#This Row],[Date]]="","",TEXT(allExpenses_table[[#This Row],[Date]],"mmmm"))</f>
        <v/>
      </c>
      <c r="H67" s="199"/>
      <c r="I67" s="200"/>
      <c r="J67" s="216"/>
      <c r="K67" s="193"/>
      <c r="L67" s="193"/>
      <c r="M67" s="194"/>
    </row>
    <row r="68" spans="1:13" x14ac:dyDescent="0.3">
      <c r="A68" s="2"/>
      <c r="B68" s="158"/>
      <c r="C68" s="234"/>
      <c r="D68" t="str">
        <f>IF(allExpenses_table[[#This Row],[Date]]="","",TEXT(allExpenses_table[[#This Row],[Date]],"mmmm"))</f>
        <v/>
      </c>
      <c r="H68" s="203"/>
      <c r="I68" s="204"/>
      <c r="J68" s="217"/>
      <c r="K68" s="192"/>
      <c r="L68" s="192"/>
      <c r="M68" s="52"/>
    </row>
    <row r="69" spans="1:13" x14ac:dyDescent="0.3">
      <c r="A69" s="2"/>
      <c r="B69" s="158"/>
      <c r="C69" s="234"/>
      <c r="D69" t="str">
        <f>IF(allExpenses_table[[#This Row],[Date]]="","",TEXT(allExpenses_table[[#This Row],[Date]],"mmmm"))</f>
        <v/>
      </c>
      <c r="H69" s="199"/>
      <c r="I69" s="200"/>
      <c r="J69" s="216"/>
      <c r="K69" s="193"/>
      <c r="L69" s="193"/>
      <c r="M69" s="194"/>
    </row>
    <row r="70" spans="1:13" x14ac:dyDescent="0.3">
      <c r="A70" s="2"/>
      <c r="B70" s="158"/>
      <c r="C70" s="234"/>
      <c r="D70" t="str">
        <f>IF(allExpenses_table[[#This Row],[Date]]="","",TEXT(allExpenses_table[[#This Row],[Date]],"mmmm"))</f>
        <v/>
      </c>
      <c r="H70" s="203"/>
      <c r="I70" s="204"/>
      <c r="J70" s="217"/>
      <c r="K70" s="192"/>
      <c r="L70" s="192"/>
      <c r="M70" s="52"/>
    </row>
    <row r="71" spans="1:13" x14ac:dyDescent="0.3">
      <c r="A71" s="2"/>
      <c r="B71" s="158"/>
      <c r="C71" s="234"/>
      <c r="D71" t="str">
        <f>IF(allExpenses_table[[#This Row],[Date]]="","",TEXT(allExpenses_table[[#This Row],[Date]],"mmmm"))</f>
        <v/>
      </c>
      <c r="H71" s="199"/>
      <c r="I71" s="200"/>
      <c r="J71" s="216"/>
      <c r="K71" s="193"/>
      <c r="L71" s="193"/>
      <c r="M71" s="194"/>
    </row>
    <row r="72" spans="1:13" x14ac:dyDescent="0.3">
      <c r="A72" s="2"/>
      <c r="B72" s="158"/>
      <c r="C72" s="234"/>
      <c r="D72" t="str">
        <f>IF(allExpenses_table[[#This Row],[Date]]="","",TEXT(allExpenses_table[[#This Row],[Date]],"mmmm"))</f>
        <v/>
      </c>
      <c r="H72" s="203"/>
      <c r="I72" s="204"/>
      <c r="J72" s="217"/>
      <c r="K72" s="192"/>
      <c r="L72" s="192"/>
      <c r="M72" s="52"/>
    </row>
    <row r="73" spans="1:13" x14ac:dyDescent="0.3">
      <c r="A73" s="2"/>
      <c r="B73" s="158"/>
      <c r="C73" s="234"/>
      <c r="D73" t="str">
        <f>IF(allExpenses_table[[#This Row],[Date]]="","",TEXT(allExpenses_table[[#This Row],[Date]],"mmmm"))</f>
        <v/>
      </c>
      <c r="H73" s="199"/>
      <c r="I73" s="200"/>
      <c r="J73" s="216"/>
      <c r="K73" s="193"/>
      <c r="L73" s="193"/>
      <c r="M73" s="194"/>
    </row>
    <row r="74" spans="1:13" x14ac:dyDescent="0.3">
      <c r="A74" s="2"/>
      <c r="B74" s="158"/>
      <c r="C74" s="234"/>
      <c r="D74" t="str">
        <f>IF(allExpenses_table[[#This Row],[Date]]="","",TEXT(allExpenses_table[[#This Row],[Date]],"mmmm"))</f>
        <v/>
      </c>
      <c r="H74" s="203"/>
      <c r="I74" s="204"/>
      <c r="J74" s="217"/>
      <c r="K74" s="192"/>
      <c r="L74" s="192"/>
      <c r="M74" s="52"/>
    </row>
    <row r="75" spans="1:13" x14ac:dyDescent="0.3">
      <c r="A75" s="2"/>
      <c r="B75" s="158"/>
      <c r="C75" s="234"/>
      <c r="D75" t="str">
        <f>IF(allExpenses_table[[#This Row],[Date]]="","",TEXT(allExpenses_table[[#This Row],[Date]],"mmmm"))</f>
        <v/>
      </c>
      <c r="H75" s="199"/>
      <c r="I75" s="200"/>
      <c r="J75" s="216"/>
      <c r="K75" s="193"/>
      <c r="L75" s="193"/>
      <c r="M75" s="194"/>
    </row>
    <row r="76" spans="1:13" x14ac:dyDescent="0.3">
      <c r="A76" s="2"/>
      <c r="B76" s="158"/>
      <c r="C76" s="234"/>
      <c r="D76" t="str">
        <f>IF(allExpenses_table[[#This Row],[Date]]="","",TEXT(allExpenses_table[[#This Row],[Date]],"mmmm"))</f>
        <v/>
      </c>
      <c r="H76" s="203"/>
      <c r="I76" s="204"/>
      <c r="J76" s="217"/>
      <c r="K76" s="192"/>
      <c r="L76" s="192"/>
      <c r="M76" s="52"/>
    </row>
    <row r="77" spans="1:13" x14ac:dyDescent="0.3">
      <c r="A77" s="2"/>
      <c r="B77" s="158"/>
      <c r="C77" s="234"/>
      <c r="D77" t="str">
        <f>IF(allExpenses_table[[#This Row],[Date]]="","",TEXT(allExpenses_table[[#This Row],[Date]],"mmmm"))</f>
        <v/>
      </c>
      <c r="H77" s="199"/>
      <c r="I77" s="200"/>
      <c r="J77" s="216"/>
      <c r="K77" s="193"/>
      <c r="L77" s="193"/>
      <c r="M77" s="194"/>
    </row>
    <row r="78" spans="1:13" x14ac:dyDescent="0.3">
      <c r="A78" s="2"/>
      <c r="B78" s="158"/>
      <c r="C78" s="234"/>
      <c r="D78" t="str">
        <f>IF(allExpenses_table[[#This Row],[Date]]="","",TEXT(allExpenses_table[[#This Row],[Date]],"mmmm"))</f>
        <v/>
      </c>
      <c r="H78" s="203"/>
      <c r="I78" s="204"/>
      <c r="J78" s="217"/>
      <c r="K78" s="192"/>
      <c r="L78" s="192"/>
      <c r="M78" s="52"/>
    </row>
    <row r="79" spans="1:13" x14ac:dyDescent="0.3">
      <c r="A79" s="2"/>
      <c r="B79" s="158"/>
      <c r="C79" s="234"/>
      <c r="D79" t="str">
        <f>IF(allExpenses_table[[#This Row],[Date]]="","",TEXT(allExpenses_table[[#This Row],[Date]],"mmmm"))</f>
        <v/>
      </c>
      <c r="H79" s="199"/>
      <c r="I79" s="200"/>
      <c r="J79" s="216"/>
      <c r="K79" s="193"/>
      <c r="L79" s="193"/>
      <c r="M79" s="194"/>
    </row>
    <row r="80" spans="1:13" x14ac:dyDescent="0.3">
      <c r="A80" s="2"/>
      <c r="B80" s="158"/>
      <c r="C80" s="234"/>
      <c r="D80" t="str">
        <f>IF(allExpenses_table[[#This Row],[Date]]="","",TEXT(allExpenses_table[[#This Row],[Date]],"mmmm"))</f>
        <v/>
      </c>
      <c r="H80" s="203"/>
      <c r="I80" s="204"/>
      <c r="J80" s="217"/>
      <c r="K80" s="192"/>
      <c r="L80" s="192"/>
      <c r="M80" s="52"/>
    </row>
    <row r="81" spans="1:13" x14ac:dyDescent="0.3">
      <c r="A81" s="2"/>
      <c r="B81" s="158"/>
      <c r="C81" s="234"/>
      <c r="D81" t="str">
        <f>IF(allExpenses_table[[#This Row],[Date]]="","",TEXT(allExpenses_table[[#This Row],[Date]],"mmmm"))</f>
        <v/>
      </c>
      <c r="H81" s="199"/>
      <c r="I81" s="200"/>
      <c r="J81" s="216"/>
      <c r="K81" s="193"/>
      <c r="L81" s="193"/>
      <c r="M81" s="194"/>
    </row>
    <row r="82" spans="1:13" x14ac:dyDescent="0.3">
      <c r="A82" s="2"/>
      <c r="B82" s="158"/>
      <c r="C82" s="234"/>
      <c r="D82" t="str">
        <f>IF(allExpenses_table[[#This Row],[Date]]="","",TEXT(allExpenses_table[[#This Row],[Date]],"mmmm"))</f>
        <v/>
      </c>
      <c r="H82" s="203"/>
      <c r="I82" s="204"/>
      <c r="J82" s="217"/>
      <c r="K82" s="192"/>
      <c r="L82" s="192"/>
      <c r="M82" s="52"/>
    </row>
    <row r="83" spans="1:13" x14ac:dyDescent="0.3">
      <c r="A83" s="2"/>
      <c r="B83" s="158"/>
      <c r="C83" s="234"/>
      <c r="D83" t="str">
        <f>IF(allExpenses_table[[#This Row],[Date]]="","",TEXT(allExpenses_table[[#This Row],[Date]],"mmmm"))</f>
        <v/>
      </c>
      <c r="H83" s="199"/>
      <c r="I83" s="200"/>
      <c r="J83" s="216"/>
      <c r="K83" s="193"/>
      <c r="L83" s="193"/>
      <c r="M83" s="194"/>
    </row>
    <row r="84" spans="1:13" x14ac:dyDescent="0.3">
      <c r="A84" s="2"/>
      <c r="B84" s="158"/>
      <c r="C84" s="234"/>
      <c r="D84" t="str">
        <f>IF(allExpenses_table[[#This Row],[Date]]="","",TEXT(allExpenses_table[[#This Row],[Date]],"mmmm"))</f>
        <v/>
      </c>
      <c r="H84" s="203"/>
      <c r="I84" s="204"/>
      <c r="J84" s="217"/>
      <c r="K84" s="192"/>
      <c r="L84" s="192"/>
      <c r="M84" s="52"/>
    </row>
    <row r="85" spans="1:13" x14ac:dyDescent="0.3">
      <c r="A85" s="2"/>
      <c r="B85" s="158"/>
      <c r="C85" s="234"/>
      <c r="D85" t="str">
        <f>IF(allExpenses_table[[#This Row],[Date]]="","",TEXT(allExpenses_table[[#This Row],[Date]],"mmmm"))</f>
        <v/>
      </c>
      <c r="H85" s="199"/>
      <c r="I85" s="200"/>
      <c r="J85" s="216"/>
      <c r="K85" s="193"/>
      <c r="L85" s="193"/>
      <c r="M85" s="194"/>
    </row>
    <row r="86" spans="1:13" x14ac:dyDescent="0.3">
      <c r="A86" s="2"/>
      <c r="B86" s="158"/>
      <c r="C86" s="234"/>
      <c r="D86" t="str">
        <f>IF(allExpenses_table[[#This Row],[Date]]="","",TEXT(allExpenses_table[[#This Row],[Date]],"mmmm"))</f>
        <v/>
      </c>
      <c r="H86" s="203"/>
      <c r="I86" s="204"/>
      <c r="J86" s="217"/>
      <c r="K86" s="192"/>
      <c r="L86" s="192"/>
      <c r="M86" s="52"/>
    </row>
    <row r="87" spans="1:13" x14ac:dyDescent="0.3">
      <c r="A87" s="2"/>
      <c r="B87" s="158"/>
      <c r="C87" s="234"/>
      <c r="D87" t="str">
        <f>IF(allExpenses_table[[#This Row],[Date]]="","",TEXT(allExpenses_table[[#This Row],[Date]],"mmmm"))</f>
        <v/>
      </c>
      <c r="H87" s="199"/>
      <c r="I87" s="200"/>
      <c r="J87" s="216"/>
      <c r="K87" s="193"/>
      <c r="L87" s="193"/>
      <c r="M87" s="194"/>
    </row>
    <row r="88" spans="1:13" x14ac:dyDescent="0.3">
      <c r="A88" s="2"/>
      <c r="B88" s="158"/>
      <c r="C88" s="234"/>
      <c r="D88" t="str">
        <f>IF(allExpenses_table[[#This Row],[Date]]="","",TEXT(allExpenses_table[[#This Row],[Date]],"mmmm"))</f>
        <v/>
      </c>
      <c r="H88" s="203"/>
      <c r="I88" s="204"/>
      <c r="J88" s="217"/>
      <c r="K88" s="192"/>
      <c r="L88" s="192"/>
      <c r="M88" s="52"/>
    </row>
    <row r="89" spans="1:13" x14ac:dyDescent="0.3">
      <c r="A89" s="2"/>
      <c r="B89" s="158"/>
      <c r="C89" s="234"/>
      <c r="D89" t="str">
        <f>IF(allExpenses_table[[#This Row],[Date]]="","",TEXT(allExpenses_table[[#This Row],[Date]],"mmmm"))</f>
        <v/>
      </c>
      <c r="H89" s="199"/>
      <c r="I89" s="200"/>
      <c r="J89" s="216"/>
      <c r="K89" s="193"/>
      <c r="L89" s="193"/>
      <c r="M89" s="194"/>
    </row>
    <row r="90" spans="1:13" x14ac:dyDescent="0.3">
      <c r="A90" s="2"/>
      <c r="B90" s="158"/>
      <c r="C90" s="234"/>
      <c r="D90" t="str">
        <f>IF(allExpenses_table[[#This Row],[Date]]="","",TEXT(allExpenses_table[[#This Row],[Date]],"mmmm"))</f>
        <v/>
      </c>
      <c r="H90" s="203"/>
      <c r="I90" s="204"/>
      <c r="J90" s="217"/>
      <c r="K90" s="192"/>
      <c r="L90" s="192"/>
      <c r="M90" s="52"/>
    </row>
    <row r="91" spans="1:13" x14ac:dyDescent="0.3">
      <c r="A91" s="2"/>
      <c r="B91" s="158"/>
      <c r="C91" s="234"/>
      <c r="D91" t="str">
        <f>IF(allExpenses_table[[#This Row],[Date]]="","",TEXT(allExpenses_table[[#This Row],[Date]],"mmmm"))</f>
        <v/>
      </c>
      <c r="H91" s="199"/>
      <c r="I91" s="200"/>
      <c r="J91" s="216"/>
      <c r="K91" s="193"/>
      <c r="L91" s="193"/>
      <c r="M91" s="194"/>
    </row>
    <row r="92" spans="1:13" x14ac:dyDescent="0.3">
      <c r="A92" s="2"/>
      <c r="B92" s="158"/>
      <c r="C92" s="234"/>
      <c r="D92" t="str">
        <f>IF(allExpenses_table[[#This Row],[Date]]="","",TEXT(allExpenses_table[[#This Row],[Date]],"mmmm"))</f>
        <v/>
      </c>
      <c r="H92" s="203"/>
      <c r="I92" s="204"/>
      <c r="J92" s="217"/>
      <c r="K92" s="192"/>
      <c r="L92" s="192"/>
      <c r="M92" s="52"/>
    </row>
    <row r="93" spans="1:13" x14ac:dyDescent="0.3">
      <c r="A93" s="2"/>
      <c r="B93" s="158"/>
      <c r="C93" s="234"/>
      <c r="D93" t="str">
        <f>IF(allExpenses_table[[#This Row],[Date]]="","",TEXT(allExpenses_table[[#This Row],[Date]],"mmmm"))</f>
        <v/>
      </c>
      <c r="H93" s="199"/>
      <c r="I93" s="200"/>
      <c r="J93" s="216"/>
      <c r="K93" s="193"/>
      <c r="L93" s="193"/>
      <c r="M93" s="194"/>
    </row>
    <row r="94" spans="1:13" x14ac:dyDescent="0.3">
      <c r="A94" s="2"/>
      <c r="B94" s="158"/>
      <c r="C94" s="234"/>
      <c r="D94" t="str">
        <f>IF(allExpenses_table[[#This Row],[Date]]="","",TEXT(allExpenses_table[[#This Row],[Date]],"mmmm"))</f>
        <v/>
      </c>
      <c r="H94" s="203"/>
      <c r="I94" s="204"/>
      <c r="J94" s="217"/>
      <c r="K94" s="192"/>
      <c r="L94" s="192"/>
      <c r="M94" s="52"/>
    </row>
    <row r="95" spans="1:13" x14ac:dyDescent="0.3">
      <c r="A95" s="2"/>
      <c r="B95" s="158"/>
      <c r="C95" s="234"/>
      <c r="D95" t="str">
        <f>IF(allExpenses_table[[#This Row],[Date]]="","",TEXT(allExpenses_table[[#This Row],[Date]],"mmmm"))</f>
        <v/>
      </c>
      <c r="H95" s="199"/>
      <c r="I95" s="200"/>
      <c r="J95" s="216"/>
      <c r="K95" s="193"/>
      <c r="L95" s="193"/>
      <c r="M95" s="194"/>
    </row>
    <row r="96" spans="1:13" x14ac:dyDescent="0.3">
      <c r="A96" s="2"/>
      <c r="B96" s="158"/>
      <c r="C96" s="234"/>
      <c r="D96" t="str">
        <f>IF(allExpenses_table[[#This Row],[Date]]="","",TEXT(allExpenses_table[[#This Row],[Date]],"mmmm"))</f>
        <v/>
      </c>
      <c r="H96" s="203"/>
      <c r="I96" s="204"/>
      <c r="J96" s="217"/>
      <c r="K96" s="192"/>
      <c r="L96" s="192"/>
      <c r="M96" s="52"/>
    </row>
    <row r="97" spans="1:13" x14ac:dyDescent="0.3">
      <c r="A97" s="2"/>
      <c r="B97" s="158"/>
      <c r="C97" s="234"/>
      <c r="D97" t="str">
        <f>IF(allExpenses_table[[#This Row],[Date]]="","",TEXT(allExpenses_table[[#This Row],[Date]],"mmmm"))</f>
        <v/>
      </c>
      <c r="H97" s="199"/>
      <c r="I97" s="200"/>
      <c r="J97" s="216"/>
      <c r="K97" s="193"/>
      <c r="L97" s="193"/>
      <c r="M97" s="194"/>
    </row>
    <row r="98" spans="1:13" x14ac:dyDescent="0.3">
      <c r="A98" s="2"/>
      <c r="B98" s="158"/>
      <c r="C98" s="234"/>
      <c r="D98" t="str">
        <f>IF(allExpenses_table[[#This Row],[Date]]="","",TEXT(allExpenses_table[[#This Row],[Date]],"mmmm"))</f>
        <v/>
      </c>
      <c r="H98" s="203"/>
      <c r="I98" s="204"/>
      <c r="J98" s="217"/>
      <c r="K98" s="192"/>
      <c r="L98" s="192"/>
      <c r="M98" s="52"/>
    </row>
    <row r="99" spans="1:13" x14ac:dyDescent="0.3">
      <c r="A99" s="2"/>
      <c r="B99" s="158"/>
      <c r="C99" s="234"/>
      <c r="D99" t="str">
        <f>IF(allExpenses_table[[#This Row],[Date]]="","",TEXT(allExpenses_table[[#This Row],[Date]],"mmmm"))</f>
        <v/>
      </c>
      <c r="H99" s="199"/>
      <c r="I99" s="200"/>
      <c r="J99" s="216"/>
      <c r="K99" s="193"/>
      <c r="L99" s="193"/>
      <c r="M99" s="194"/>
    </row>
    <row r="100" spans="1:13" x14ac:dyDescent="0.3">
      <c r="A100" s="2"/>
      <c r="B100" s="158"/>
      <c r="C100" s="234"/>
      <c r="D100" t="str">
        <f>IF(allExpenses_table[[#This Row],[Date]]="","",TEXT(allExpenses_table[[#This Row],[Date]],"mmmm"))</f>
        <v/>
      </c>
      <c r="H100" s="203"/>
      <c r="I100" s="204"/>
      <c r="J100" s="217"/>
      <c r="K100" s="192"/>
      <c r="L100" s="192"/>
      <c r="M100" s="52"/>
    </row>
    <row r="101" spans="1:13" x14ac:dyDescent="0.3">
      <c r="A101" s="2"/>
      <c r="B101" s="158"/>
      <c r="C101" s="234"/>
      <c r="D101" t="str">
        <f>IF(allExpenses_table[[#This Row],[Date]]="","",TEXT(allExpenses_table[[#This Row],[Date]],"mmmm"))</f>
        <v/>
      </c>
      <c r="H101" s="199"/>
      <c r="I101" s="200"/>
      <c r="J101" s="216"/>
      <c r="K101" s="193"/>
      <c r="L101" s="193"/>
      <c r="M101" s="194"/>
    </row>
    <row r="102" spans="1:13" x14ac:dyDescent="0.3">
      <c r="A102" s="2"/>
      <c r="B102" s="158"/>
      <c r="C102" s="234"/>
      <c r="D102" t="str">
        <f>IF(allExpenses_table[[#This Row],[Date]]="","",TEXT(allExpenses_table[[#This Row],[Date]],"mmmm"))</f>
        <v/>
      </c>
      <c r="H102" s="203"/>
      <c r="I102" s="204"/>
      <c r="J102" s="217"/>
      <c r="K102" s="192"/>
      <c r="L102" s="192"/>
      <c r="M102" s="52"/>
    </row>
    <row r="103" spans="1:13" x14ac:dyDescent="0.3">
      <c r="A103" s="2"/>
      <c r="B103" s="158"/>
      <c r="C103" s="234"/>
      <c r="D103" t="str">
        <f>IF(allExpenses_table[[#This Row],[Date]]="","",TEXT(allExpenses_table[[#This Row],[Date]],"mmmm"))</f>
        <v/>
      </c>
      <c r="H103" s="199"/>
      <c r="I103" s="200"/>
      <c r="J103" s="216"/>
      <c r="K103" s="193"/>
      <c r="L103" s="193"/>
      <c r="M103" s="194"/>
    </row>
    <row r="104" spans="1:13" x14ac:dyDescent="0.3">
      <c r="A104" s="2"/>
      <c r="B104" s="158"/>
      <c r="C104" s="234"/>
      <c r="D104" t="str">
        <f>IF(allExpenses_table[[#This Row],[Date]]="","",TEXT(allExpenses_table[[#This Row],[Date]],"mmmm"))</f>
        <v/>
      </c>
      <c r="H104" s="203"/>
      <c r="I104" s="204"/>
      <c r="J104" s="217"/>
      <c r="K104" s="192"/>
      <c r="L104" s="192"/>
      <c r="M104" s="52"/>
    </row>
    <row r="105" spans="1:13" x14ac:dyDescent="0.3">
      <c r="A105" s="2"/>
      <c r="B105" s="158"/>
      <c r="C105" s="234"/>
      <c r="D105" t="str">
        <f>IF(allExpenses_table[[#This Row],[Date]]="","",TEXT(allExpenses_table[[#This Row],[Date]],"mmmm"))</f>
        <v/>
      </c>
      <c r="H105" s="199"/>
      <c r="I105" s="200"/>
      <c r="J105" s="216"/>
      <c r="K105" s="193"/>
      <c r="L105" s="193"/>
      <c r="M105" s="194"/>
    </row>
    <row r="106" spans="1:13" x14ac:dyDescent="0.3">
      <c r="A106" s="2"/>
      <c r="B106" s="158"/>
      <c r="C106" s="234"/>
      <c r="D106" t="str">
        <f>IF(allExpenses_table[[#This Row],[Date]]="","",TEXT(allExpenses_table[[#This Row],[Date]],"mmmm"))</f>
        <v/>
      </c>
      <c r="H106" s="203"/>
      <c r="I106" s="204"/>
      <c r="J106" s="217"/>
      <c r="K106" s="192"/>
      <c r="L106" s="192"/>
      <c r="M106" s="52"/>
    </row>
    <row r="107" spans="1:13" x14ac:dyDescent="0.3">
      <c r="A107" s="2"/>
      <c r="B107" s="158"/>
      <c r="C107" s="234"/>
      <c r="D107" t="str">
        <f>IF(allExpenses_table[[#This Row],[Date]]="","",TEXT(allExpenses_table[[#This Row],[Date]],"mmmm"))</f>
        <v/>
      </c>
      <c r="H107" s="199"/>
      <c r="I107" s="200"/>
      <c r="J107" s="216"/>
      <c r="K107" s="193"/>
      <c r="L107" s="193"/>
      <c r="M107" s="194"/>
    </row>
    <row r="108" spans="1:13" x14ac:dyDescent="0.3">
      <c r="A108" s="2"/>
      <c r="B108" s="158"/>
      <c r="C108" s="234"/>
      <c r="D108" t="str">
        <f>IF(allExpenses_table[[#This Row],[Date]]="","",TEXT(allExpenses_table[[#This Row],[Date]],"mmmm"))</f>
        <v/>
      </c>
      <c r="H108" s="203"/>
      <c r="I108" s="204"/>
      <c r="J108" s="217"/>
      <c r="K108" s="192"/>
      <c r="L108" s="192"/>
      <c r="M108" s="52"/>
    </row>
    <row r="109" spans="1:13" x14ac:dyDescent="0.3">
      <c r="A109" s="2"/>
      <c r="B109" s="158"/>
      <c r="C109" s="234"/>
      <c r="D109" t="str">
        <f>IF(allExpenses_table[[#This Row],[Date]]="","",TEXT(allExpenses_table[[#This Row],[Date]],"mmmm"))</f>
        <v/>
      </c>
      <c r="H109" s="199"/>
      <c r="I109" s="200"/>
      <c r="J109" s="216"/>
      <c r="K109" s="193"/>
      <c r="L109" s="193"/>
      <c r="M109" s="194"/>
    </row>
    <row r="110" spans="1:13" x14ac:dyDescent="0.3">
      <c r="A110" s="2"/>
      <c r="B110" s="158"/>
      <c r="C110" s="234"/>
      <c r="D110" t="str">
        <f>IF(allExpenses_table[[#This Row],[Date]]="","",TEXT(allExpenses_table[[#This Row],[Date]],"mmmm"))</f>
        <v/>
      </c>
      <c r="H110" s="203"/>
      <c r="I110" s="204"/>
      <c r="J110" s="217"/>
      <c r="K110" s="192"/>
      <c r="L110" s="192"/>
      <c r="M110" s="52"/>
    </row>
    <row r="111" spans="1:13" x14ac:dyDescent="0.3">
      <c r="A111" s="2"/>
      <c r="B111" s="158"/>
      <c r="C111" s="234"/>
      <c r="D111" t="str">
        <f>IF(allExpenses_table[[#This Row],[Date]]="","",TEXT(allExpenses_table[[#This Row],[Date]],"mmmm"))</f>
        <v/>
      </c>
      <c r="H111" s="199"/>
      <c r="I111" s="200"/>
      <c r="J111" s="216"/>
      <c r="K111" s="193"/>
      <c r="L111" s="193"/>
      <c r="M111" s="194"/>
    </row>
    <row r="112" spans="1:13" x14ac:dyDescent="0.3">
      <c r="A112" s="2"/>
      <c r="B112" s="158"/>
      <c r="C112" s="234"/>
      <c r="D112" t="str">
        <f>IF(allExpenses_table[[#This Row],[Date]]="","",TEXT(allExpenses_table[[#This Row],[Date]],"mmmm"))</f>
        <v/>
      </c>
      <c r="H112" s="203"/>
      <c r="I112" s="204"/>
      <c r="J112" s="217"/>
      <c r="K112" s="192"/>
      <c r="L112" s="192"/>
      <c r="M112" s="52"/>
    </row>
    <row r="113" spans="1:13" x14ac:dyDescent="0.3">
      <c r="A113" s="2"/>
      <c r="B113" s="158"/>
      <c r="C113" s="234"/>
      <c r="D113" t="str">
        <f>IF(allExpenses_table[[#This Row],[Date]]="","",TEXT(allExpenses_table[[#This Row],[Date]],"mmmm"))</f>
        <v/>
      </c>
      <c r="H113" s="199"/>
      <c r="I113" s="200"/>
      <c r="J113" s="216"/>
      <c r="K113" s="193"/>
      <c r="L113" s="193"/>
      <c r="M113" s="194"/>
    </row>
    <row r="114" spans="1:13" x14ac:dyDescent="0.3">
      <c r="A114" s="2"/>
      <c r="B114" s="158"/>
      <c r="C114" s="234"/>
      <c r="D114" t="str">
        <f>IF(allExpenses_table[[#This Row],[Date]]="","",TEXT(allExpenses_table[[#This Row],[Date]],"mmmm"))</f>
        <v/>
      </c>
      <c r="H114" s="203"/>
      <c r="I114" s="204"/>
      <c r="J114" s="217"/>
      <c r="K114" s="192"/>
      <c r="L114" s="192"/>
      <c r="M114" s="52"/>
    </row>
    <row r="115" spans="1:13" x14ac:dyDescent="0.3">
      <c r="A115" s="2"/>
      <c r="B115" s="158"/>
      <c r="C115" s="234"/>
      <c r="D115" t="str">
        <f>IF(allExpenses_table[[#This Row],[Date]]="","",TEXT(allExpenses_table[[#This Row],[Date]],"mmmm"))</f>
        <v/>
      </c>
      <c r="H115" s="199"/>
      <c r="I115" s="200"/>
      <c r="J115" s="216"/>
      <c r="K115" s="193"/>
      <c r="L115" s="193"/>
      <c r="M115" s="194"/>
    </row>
    <row r="116" spans="1:13" x14ac:dyDescent="0.3">
      <c r="A116" s="2"/>
      <c r="B116" s="158"/>
      <c r="C116" s="234"/>
      <c r="D116" t="str">
        <f>IF(allExpenses_table[[#This Row],[Date]]="","",TEXT(allExpenses_table[[#This Row],[Date]],"mmmm"))</f>
        <v/>
      </c>
      <c r="H116" s="203"/>
      <c r="I116" s="204"/>
      <c r="J116" s="217"/>
      <c r="K116" s="192"/>
      <c r="L116" s="192"/>
      <c r="M116" s="52"/>
    </row>
    <row r="117" spans="1:13" x14ac:dyDescent="0.3">
      <c r="A117" s="2"/>
      <c r="B117" s="158"/>
      <c r="C117" s="234"/>
      <c r="D117" t="str">
        <f>IF(allExpenses_table[[#This Row],[Date]]="","",TEXT(allExpenses_table[[#This Row],[Date]],"mmmm"))</f>
        <v/>
      </c>
      <c r="H117" s="199"/>
      <c r="I117" s="200"/>
      <c r="J117" s="216"/>
      <c r="K117" s="193"/>
      <c r="L117" s="193"/>
      <c r="M117" s="194"/>
    </row>
    <row r="118" spans="1:13" x14ac:dyDescent="0.3">
      <c r="A118" s="2"/>
      <c r="B118" s="158"/>
      <c r="C118" s="234"/>
      <c r="D118" t="str">
        <f>IF(allExpenses_table[[#This Row],[Date]]="","",TEXT(allExpenses_table[[#This Row],[Date]],"mmmm"))</f>
        <v/>
      </c>
      <c r="H118" s="203"/>
      <c r="I118" s="204"/>
      <c r="J118" s="217"/>
      <c r="K118" s="192"/>
      <c r="L118" s="192"/>
      <c r="M118" s="52"/>
    </row>
    <row r="119" spans="1:13" x14ac:dyDescent="0.3">
      <c r="A119" s="2"/>
      <c r="B119" s="158"/>
      <c r="C119" s="234"/>
      <c r="D119" t="str">
        <f>IF(allExpenses_table[[#This Row],[Date]]="","",TEXT(allExpenses_table[[#This Row],[Date]],"mmmm"))</f>
        <v/>
      </c>
      <c r="H119" s="199"/>
      <c r="I119" s="200"/>
      <c r="J119" s="216"/>
      <c r="K119" s="193"/>
      <c r="L119" s="193"/>
      <c r="M119" s="194"/>
    </row>
    <row r="120" spans="1:13" x14ac:dyDescent="0.3">
      <c r="A120" s="2"/>
      <c r="B120" s="158"/>
      <c r="C120" s="234"/>
      <c r="D120" t="str">
        <f>IF(allExpenses_table[[#This Row],[Date]]="","",TEXT(allExpenses_table[[#This Row],[Date]],"mmmm"))</f>
        <v/>
      </c>
      <c r="H120" s="203"/>
      <c r="I120" s="204"/>
      <c r="J120" s="217"/>
      <c r="K120" s="192"/>
      <c r="L120" s="192"/>
      <c r="M120" s="52"/>
    </row>
    <row r="121" spans="1:13" x14ac:dyDescent="0.3">
      <c r="A121" s="2"/>
      <c r="B121" s="158"/>
      <c r="C121" s="234"/>
      <c r="D121" t="str">
        <f>IF(allExpenses_table[[#This Row],[Date]]="","",TEXT(allExpenses_table[[#This Row],[Date]],"mmmm"))</f>
        <v/>
      </c>
      <c r="H121" s="199"/>
      <c r="I121" s="200"/>
      <c r="J121" s="216"/>
      <c r="K121" s="193"/>
      <c r="L121" s="193"/>
      <c r="M121" s="194"/>
    </row>
    <row r="122" spans="1:13" x14ac:dyDescent="0.3">
      <c r="A122" s="2"/>
      <c r="B122" s="158"/>
      <c r="C122" s="234"/>
      <c r="D122" t="str">
        <f>IF(allExpenses_table[[#This Row],[Date]]="","",TEXT(allExpenses_table[[#This Row],[Date]],"mmmm"))</f>
        <v/>
      </c>
      <c r="H122" s="203"/>
      <c r="I122" s="204"/>
      <c r="J122" s="217"/>
      <c r="K122" s="192"/>
      <c r="L122" s="192"/>
      <c r="M122" s="52"/>
    </row>
    <row r="123" spans="1:13" x14ac:dyDescent="0.3">
      <c r="A123" s="2"/>
      <c r="B123" s="158"/>
      <c r="C123" s="234"/>
      <c r="D123" t="str">
        <f>IF(allExpenses_table[[#This Row],[Date]]="","",TEXT(allExpenses_table[[#This Row],[Date]],"mmmm"))</f>
        <v/>
      </c>
      <c r="H123" s="199"/>
      <c r="I123" s="200"/>
      <c r="J123" s="216"/>
      <c r="K123" s="193"/>
      <c r="L123" s="193"/>
      <c r="M123" s="194"/>
    </row>
    <row r="124" spans="1:13" x14ac:dyDescent="0.3">
      <c r="A124" s="2"/>
      <c r="B124" s="158"/>
      <c r="C124" s="234"/>
      <c r="D124" t="str">
        <f>IF(allExpenses_table[[#This Row],[Date]]="","",TEXT(allExpenses_table[[#This Row],[Date]],"mmmm"))</f>
        <v/>
      </c>
      <c r="H124" s="203"/>
      <c r="I124" s="204"/>
      <c r="J124" s="217"/>
      <c r="K124" s="192"/>
      <c r="L124" s="192"/>
      <c r="M124" s="52"/>
    </row>
    <row r="125" spans="1:13" x14ac:dyDescent="0.3">
      <c r="A125" s="2"/>
      <c r="B125" s="158"/>
      <c r="C125" s="234"/>
      <c r="D125" t="str">
        <f>IF(allExpenses_table[[#This Row],[Date]]="","",TEXT(allExpenses_table[[#This Row],[Date]],"mmmm"))</f>
        <v/>
      </c>
      <c r="H125" s="199"/>
      <c r="I125" s="200"/>
      <c r="J125" s="216"/>
      <c r="K125" s="193"/>
      <c r="L125" s="193"/>
      <c r="M125" s="194"/>
    </row>
    <row r="126" spans="1:13" x14ac:dyDescent="0.3">
      <c r="A126" s="2"/>
      <c r="B126" s="158"/>
      <c r="C126" s="234"/>
      <c r="D126" t="str">
        <f>IF(allExpenses_table[[#This Row],[Date]]="","",TEXT(allExpenses_table[[#This Row],[Date]],"mmmm"))</f>
        <v/>
      </c>
      <c r="H126" s="203"/>
      <c r="I126" s="204"/>
      <c r="J126" s="217"/>
      <c r="K126" s="192"/>
      <c r="L126" s="192"/>
      <c r="M126" s="52"/>
    </row>
    <row r="127" spans="1:13" x14ac:dyDescent="0.3">
      <c r="A127" s="2"/>
      <c r="B127" s="158"/>
      <c r="C127" s="234"/>
      <c r="D127" t="str">
        <f>IF(allExpenses_table[[#This Row],[Date]]="","",TEXT(allExpenses_table[[#This Row],[Date]],"mmmm"))</f>
        <v/>
      </c>
      <c r="H127" s="199"/>
      <c r="I127" s="200"/>
      <c r="J127" s="216"/>
      <c r="K127" s="193"/>
      <c r="L127" s="193"/>
      <c r="M127" s="194"/>
    </row>
    <row r="128" spans="1:13" x14ac:dyDescent="0.3">
      <c r="A128" s="2"/>
      <c r="B128" s="158"/>
      <c r="C128" s="234"/>
      <c r="D128" t="str">
        <f>IF(allExpenses_table[[#This Row],[Date]]="","",TEXT(allExpenses_table[[#This Row],[Date]],"mmmm"))</f>
        <v/>
      </c>
      <c r="H128" s="203"/>
      <c r="I128" s="204"/>
      <c r="J128" s="217"/>
      <c r="K128" s="192"/>
      <c r="L128" s="192"/>
      <c r="M128" s="52"/>
    </row>
    <row r="129" spans="1:13" x14ac:dyDescent="0.3">
      <c r="A129" s="2"/>
      <c r="B129" s="158"/>
      <c r="C129" s="234"/>
      <c r="D129" t="str">
        <f>IF(allExpenses_table[[#This Row],[Date]]="","",TEXT(allExpenses_table[[#This Row],[Date]],"mmmm"))</f>
        <v/>
      </c>
      <c r="H129" s="199"/>
      <c r="I129" s="200"/>
      <c r="J129" s="216"/>
      <c r="K129" s="193"/>
      <c r="L129" s="193"/>
      <c r="M129" s="194"/>
    </row>
    <row r="130" spans="1:13" x14ac:dyDescent="0.3">
      <c r="A130" s="2"/>
      <c r="B130" s="158"/>
      <c r="C130" s="234"/>
      <c r="D130" t="str">
        <f>IF(allExpenses_table[[#This Row],[Date]]="","",TEXT(allExpenses_table[[#This Row],[Date]],"mmmm"))</f>
        <v/>
      </c>
      <c r="H130" s="203"/>
      <c r="I130" s="204"/>
      <c r="J130" s="217"/>
      <c r="K130" s="192"/>
      <c r="L130" s="192"/>
      <c r="M130" s="52"/>
    </row>
    <row r="131" spans="1:13" x14ac:dyDescent="0.3">
      <c r="A131" s="2"/>
      <c r="B131" s="158"/>
      <c r="C131" s="234"/>
      <c r="D131" t="str">
        <f>IF(allExpenses_table[[#This Row],[Date]]="","",TEXT(allExpenses_table[[#This Row],[Date]],"mmmm"))</f>
        <v/>
      </c>
      <c r="H131" s="199"/>
      <c r="I131" s="200"/>
      <c r="J131" s="216"/>
      <c r="K131" s="193"/>
      <c r="L131" s="193"/>
      <c r="M131" s="194"/>
    </row>
    <row r="132" spans="1:13" x14ac:dyDescent="0.3">
      <c r="A132" s="2"/>
      <c r="B132" s="158"/>
      <c r="C132" s="234"/>
      <c r="D132" t="str">
        <f>IF(allExpenses_table[[#This Row],[Date]]="","",TEXT(allExpenses_table[[#This Row],[Date]],"mmmm"))</f>
        <v/>
      </c>
      <c r="H132" s="203"/>
      <c r="I132" s="204"/>
      <c r="J132" s="217"/>
      <c r="K132" s="192"/>
      <c r="L132" s="192"/>
      <c r="M132" s="52"/>
    </row>
    <row r="133" spans="1:13" x14ac:dyDescent="0.3">
      <c r="A133" s="2"/>
      <c r="B133" s="158"/>
      <c r="C133" s="234"/>
      <c r="D133" t="str">
        <f>IF(allExpenses_table[[#This Row],[Date]]="","",TEXT(allExpenses_table[[#This Row],[Date]],"mmmm"))</f>
        <v/>
      </c>
      <c r="H133" s="199"/>
      <c r="I133" s="200"/>
      <c r="J133" s="216"/>
      <c r="K133" s="193"/>
      <c r="L133" s="193"/>
      <c r="M133" s="194"/>
    </row>
    <row r="134" spans="1:13" x14ac:dyDescent="0.3">
      <c r="A134" s="2"/>
      <c r="B134" s="158"/>
      <c r="C134" s="234"/>
      <c r="D134" t="str">
        <f>IF(allExpenses_table[[#This Row],[Date]]="","",TEXT(allExpenses_table[[#This Row],[Date]],"mmmm"))</f>
        <v/>
      </c>
      <c r="H134" s="203"/>
      <c r="I134" s="204"/>
      <c r="J134" s="217"/>
      <c r="K134" s="192"/>
      <c r="L134" s="192"/>
      <c r="M134" s="52"/>
    </row>
    <row r="135" spans="1:13" x14ac:dyDescent="0.3">
      <c r="A135" s="2"/>
      <c r="B135" s="158"/>
      <c r="C135" s="234"/>
      <c r="D135" t="str">
        <f>IF(allExpenses_table[[#This Row],[Date]]="","",TEXT(allExpenses_table[[#This Row],[Date]],"mmmm"))</f>
        <v/>
      </c>
      <c r="H135" s="199"/>
      <c r="I135" s="200"/>
      <c r="J135" s="216"/>
      <c r="K135" s="193"/>
      <c r="L135" s="193"/>
      <c r="M135" s="194"/>
    </row>
    <row r="136" spans="1:13" x14ac:dyDescent="0.3">
      <c r="A136" s="2"/>
      <c r="B136" s="158"/>
      <c r="C136" s="234"/>
      <c r="D136" t="str">
        <f>IF(allExpenses_table[[#This Row],[Date]]="","",TEXT(allExpenses_table[[#This Row],[Date]],"mmmm"))</f>
        <v/>
      </c>
      <c r="H136" s="203"/>
      <c r="I136" s="204"/>
      <c r="J136" s="217"/>
      <c r="K136" s="192"/>
      <c r="L136" s="192"/>
      <c r="M136" s="52"/>
    </row>
    <row r="137" spans="1:13" x14ac:dyDescent="0.3">
      <c r="A137" s="2"/>
      <c r="B137" s="158"/>
      <c r="C137" s="234"/>
      <c r="D137" t="str">
        <f>IF(allExpenses_table[[#This Row],[Date]]="","",TEXT(allExpenses_table[[#This Row],[Date]],"mmmm"))</f>
        <v/>
      </c>
      <c r="H137" s="199"/>
      <c r="I137" s="200"/>
      <c r="J137" s="216"/>
      <c r="K137" s="193"/>
      <c r="L137" s="193"/>
      <c r="M137" s="194"/>
    </row>
    <row r="138" spans="1:13" x14ac:dyDescent="0.3">
      <c r="A138" s="2"/>
      <c r="B138" s="158"/>
      <c r="C138" s="234"/>
      <c r="D138" t="str">
        <f>IF(allExpenses_table[[#This Row],[Date]]="","",TEXT(allExpenses_table[[#This Row],[Date]],"mmmm"))</f>
        <v/>
      </c>
      <c r="H138" s="203"/>
      <c r="I138" s="204"/>
      <c r="J138" s="217"/>
      <c r="K138" s="192"/>
      <c r="L138" s="192"/>
      <c r="M138" s="52"/>
    </row>
    <row r="139" spans="1:13" x14ac:dyDescent="0.3">
      <c r="A139" s="2"/>
      <c r="B139" s="158"/>
      <c r="C139" s="234"/>
      <c r="D139" t="str">
        <f>IF(allExpenses_table[[#This Row],[Date]]="","",TEXT(allExpenses_table[[#This Row],[Date]],"mmmm"))</f>
        <v/>
      </c>
      <c r="H139" s="199"/>
      <c r="I139" s="200"/>
      <c r="J139" s="216"/>
      <c r="K139" s="193"/>
      <c r="L139" s="193"/>
      <c r="M139" s="194"/>
    </row>
    <row r="140" spans="1:13" x14ac:dyDescent="0.3">
      <c r="A140" s="2"/>
      <c r="B140" s="158"/>
      <c r="C140" s="234"/>
      <c r="D140" t="str">
        <f>IF(allExpenses_table[[#This Row],[Date]]="","",TEXT(allExpenses_table[[#This Row],[Date]],"mmmm"))</f>
        <v/>
      </c>
      <c r="H140" s="203"/>
      <c r="I140" s="204"/>
      <c r="J140" s="217"/>
      <c r="K140" s="192"/>
      <c r="L140" s="192"/>
      <c r="M140" s="52"/>
    </row>
    <row r="141" spans="1:13" x14ac:dyDescent="0.3">
      <c r="A141" s="2"/>
      <c r="B141" s="158"/>
      <c r="C141" s="234"/>
      <c r="D141" t="str">
        <f>IF(allExpenses_table[[#This Row],[Date]]="","",TEXT(allExpenses_table[[#This Row],[Date]],"mmmm"))</f>
        <v/>
      </c>
      <c r="H141" s="199"/>
      <c r="I141" s="200"/>
      <c r="J141" s="216"/>
      <c r="K141" s="193"/>
      <c r="L141" s="193"/>
      <c r="M141" s="194"/>
    </row>
    <row r="142" spans="1:13" x14ac:dyDescent="0.3">
      <c r="A142" s="2"/>
      <c r="B142" s="158"/>
      <c r="C142" s="234"/>
      <c r="D142" t="str">
        <f>IF(allExpenses_table[[#This Row],[Date]]="","",TEXT(allExpenses_table[[#This Row],[Date]],"mmmm"))</f>
        <v/>
      </c>
      <c r="H142" s="203"/>
      <c r="I142" s="204"/>
      <c r="J142" s="217"/>
      <c r="K142" s="192"/>
      <c r="L142" s="192"/>
      <c r="M142" s="52"/>
    </row>
    <row r="143" spans="1:13" x14ac:dyDescent="0.3">
      <c r="A143" s="2"/>
      <c r="B143" s="158"/>
      <c r="C143" s="234"/>
      <c r="D143" t="str">
        <f>IF(allExpenses_table[[#This Row],[Date]]="","",TEXT(allExpenses_table[[#This Row],[Date]],"mmmm"))</f>
        <v/>
      </c>
      <c r="H143" s="199"/>
      <c r="I143" s="200"/>
      <c r="J143" s="216"/>
      <c r="K143" s="193"/>
      <c r="L143" s="193"/>
      <c r="M143" s="194"/>
    </row>
    <row r="144" spans="1:13" x14ac:dyDescent="0.3">
      <c r="A144" s="2"/>
      <c r="B144" s="158"/>
      <c r="C144" s="234"/>
      <c r="D144" t="str">
        <f>IF(allExpenses_table[[#This Row],[Date]]="","",TEXT(allExpenses_table[[#This Row],[Date]],"mmmm"))</f>
        <v/>
      </c>
      <c r="H144" s="203"/>
      <c r="I144" s="204"/>
      <c r="J144" s="217"/>
      <c r="K144" s="192"/>
      <c r="L144" s="192"/>
      <c r="M144" s="52"/>
    </row>
    <row r="145" spans="1:13" x14ac:dyDescent="0.3">
      <c r="A145" s="2"/>
      <c r="B145" s="158"/>
      <c r="C145" s="234"/>
      <c r="D145" t="str">
        <f>IF(allExpenses_table[[#This Row],[Date]]="","",TEXT(allExpenses_table[[#This Row],[Date]],"mmmm"))</f>
        <v/>
      </c>
      <c r="H145" s="199"/>
      <c r="I145" s="200"/>
      <c r="J145" s="216"/>
      <c r="K145" s="193"/>
      <c r="L145" s="193"/>
      <c r="M145" s="194"/>
    </row>
    <row r="146" spans="1:13" x14ac:dyDescent="0.3">
      <c r="A146" s="2"/>
      <c r="B146" s="158"/>
      <c r="C146" s="234"/>
      <c r="D146" t="str">
        <f>IF(allExpenses_table[[#This Row],[Date]]="","",TEXT(allExpenses_table[[#This Row],[Date]],"mmmm"))</f>
        <v/>
      </c>
      <c r="H146" s="203"/>
      <c r="I146" s="204"/>
      <c r="J146" s="217"/>
      <c r="K146" s="192"/>
      <c r="L146" s="192"/>
      <c r="M146" s="52"/>
    </row>
    <row r="147" spans="1:13" x14ac:dyDescent="0.3">
      <c r="A147" s="2"/>
      <c r="B147" s="158"/>
      <c r="C147" s="234"/>
      <c r="D147" t="str">
        <f>IF(allExpenses_table[[#This Row],[Date]]="","",TEXT(allExpenses_table[[#This Row],[Date]],"mmmm"))</f>
        <v/>
      </c>
      <c r="H147" s="199"/>
      <c r="I147" s="200"/>
      <c r="J147" s="216"/>
      <c r="K147" s="193"/>
      <c r="L147" s="193"/>
      <c r="M147" s="194"/>
    </row>
    <row r="148" spans="1:13" x14ac:dyDescent="0.3">
      <c r="A148" s="2"/>
      <c r="B148" s="158"/>
      <c r="C148" s="234"/>
      <c r="D148" t="str">
        <f>IF(allExpenses_table[[#This Row],[Date]]="","",TEXT(allExpenses_table[[#This Row],[Date]],"mmmm"))</f>
        <v/>
      </c>
      <c r="H148" s="203"/>
      <c r="I148" s="204"/>
      <c r="J148" s="217"/>
      <c r="K148" s="192"/>
      <c r="L148" s="192"/>
      <c r="M148" s="52"/>
    </row>
    <row r="149" spans="1:13" x14ac:dyDescent="0.3">
      <c r="A149" s="2"/>
      <c r="B149" s="158"/>
      <c r="C149" s="234"/>
      <c r="D149" t="str">
        <f>IF(allExpenses_table[[#This Row],[Date]]="","",TEXT(allExpenses_table[[#This Row],[Date]],"mmmm"))</f>
        <v/>
      </c>
      <c r="H149" s="199"/>
      <c r="I149" s="200"/>
      <c r="J149" s="216"/>
      <c r="K149" s="193"/>
      <c r="L149" s="193"/>
      <c r="M149" s="194"/>
    </row>
    <row r="150" spans="1:13" x14ac:dyDescent="0.3">
      <c r="A150" s="2"/>
      <c r="B150" s="158"/>
      <c r="C150" s="234"/>
      <c r="D150" t="str">
        <f>IF(allExpenses_table[[#This Row],[Date]]="","",TEXT(allExpenses_table[[#This Row],[Date]],"mmmm"))</f>
        <v/>
      </c>
      <c r="H150" s="203"/>
      <c r="I150" s="204"/>
      <c r="J150" s="217"/>
      <c r="K150" s="192"/>
      <c r="L150" s="192"/>
      <c r="M150" s="52"/>
    </row>
    <row r="151" spans="1:13" x14ac:dyDescent="0.3">
      <c r="A151" s="2"/>
      <c r="B151" s="158"/>
      <c r="C151" s="234"/>
      <c r="D151" t="str">
        <f>IF(allExpenses_table[[#This Row],[Date]]="","",TEXT(allExpenses_table[[#This Row],[Date]],"mmmm"))</f>
        <v/>
      </c>
      <c r="H151" s="199"/>
      <c r="I151" s="200"/>
      <c r="J151" s="216"/>
      <c r="K151" s="193"/>
      <c r="L151" s="193"/>
      <c r="M151" s="194"/>
    </row>
    <row r="152" spans="1:13" x14ac:dyDescent="0.3">
      <c r="A152" s="2"/>
      <c r="B152" s="158"/>
      <c r="C152" s="234"/>
      <c r="D152" t="str">
        <f>IF(allExpenses_table[[#This Row],[Date]]="","",TEXT(allExpenses_table[[#This Row],[Date]],"mmmm"))</f>
        <v/>
      </c>
      <c r="H152" s="203"/>
      <c r="I152" s="204"/>
      <c r="J152" s="217"/>
      <c r="K152" s="192"/>
      <c r="L152" s="192"/>
      <c r="M152" s="52"/>
    </row>
    <row r="153" spans="1:13" x14ac:dyDescent="0.3">
      <c r="A153" s="2"/>
      <c r="B153" s="158"/>
      <c r="C153" s="234"/>
      <c r="D153" t="str">
        <f>IF(allExpenses_table[[#This Row],[Date]]="","",TEXT(allExpenses_table[[#This Row],[Date]],"mmmm"))</f>
        <v/>
      </c>
      <c r="H153" s="199"/>
      <c r="I153" s="200"/>
      <c r="J153" s="216"/>
      <c r="K153" s="193"/>
      <c r="L153" s="193"/>
      <c r="M153" s="194"/>
    </row>
    <row r="154" spans="1:13" x14ac:dyDescent="0.3">
      <c r="A154" s="2"/>
      <c r="B154" s="158"/>
      <c r="C154" s="234"/>
      <c r="D154" t="str">
        <f>IF(allExpenses_table[[#This Row],[Date]]="","",TEXT(allExpenses_table[[#This Row],[Date]],"mmmm"))</f>
        <v/>
      </c>
      <c r="H154" s="203"/>
      <c r="I154" s="204"/>
      <c r="J154" s="217"/>
      <c r="K154" s="192"/>
      <c r="L154" s="192"/>
      <c r="M154" s="52"/>
    </row>
    <row r="155" spans="1:13" x14ac:dyDescent="0.3">
      <c r="A155" s="2"/>
      <c r="B155" s="158"/>
      <c r="C155" s="234"/>
      <c r="D155" t="str">
        <f>IF(allExpenses_table[[#This Row],[Date]]="","",TEXT(allExpenses_table[[#This Row],[Date]],"mmmm"))</f>
        <v/>
      </c>
      <c r="H155" s="199"/>
      <c r="I155" s="200"/>
      <c r="J155" s="216"/>
      <c r="K155" s="193"/>
      <c r="L155" s="193"/>
      <c r="M155" s="194"/>
    </row>
    <row r="156" spans="1:13" x14ac:dyDescent="0.3">
      <c r="A156" s="2"/>
      <c r="B156" s="158"/>
      <c r="C156" s="234"/>
      <c r="D156" t="str">
        <f>IF(allExpenses_table[[#This Row],[Date]]="","",TEXT(allExpenses_table[[#This Row],[Date]],"mmmm"))</f>
        <v/>
      </c>
      <c r="H156" s="203"/>
      <c r="I156" s="204"/>
      <c r="J156" s="217"/>
      <c r="K156" s="192"/>
      <c r="L156" s="192"/>
      <c r="M156" s="52"/>
    </row>
    <row r="157" spans="1:13" x14ac:dyDescent="0.3">
      <c r="A157" s="2"/>
      <c r="B157" s="158"/>
      <c r="C157" s="234"/>
      <c r="D157" t="str">
        <f>IF(allExpenses_table[[#This Row],[Date]]="","",TEXT(allExpenses_table[[#This Row],[Date]],"mmmm"))</f>
        <v/>
      </c>
      <c r="H157" s="199"/>
      <c r="I157" s="200"/>
      <c r="J157" s="216"/>
      <c r="K157" s="193"/>
      <c r="L157" s="193"/>
      <c r="M157" s="194"/>
    </row>
    <row r="158" spans="1:13" x14ac:dyDescent="0.3">
      <c r="A158" s="2"/>
      <c r="B158" s="158"/>
      <c r="C158" s="234"/>
      <c r="D158" t="str">
        <f>IF(allExpenses_table[[#This Row],[Date]]="","",TEXT(allExpenses_table[[#This Row],[Date]],"mmmm"))</f>
        <v/>
      </c>
      <c r="H158" s="203"/>
      <c r="I158" s="204"/>
      <c r="J158" s="217"/>
      <c r="K158" s="192"/>
      <c r="L158" s="192"/>
      <c r="M158" s="52"/>
    </row>
    <row r="159" spans="1:13" x14ac:dyDescent="0.3">
      <c r="A159" s="2"/>
      <c r="B159" s="158"/>
      <c r="C159" s="234"/>
      <c r="D159" t="str">
        <f>IF(allExpenses_table[[#This Row],[Date]]="","",TEXT(allExpenses_table[[#This Row],[Date]],"mmmm"))</f>
        <v/>
      </c>
      <c r="H159" s="199"/>
      <c r="I159" s="200"/>
      <c r="J159" s="216"/>
      <c r="K159" s="193"/>
      <c r="L159" s="193"/>
      <c r="M159" s="194"/>
    </row>
    <row r="160" spans="1:13" x14ac:dyDescent="0.3">
      <c r="A160" s="2"/>
      <c r="B160" s="158"/>
      <c r="C160" s="234"/>
      <c r="D160" t="str">
        <f>IF(allExpenses_table[[#This Row],[Date]]="","",TEXT(allExpenses_table[[#This Row],[Date]],"mmmm"))</f>
        <v/>
      </c>
      <c r="H160" s="203"/>
      <c r="I160" s="204"/>
      <c r="J160" s="217"/>
      <c r="K160" s="192"/>
      <c r="L160" s="192"/>
      <c r="M160" s="52"/>
    </row>
    <row r="161" spans="1:13" x14ac:dyDescent="0.3">
      <c r="A161" s="2"/>
      <c r="B161" s="158"/>
      <c r="C161" s="234"/>
      <c r="D161" t="str">
        <f>IF(allExpenses_table[[#This Row],[Date]]="","",TEXT(allExpenses_table[[#This Row],[Date]],"mmmm"))</f>
        <v/>
      </c>
      <c r="H161" s="199"/>
      <c r="I161" s="200"/>
      <c r="J161" s="216"/>
      <c r="K161" s="193"/>
      <c r="L161" s="193"/>
      <c r="M161" s="194"/>
    </row>
    <row r="162" spans="1:13" x14ac:dyDescent="0.3">
      <c r="A162" s="2"/>
      <c r="B162" s="158"/>
      <c r="C162" s="234"/>
      <c r="D162" t="str">
        <f>IF(allExpenses_table[[#This Row],[Date]]="","",TEXT(allExpenses_table[[#This Row],[Date]],"mmmm"))</f>
        <v/>
      </c>
      <c r="H162" s="203"/>
      <c r="I162" s="204"/>
      <c r="J162" s="217"/>
      <c r="K162" s="192"/>
      <c r="L162" s="192"/>
      <c r="M162" s="52"/>
    </row>
    <row r="163" spans="1:13" x14ac:dyDescent="0.3">
      <c r="A163" s="2"/>
      <c r="B163" s="158"/>
      <c r="C163" s="234"/>
      <c r="D163" t="str">
        <f>IF(allExpenses_table[[#This Row],[Date]]="","",TEXT(allExpenses_table[[#This Row],[Date]],"mmmm"))</f>
        <v/>
      </c>
      <c r="H163" s="199"/>
      <c r="I163" s="200"/>
      <c r="J163" s="216"/>
      <c r="K163" s="193"/>
      <c r="L163" s="193"/>
      <c r="M163" s="194"/>
    </row>
    <row r="164" spans="1:13" x14ac:dyDescent="0.3">
      <c r="A164" s="2"/>
      <c r="B164" s="158"/>
      <c r="C164" s="234"/>
      <c r="D164" t="str">
        <f>IF(allExpenses_table[[#This Row],[Date]]="","",TEXT(allExpenses_table[[#This Row],[Date]],"mmmm"))</f>
        <v/>
      </c>
      <c r="H164" s="203"/>
      <c r="I164" s="204"/>
      <c r="J164" s="217"/>
      <c r="K164" s="192"/>
      <c r="L164" s="192"/>
      <c r="M164" s="52"/>
    </row>
    <row r="165" spans="1:13" x14ac:dyDescent="0.3">
      <c r="A165" s="2"/>
      <c r="B165" s="158"/>
      <c r="C165" s="234"/>
      <c r="D165" t="str">
        <f>IF(allExpenses_table[[#This Row],[Date]]="","",TEXT(allExpenses_table[[#This Row],[Date]],"mmmm"))</f>
        <v/>
      </c>
      <c r="H165" s="199"/>
      <c r="I165" s="200"/>
      <c r="J165" s="216"/>
      <c r="K165" s="193"/>
      <c r="L165" s="193"/>
      <c r="M165" s="194"/>
    </row>
    <row r="166" spans="1:13" x14ac:dyDescent="0.3">
      <c r="A166" s="2"/>
      <c r="B166" s="158"/>
      <c r="C166" s="234"/>
      <c r="D166" t="str">
        <f>IF(allExpenses_table[[#This Row],[Date]]="","",TEXT(allExpenses_table[[#This Row],[Date]],"mmmm"))</f>
        <v/>
      </c>
      <c r="H166" s="203"/>
      <c r="I166" s="204"/>
      <c r="J166" s="217"/>
      <c r="K166" s="192"/>
      <c r="L166" s="192"/>
      <c r="M166" s="52"/>
    </row>
    <row r="167" spans="1:13" x14ac:dyDescent="0.3">
      <c r="A167" s="2"/>
      <c r="B167" s="158"/>
      <c r="C167" s="234"/>
      <c r="D167" t="str">
        <f>IF(allExpenses_table[[#This Row],[Date]]="","",TEXT(allExpenses_table[[#This Row],[Date]],"mmmm"))</f>
        <v/>
      </c>
      <c r="H167" s="199"/>
      <c r="I167" s="200"/>
      <c r="J167" s="216"/>
      <c r="K167" s="193"/>
      <c r="L167" s="193"/>
      <c r="M167" s="194"/>
    </row>
    <row r="168" spans="1:13" x14ac:dyDescent="0.3">
      <c r="A168" s="2"/>
      <c r="B168" s="158"/>
      <c r="C168" s="234"/>
      <c r="D168" t="str">
        <f>IF(allExpenses_table[[#This Row],[Date]]="","",TEXT(allExpenses_table[[#This Row],[Date]],"mmmm"))</f>
        <v/>
      </c>
      <c r="H168" s="203"/>
      <c r="I168" s="204"/>
      <c r="J168" s="217"/>
      <c r="K168" s="192"/>
      <c r="L168" s="192"/>
      <c r="M168" s="52"/>
    </row>
    <row r="169" spans="1:13" x14ac:dyDescent="0.3">
      <c r="A169" s="2"/>
      <c r="B169" s="158"/>
      <c r="C169" s="234"/>
      <c r="D169" t="str">
        <f>IF(allExpenses_table[[#This Row],[Date]]="","",TEXT(allExpenses_table[[#This Row],[Date]],"mmmm"))</f>
        <v/>
      </c>
      <c r="H169" s="199"/>
      <c r="I169" s="200"/>
      <c r="J169" s="216"/>
      <c r="K169" s="193"/>
      <c r="L169" s="193"/>
      <c r="M169" s="194"/>
    </row>
    <row r="170" spans="1:13" x14ac:dyDescent="0.3">
      <c r="A170" s="2"/>
      <c r="B170" s="158"/>
      <c r="C170" s="234"/>
      <c r="D170" t="str">
        <f>IF(allExpenses_table[[#This Row],[Date]]="","",TEXT(allExpenses_table[[#This Row],[Date]],"mmmm"))</f>
        <v/>
      </c>
      <c r="H170" s="203"/>
      <c r="I170" s="204"/>
      <c r="J170" s="217"/>
      <c r="K170" s="192"/>
      <c r="L170" s="192"/>
      <c r="M170" s="52"/>
    </row>
    <row r="171" spans="1:13" x14ac:dyDescent="0.3">
      <c r="A171" s="2"/>
      <c r="B171" s="158"/>
      <c r="C171" s="234"/>
      <c r="D171" t="str">
        <f>IF(allExpenses_table[[#This Row],[Date]]="","",TEXT(allExpenses_table[[#This Row],[Date]],"mmmm"))</f>
        <v/>
      </c>
      <c r="H171" s="199"/>
      <c r="I171" s="200"/>
      <c r="J171" s="216"/>
      <c r="K171" s="193"/>
      <c r="L171" s="193"/>
      <c r="M171" s="194"/>
    </row>
    <row r="172" spans="1:13" x14ac:dyDescent="0.3">
      <c r="A172" s="2"/>
      <c r="B172" s="158"/>
      <c r="C172" s="234"/>
      <c r="D172" t="str">
        <f>IF(allExpenses_table[[#This Row],[Date]]="","",TEXT(allExpenses_table[[#This Row],[Date]],"mmmm"))</f>
        <v/>
      </c>
      <c r="H172" s="203"/>
      <c r="I172" s="204"/>
      <c r="J172" s="217"/>
      <c r="K172" s="192"/>
      <c r="L172" s="192"/>
      <c r="M172" s="52"/>
    </row>
    <row r="173" spans="1:13" x14ac:dyDescent="0.3">
      <c r="A173" s="2"/>
      <c r="B173" s="158"/>
      <c r="C173" s="234"/>
      <c r="D173" t="str">
        <f>IF(allExpenses_table[[#This Row],[Date]]="","",TEXT(allExpenses_table[[#This Row],[Date]],"mmmm"))</f>
        <v/>
      </c>
      <c r="H173" s="199"/>
      <c r="I173" s="200"/>
      <c r="J173" s="216"/>
      <c r="K173" s="193"/>
      <c r="L173" s="193"/>
      <c r="M173" s="194"/>
    </row>
    <row r="174" spans="1:13" x14ac:dyDescent="0.3">
      <c r="A174" s="2"/>
      <c r="B174" s="158"/>
      <c r="C174" s="234"/>
      <c r="D174" t="str">
        <f>IF(allExpenses_table[[#This Row],[Date]]="","",TEXT(allExpenses_table[[#This Row],[Date]],"mmmm"))</f>
        <v/>
      </c>
      <c r="H174" s="203"/>
      <c r="I174" s="204"/>
      <c r="J174" s="217"/>
      <c r="K174" s="192"/>
      <c r="L174" s="192"/>
      <c r="M174" s="52"/>
    </row>
    <row r="175" spans="1:13" x14ac:dyDescent="0.3">
      <c r="A175" s="2"/>
      <c r="B175" s="158"/>
      <c r="C175" s="234"/>
      <c r="D175" t="str">
        <f>IF(allExpenses_table[[#This Row],[Date]]="","",TEXT(allExpenses_table[[#This Row],[Date]],"mmmm"))</f>
        <v/>
      </c>
      <c r="H175" s="199"/>
      <c r="I175" s="200"/>
      <c r="J175" s="216"/>
      <c r="K175" s="193"/>
      <c r="L175" s="193"/>
      <c r="M175" s="194"/>
    </row>
    <row r="176" spans="1:13" x14ac:dyDescent="0.3">
      <c r="A176" s="2"/>
      <c r="B176" s="158"/>
      <c r="C176" s="234"/>
      <c r="D176" t="str">
        <f>IF(allExpenses_table[[#This Row],[Date]]="","",TEXT(allExpenses_table[[#This Row],[Date]],"mmmm"))</f>
        <v/>
      </c>
      <c r="H176" s="203"/>
      <c r="I176" s="204"/>
      <c r="J176" s="217"/>
      <c r="K176" s="192"/>
      <c r="L176" s="192"/>
      <c r="M176" s="52"/>
    </row>
    <row r="177" spans="1:13" x14ac:dyDescent="0.3">
      <c r="A177" s="2"/>
      <c r="B177" s="158"/>
      <c r="C177" s="234"/>
      <c r="D177" t="str">
        <f>IF(allExpenses_table[[#This Row],[Date]]="","",TEXT(allExpenses_table[[#This Row],[Date]],"mmmm"))</f>
        <v/>
      </c>
      <c r="H177" s="199"/>
      <c r="I177" s="200"/>
      <c r="J177" s="216"/>
      <c r="K177" s="193"/>
      <c r="L177" s="193"/>
      <c r="M177" s="194"/>
    </row>
    <row r="178" spans="1:13" x14ac:dyDescent="0.3">
      <c r="A178" s="2"/>
      <c r="B178" s="158"/>
      <c r="C178" s="234"/>
      <c r="D178" t="str">
        <f>IF(allExpenses_table[[#This Row],[Date]]="","",TEXT(allExpenses_table[[#This Row],[Date]],"mmmm"))</f>
        <v/>
      </c>
      <c r="H178" s="203"/>
      <c r="I178" s="204"/>
      <c r="J178" s="217"/>
      <c r="K178" s="192"/>
      <c r="L178" s="192"/>
      <c r="M178" s="52"/>
    </row>
    <row r="179" spans="1:13" x14ac:dyDescent="0.3">
      <c r="A179" s="2"/>
      <c r="B179" s="158"/>
      <c r="C179" s="234"/>
      <c r="D179" t="str">
        <f>IF(allExpenses_table[[#This Row],[Date]]="","",TEXT(allExpenses_table[[#This Row],[Date]],"mmmm"))</f>
        <v/>
      </c>
      <c r="H179" s="199"/>
      <c r="I179" s="200"/>
      <c r="J179" s="216"/>
      <c r="K179" s="193"/>
      <c r="L179" s="193"/>
      <c r="M179" s="194"/>
    </row>
    <row r="180" spans="1:13" x14ac:dyDescent="0.3">
      <c r="A180" s="2"/>
      <c r="B180" s="158"/>
      <c r="C180" s="234"/>
      <c r="D180" t="str">
        <f>IF(allExpenses_table[[#This Row],[Date]]="","",TEXT(allExpenses_table[[#This Row],[Date]],"mmmm"))</f>
        <v/>
      </c>
      <c r="H180" s="203"/>
      <c r="I180" s="204"/>
      <c r="J180" s="217"/>
      <c r="K180" s="192"/>
      <c r="L180" s="192"/>
      <c r="M180" s="52"/>
    </row>
    <row r="181" spans="1:13" x14ac:dyDescent="0.3">
      <c r="A181" s="2"/>
      <c r="B181" s="158"/>
      <c r="C181" s="234"/>
      <c r="D181" t="str">
        <f>IF(allExpenses_table[[#This Row],[Date]]="","",TEXT(allExpenses_table[[#This Row],[Date]],"mmmm"))</f>
        <v/>
      </c>
      <c r="H181" s="199"/>
      <c r="I181" s="200"/>
      <c r="J181" s="216"/>
      <c r="K181" s="193"/>
      <c r="L181" s="193"/>
      <c r="M181" s="194"/>
    </row>
    <row r="182" spans="1:13" x14ac:dyDescent="0.3">
      <c r="A182" s="2"/>
      <c r="B182" s="158"/>
      <c r="C182" s="234"/>
      <c r="D182" t="str">
        <f>IF(allExpenses_table[[#This Row],[Date]]="","",TEXT(allExpenses_table[[#This Row],[Date]],"mmmm"))</f>
        <v/>
      </c>
      <c r="H182" s="203"/>
      <c r="I182" s="204"/>
      <c r="J182" s="217"/>
      <c r="K182" s="192"/>
      <c r="L182" s="192"/>
      <c r="M182" s="52"/>
    </row>
    <row r="183" spans="1:13" x14ac:dyDescent="0.3">
      <c r="A183" s="2"/>
      <c r="B183" s="158"/>
      <c r="C183" s="234"/>
      <c r="D183" t="str">
        <f>IF(allExpenses_table[[#This Row],[Date]]="","",TEXT(allExpenses_table[[#This Row],[Date]],"mmmm"))</f>
        <v/>
      </c>
      <c r="H183" s="199"/>
      <c r="I183" s="200"/>
      <c r="J183" s="216"/>
      <c r="K183" s="193"/>
      <c r="L183" s="193"/>
      <c r="M183" s="194"/>
    </row>
    <row r="184" spans="1:13" x14ac:dyDescent="0.3">
      <c r="A184" s="2"/>
      <c r="B184" s="158"/>
      <c r="C184" s="234"/>
      <c r="D184" t="str">
        <f>IF(allExpenses_table[[#This Row],[Date]]="","",TEXT(allExpenses_table[[#This Row],[Date]],"mmmm"))</f>
        <v/>
      </c>
      <c r="H184" s="203"/>
      <c r="I184" s="204"/>
      <c r="J184" s="217"/>
      <c r="K184" s="192"/>
      <c r="L184" s="192"/>
      <c r="M184" s="52"/>
    </row>
    <row r="185" spans="1:13" x14ac:dyDescent="0.3">
      <c r="A185" s="2"/>
      <c r="B185" s="158"/>
      <c r="C185" s="234"/>
      <c r="D185" t="str">
        <f>IF(allExpenses_table[[#This Row],[Date]]="","",TEXT(allExpenses_table[[#This Row],[Date]],"mmmm"))</f>
        <v/>
      </c>
      <c r="H185" s="199"/>
      <c r="I185" s="200"/>
      <c r="J185" s="216"/>
      <c r="K185" s="193"/>
      <c r="L185" s="193"/>
      <c r="M185" s="194"/>
    </row>
    <row r="186" spans="1:13" x14ac:dyDescent="0.3">
      <c r="A186" s="2"/>
      <c r="B186" s="158"/>
      <c r="C186" s="234"/>
      <c r="D186" t="str">
        <f>IF(allExpenses_table[[#This Row],[Date]]="","",TEXT(allExpenses_table[[#This Row],[Date]],"mmmm"))</f>
        <v/>
      </c>
      <c r="H186" s="203"/>
      <c r="I186" s="204"/>
      <c r="J186" s="217"/>
      <c r="K186" s="192"/>
      <c r="L186" s="192"/>
      <c r="M186" s="52"/>
    </row>
    <row r="187" spans="1:13" x14ac:dyDescent="0.3">
      <c r="A187" s="2"/>
      <c r="B187" s="158"/>
      <c r="C187" s="234"/>
      <c r="D187" t="str">
        <f>IF(allExpenses_table[[#This Row],[Date]]="","",TEXT(allExpenses_table[[#This Row],[Date]],"mmmm"))</f>
        <v/>
      </c>
      <c r="H187" s="199"/>
      <c r="I187" s="200"/>
      <c r="J187" s="216"/>
      <c r="K187" s="193"/>
      <c r="L187" s="193"/>
      <c r="M187" s="194"/>
    </row>
    <row r="188" spans="1:13" x14ac:dyDescent="0.3">
      <c r="A188" s="2"/>
      <c r="B188" s="158"/>
      <c r="C188" s="234"/>
      <c r="D188" t="str">
        <f>IF(allExpenses_table[[#This Row],[Date]]="","",TEXT(allExpenses_table[[#This Row],[Date]],"mmmm"))</f>
        <v/>
      </c>
      <c r="H188" s="203"/>
      <c r="I188" s="204"/>
      <c r="J188" s="217"/>
      <c r="K188" s="192"/>
      <c r="L188" s="192"/>
      <c r="M188" s="52"/>
    </row>
    <row r="189" spans="1:13" x14ac:dyDescent="0.3">
      <c r="A189" s="2"/>
      <c r="B189" s="158"/>
      <c r="C189" s="234"/>
      <c r="D189" t="str">
        <f>IF(allExpenses_table[[#This Row],[Date]]="","",TEXT(allExpenses_table[[#This Row],[Date]],"mmmm"))</f>
        <v/>
      </c>
      <c r="H189" s="199"/>
      <c r="I189" s="200"/>
      <c r="J189" s="216"/>
      <c r="K189" s="193"/>
      <c r="L189" s="193"/>
      <c r="M189" s="194"/>
    </row>
    <row r="190" spans="1:13" x14ac:dyDescent="0.3">
      <c r="A190" s="2"/>
      <c r="B190" s="158"/>
      <c r="C190" s="234"/>
      <c r="D190" t="str">
        <f>IF(allExpenses_table[[#This Row],[Date]]="","",TEXT(allExpenses_table[[#This Row],[Date]],"mmmm"))</f>
        <v/>
      </c>
      <c r="H190" s="203"/>
      <c r="I190" s="204"/>
      <c r="J190" s="217"/>
      <c r="K190" s="192"/>
      <c r="L190" s="192"/>
      <c r="M190" s="52"/>
    </row>
    <row r="191" spans="1:13" x14ac:dyDescent="0.3">
      <c r="A191" s="2"/>
      <c r="B191" s="158"/>
      <c r="C191" s="234"/>
      <c r="D191" t="str">
        <f>IF(allExpenses_table[[#This Row],[Date]]="","",TEXT(allExpenses_table[[#This Row],[Date]],"mmmm"))</f>
        <v/>
      </c>
      <c r="H191" s="199"/>
      <c r="I191" s="200"/>
      <c r="J191" s="216"/>
      <c r="K191" s="193"/>
      <c r="L191" s="193"/>
      <c r="M191" s="194"/>
    </row>
    <row r="192" spans="1:13" x14ac:dyDescent="0.3">
      <c r="A192" s="2"/>
      <c r="B192" s="158"/>
      <c r="C192" s="234"/>
      <c r="D192" t="str">
        <f>IF(allExpenses_table[[#This Row],[Date]]="","",TEXT(allExpenses_table[[#This Row],[Date]],"mmmm"))</f>
        <v/>
      </c>
      <c r="H192" s="203"/>
      <c r="I192" s="204"/>
      <c r="J192" s="217"/>
      <c r="K192" s="192"/>
      <c r="L192" s="192"/>
      <c r="M192" s="52"/>
    </row>
    <row r="193" spans="1:13" x14ac:dyDescent="0.3">
      <c r="A193" s="2"/>
      <c r="B193" s="158"/>
      <c r="C193" s="234"/>
      <c r="D193" t="str">
        <f>IF(allExpenses_table[[#This Row],[Date]]="","",TEXT(allExpenses_table[[#This Row],[Date]],"mmmm"))</f>
        <v/>
      </c>
      <c r="H193" s="199"/>
      <c r="I193" s="200"/>
      <c r="J193" s="216"/>
      <c r="K193" s="193"/>
      <c r="L193" s="193"/>
      <c r="M193" s="194"/>
    </row>
    <row r="194" spans="1:13" x14ac:dyDescent="0.3">
      <c r="A194" s="2"/>
      <c r="B194" s="158"/>
      <c r="C194" s="234"/>
      <c r="D194" t="str">
        <f>IF(allExpenses_table[[#This Row],[Date]]="","",TEXT(allExpenses_table[[#This Row],[Date]],"mmmm"))</f>
        <v/>
      </c>
      <c r="H194" s="203"/>
      <c r="I194" s="204"/>
      <c r="J194" s="217"/>
      <c r="K194" s="192"/>
      <c r="L194" s="192"/>
      <c r="M194" s="52"/>
    </row>
    <row r="195" spans="1:13" x14ac:dyDescent="0.3">
      <c r="A195" s="2"/>
      <c r="B195" s="158"/>
      <c r="C195" s="234"/>
      <c r="D195" t="str">
        <f>IF(allExpenses_table[[#This Row],[Date]]="","",TEXT(allExpenses_table[[#This Row],[Date]],"mmmm"))</f>
        <v/>
      </c>
      <c r="H195" s="199"/>
      <c r="I195" s="200"/>
      <c r="J195" s="216"/>
      <c r="K195" s="193"/>
      <c r="L195" s="193"/>
      <c r="M195" s="194"/>
    </row>
    <row r="196" spans="1:13" x14ac:dyDescent="0.3">
      <c r="A196" s="2"/>
      <c r="B196" s="158"/>
      <c r="C196" s="234"/>
      <c r="D196" t="str">
        <f>IF(allExpenses_table[[#This Row],[Date]]="","",TEXT(allExpenses_table[[#This Row],[Date]],"mmmm"))</f>
        <v/>
      </c>
      <c r="H196" s="203"/>
      <c r="I196" s="204"/>
      <c r="J196" s="217"/>
      <c r="K196" s="192"/>
      <c r="L196" s="192"/>
      <c r="M196" s="52"/>
    </row>
    <row r="197" spans="1:13" x14ac:dyDescent="0.3">
      <c r="A197" s="2"/>
      <c r="B197" s="158"/>
      <c r="C197" s="234"/>
      <c r="D197" t="str">
        <f>IF(allExpenses_table[[#This Row],[Date]]="","",TEXT(allExpenses_table[[#This Row],[Date]],"mmmm"))</f>
        <v/>
      </c>
      <c r="H197" s="199"/>
      <c r="I197" s="200"/>
      <c r="J197" s="216"/>
      <c r="K197" s="193"/>
      <c r="L197" s="193"/>
      <c r="M197" s="194"/>
    </row>
    <row r="198" spans="1:13" x14ac:dyDescent="0.3">
      <c r="A198" s="2"/>
      <c r="B198" s="158"/>
      <c r="C198" s="234"/>
      <c r="D198" t="str">
        <f>IF(allExpenses_table[[#This Row],[Date]]="","",TEXT(allExpenses_table[[#This Row],[Date]],"mmmm"))</f>
        <v/>
      </c>
      <c r="H198" s="203"/>
      <c r="I198" s="204"/>
      <c r="J198" s="217"/>
      <c r="K198" s="192"/>
      <c r="L198" s="192"/>
      <c r="M198" s="52"/>
    </row>
    <row r="199" spans="1:13" x14ac:dyDescent="0.3">
      <c r="A199" s="2"/>
      <c r="B199" s="158"/>
      <c r="C199" s="234"/>
      <c r="D199" t="str">
        <f>IF(allExpenses_table[[#This Row],[Date]]="","",TEXT(allExpenses_table[[#This Row],[Date]],"mmmm"))</f>
        <v/>
      </c>
      <c r="H199" s="199"/>
      <c r="I199" s="200"/>
      <c r="J199" s="216"/>
      <c r="K199" s="193"/>
      <c r="L199" s="193"/>
      <c r="M199" s="194"/>
    </row>
    <row r="200" spans="1:13" x14ac:dyDescent="0.3">
      <c r="A200" s="2"/>
      <c r="B200" s="158"/>
      <c r="C200" s="234"/>
      <c r="D200" t="str">
        <f>IF(allExpenses_table[[#This Row],[Date]]="","",TEXT(allExpenses_table[[#This Row],[Date]],"mmmm"))</f>
        <v/>
      </c>
      <c r="H200" s="203"/>
      <c r="I200" s="204"/>
      <c r="J200" s="217"/>
      <c r="K200" s="192"/>
      <c r="L200" s="192"/>
      <c r="M200" s="52"/>
    </row>
    <row r="201" spans="1:13" x14ac:dyDescent="0.3">
      <c r="A201" s="2"/>
      <c r="B201" s="158"/>
      <c r="C201" s="234"/>
      <c r="D201" t="str">
        <f>IF(allExpenses_table[[#This Row],[Date]]="","",TEXT(allExpenses_table[[#This Row],[Date]],"mmmm"))</f>
        <v/>
      </c>
      <c r="H201" s="199"/>
      <c r="I201" s="200"/>
      <c r="J201" s="216"/>
      <c r="K201" s="193"/>
      <c r="L201" s="193"/>
      <c r="M201" s="194"/>
    </row>
    <row r="202" spans="1:13" x14ac:dyDescent="0.3">
      <c r="A202" s="2"/>
      <c r="B202" s="158"/>
      <c r="C202" s="234"/>
      <c r="D202" t="str">
        <f>IF(allExpenses_table[[#This Row],[Date]]="","",TEXT(allExpenses_table[[#This Row],[Date]],"mmmm"))</f>
        <v/>
      </c>
      <c r="H202" s="203"/>
      <c r="I202" s="204"/>
      <c r="J202" s="217"/>
      <c r="K202" s="192"/>
      <c r="L202" s="192"/>
      <c r="M202" s="52"/>
    </row>
    <row r="203" spans="1:13" x14ac:dyDescent="0.3">
      <c r="A203" s="2"/>
      <c r="B203" s="158"/>
      <c r="C203" s="234"/>
      <c r="D203" t="str">
        <f>IF(allExpenses_table[[#This Row],[Date]]="","",TEXT(allExpenses_table[[#This Row],[Date]],"mmmm"))</f>
        <v/>
      </c>
      <c r="H203" s="199"/>
      <c r="I203" s="200"/>
      <c r="J203" s="216"/>
      <c r="K203" s="193"/>
      <c r="L203" s="193"/>
      <c r="M203" s="194"/>
    </row>
    <row r="204" spans="1:13" x14ac:dyDescent="0.3">
      <c r="A204" s="2"/>
      <c r="B204" s="158"/>
      <c r="C204" s="234"/>
      <c r="D204" t="str">
        <f>IF(allExpenses_table[[#This Row],[Date]]="","",TEXT(allExpenses_table[[#This Row],[Date]],"mmmm"))</f>
        <v/>
      </c>
      <c r="H204" s="203"/>
      <c r="I204" s="204"/>
      <c r="J204" s="217"/>
      <c r="K204" s="192"/>
      <c r="L204" s="192"/>
      <c r="M204" s="52"/>
    </row>
    <row r="205" spans="1:13" x14ac:dyDescent="0.3">
      <c r="A205" s="2"/>
      <c r="B205" s="158"/>
      <c r="C205" s="234"/>
      <c r="D205" t="str">
        <f>IF(allExpenses_table[[#This Row],[Date]]="","",TEXT(allExpenses_table[[#This Row],[Date]],"mmmm"))</f>
        <v/>
      </c>
      <c r="H205" s="199"/>
      <c r="I205" s="200"/>
      <c r="J205" s="216"/>
      <c r="K205" s="193"/>
      <c r="L205" s="193"/>
      <c r="M205" s="194"/>
    </row>
    <row r="206" spans="1:13" x14ac:dyDescent="0.3">
      <c r="A206" s="2"/>
      <c r="B206" s="158"/>
      <c r="C206" s="234"/>
      <c r="D206" t="str">
        <f>IF(allExpenses_table[[#This Row],[Date]]="","",TEXT(allExpenses_table[[#This Row],[Date]],"mmmm"))</f>
        <v/>
      </c>
      <c r="H206" s="203"/>
      <c r="I206" s="204"/>
      <c r="J206" s="217"/>
      <c r="K206" s="192"/>
      <c r="L206" s="192"/>
      <c r="M206" s="52"/>
    </row>
    <row r="207" spans="1:13" x14ac:dyDescent="0.3">
      <c r="A207" s="2"/>
      <c r="B207" s="158"/>
      <c r="C207" s="234"/>
      <c r="D207" t="str">
        <f>IF(allExpenses_table[[#This Row],[Date]]="","",TEXT(allExpenses_table[[#This Row],[Date]],"mmmm"))</f>
        <v/>
      </c>
      <c r="H207" s="199"/>
      <c r="I207" s="200"/>
      <c r="J207" s="216"/>
      <c r="K207" s="193"/>
      <c r="L207" s="193"/>
      <c r="M207" s="194"/>
    </row>
    <row r="208" spans="1:13" x14ac:dyDescent="0.3">
      <c r="A208" s="2"/>
      <c r="B208" s="158"/>
      <c r="C208" s="234"/>
      <c r="D208" t="str">
        <f>IF(allExpenses_table[[#This Row],[Date]]="","",TEXT(allExpenses_table[[#This Row],[Date]],"mmmm"))</f>
        <v/>
      </c>
      <c r="H208" s="203"/>
      <c r="I208" s="204"/>
      <c r="J208" s="217"/>
      <c r="K208" s="192"/>
      <c r="L208" s="192"/>
      <c r="M208" s="52"/>
    </row>
    <row r="209" spans="1:13" x14ac:dyDescent="0.3">
      <c r="A209" s="2"/>
      <c r="B209" s="158"/>
      <c r="C209" s="234"/>
      <c r="D209" t="str">
        <f>IF(allExpenses_table[[#This Row],[Date]]="","",TEXT(allExpenses_table[[#This Row],[Date]],"mmmm"))</f>
        <v/>
      </c>
      <c r="H209" s="199"/>
      <c r="I209" s="200"/>
      <c r="J209" s="216"/>
      <c r="K209" s="193"/>
      <c r="L209" s="193"/>
      <c r="M209" s="194"/>
    </row>
    <row r="210" spans="1:13" x14ac:dyDescent="0.3">
      <c r="A210" s="2"/>
      <c r="B210" s="158"/>
      <c r="C210" s="234"/>
      <c r="D210" t="str">
        <f>IF(allExpenses_table[[#This Row],[Date]]="","",TEXT(allExpenses_table[[#This Row],[Date]],"mmmm"))</f>
        <v/>
      </c>
      <c r="H210" s="203"/>
      <c r="I210" s="204"/>
      <c r="J210" s="217"/>
      <c r="K210" s="192"/>
      <c r="L210" s="192"/>
      <c r="M210" s="52"/>
    </row>
    <row r="211" spans="1:13" x14ac:dyDescent="0.3">
      <c r="A211" s="2"/>
      <c r="B211" s="158"/>
      <c r="C211" s="234"/>
      <c r="D211" t="str">
        <f>IF(allExpenses_table[[#This Row],[Date]]="","",TEXT(allExpenses_table[[#This Row],[Date]],"mmmm"))</f>
        <v/>
      </c>
      <c r="H211" s="199"/>
      <c r="I211" s="200"/>
      <c r="J211" s="216"/>
      <c r="K211" s="193"/>
      <c r="L211" s="193"/>
      <c r="M211" s="194"/>
    </row>
    <row r="212" spans="1:13" x14ac:dyDescent="0.3">
      <c r="A212" s="2"/>
      <c r="B212" s="158"/>
      <c r="C212" s="234"/>
      <c r="D212" t="str">
        <f>IF(allExpenses_table[[#This Row],[Date]]="","",TEXT(allExpenses_table[[#This Row],[Date]],"mmmm"))</f>
        <v/>
      </c>
      <c r="H212" s="203"/>
      <c r="I212" s="204"/>
      <c r="J212" s="217"/>
      <c r="K212" s="192"/>
      <c r="L212" s="192"/>
      <c r="M212" s="52"/>
    </row>
    <row r="213" spans="1:13" x14ac:dyDescent="0.3">
      <c r="A213" s="2"/>
      <c r="B213" s="158"/>
      <c r="C213" s="234"/>
      <c r="D213" t="str">
        <f>IF(allExpenses_table[[#This Row],[Date]]="","",TEXT(allExpenses_table[[#This Row],[Date]],"mmmm"))</f>
        <v/>
      </c>
      <c r="H213" s="199"/>
      <c r="I213" s="200"/>
      <c r="J213" s="216"/>
      <c r="K213" s="193"/>
      <c r="L213" s="193"/>
      <c r="M213" s="194"/>
    </row>
    <row r="214" spans="1:13" x14ac:dyDescent="0.3">
      <c r="A214" s="2"/>
      <c r="B214" s="158"/>
      <c r="C214" s="234"/>
      <c r="D214" t="str">
        <f>IF(allExpenses_table[[#This Row],[Date]]="","",TEXT(allExpenses_table[[#This Row],[Date]],"mmmm"))</f>
        <v/>
      </c>
      <c r="H214" s="203"/>
      <c r="I214" s="204"/>
      <c r="J214" s="217"/>
      <c r="K214" s="192"/>
      <c r="L214" s="192"/>
      <c r="M214" s="52"/>
    </row>
    <row r="215" spans="1:13" x14ac:dyDescent="0.3">
      <c r="A215" s="2"/>
      <c r="B215" s="158"/>
      <c r="C215" s="234"/>
      <c r="D215" t="str">
        <f>IF(allExpenses_table[[#This Row],[Date]]="","",TEXT(allExpenses_table[[#This Row],[Date]],"mmmm"))</f>
        <v/>
      </c>
      <c r="H215" s="199"/>
      <c r="I215" s="200"/>
      <c r="J215" s="216"/>
      <c r="K215" s="193"/>
      <c r="L215" s="193"/>
      <c r="M215" s="194"/>
    </row>
    <row r="216" spans="1:13" x14ac:dyDescent="0.3">
      <c r="A216" s="2"/>
      <c r="B216" s="158"/>
      <c r="C216" s="234"/>
      <c r="D216" t="str">
        <f>IF(allExpenses_table[[#This Row],[Date]]="","",TEXT(allExpenses_table[[#This Row],[Date]],"mmmm"))</f>
        <v/>
      </c>
      <c r="H216" s="203"/>
      <c r="I216" s="204"/>
      <c r="J216" s="217"/>
      <c r="K216" s="192"/>
      <c r="L216" s="192"/>
      <c r="M216" s="52"/>
    </row>
    <row r="217" spans="1:13" x14ac:dyDescent="0.3">
      <c r="A217" s="2"/>
      <c r="B217" s="158"/>
      <c r="C217" s="234"/>
      <c r="D217" t="str">
        <f>IF(allExpenses_table[[#This Row],[Date]]="","",TEXT(allExpenses_table[[#This Row],[Date]],"mmmm"))</f>
        <v/>
      </c>
      <c r="H217" s="199"/>
      <c r="I217" s="200"/>
      <c r="J217" s="216"/>
      <c r="K217" s="193"/>
      <c r="L217" s="193"/>
      <c r="M217" s="194"/>
    </row>
    <row r="218" spans="1:13" x14ac:dyDescent="0.3">
      <c r="A218" s="2"/>
      <c r="B218" s="158"/>
      <c r="C218" s="234"/>
      <c r="D218" t="str">
        <f>IF(allExpenses_table[[#This Row],[Date]]="","",TEXT(allExpenses_table[[#This Row],[Date]],"mmmm"))</f>
        <v/>
      </c>
      <c r="H218" s="203"/>
      <c r="I218" s="204"/>
      <c r="J218" s="217"/>
      <c r="K218" s="192"/>
      <c r="L218" s="192"/>
      <c r="M218" s="52"/>
    </row>
    <row r="219" spans="1:13" x14ac:dyDescent="0.3">
      <c r="A219" s="2"/>
      <c r="B219" s="158"/>
      <c r="C219" s="234"/>
      <c r="D219" t="str">
        <f>IF(allExpenses_table[[#This Row],[Date]]="","",TEXT(allExpenses_table[[#This Row],[Date]],"mmmm"))</f>
        <v/>
      </c>
      <c r="H219" s="199"/>
      <c r="I219" s="200"/>
      <c r="J219" s="216"/>
      <c r="K219" s="193"/>
      <c r="L219" s="193"/>
      <c r="M219" s="194"/>
    </row>
    <row r="220" spans="1:13" x14ac:dyDescent="0.3">
      <c r="A220" s="2"/>
      <c r="B220" s="158"/>
      <c r="C220" s="234"/>
      <c r="D220" t="str">
        <f>IF(allExpenses_table[[#This Row],[Date]]="","",TEXT(allExpenses_table[[#This Row],[Date]],"mmmm"))</f>
        <v/>
      </c>
      <c r="H220" s="203"/>
      <c r="I220" s="204"/>
      <c r="J220" s="217"/>
      <c r="K220" s="192"/>
      <c r="L220" s="192"/>
      <c r="M220" s="52"/>
    </row>
    <row r="221" spans="1:13" x14ac:dyDescent="0.3">
      <c r="A221" s="2"/>
      <c r="B221" s="158"/>
      <c r="C221" s="234"/>
      <c r="D221" t="str">
        <f>IF(allExpenses_table[[#This Row],[Date]]="","",TEXT(allExpenses_table[[#This Row],[Date]],"mmmm"))</f>
        <v/>
      </c>
      <c r="H221" s="199"/>
      <c r="I221" s="200"/>
      <c r="J221" s="216"/>
      <c r="K221" s="193"/>
      <c r="L221" s="193"/>
      <c r="M221" s="194"/>
    </row>
    <row r="222" spans="1:13" x14ac:dyDescent="0.3">
      <c r="A222" s="2"/>
      <c r="B222" s="158"/>
      <c r="C222" s="234"/>
      <c r="D222" t="str">
        <f>IF(allExpenses_table[[#This Row],[Date]]="","",TEXT(allExpenses_table[[#This Row],[Date]],"mmmm"))</f>
        <v/>
      </c>
      <c r="H222" s="203"/>
      <c r="I222" s="204"/>
      <c r="J222" s="217"/>
      <c r="K222" s="192"/>
      <c r="L222" s="192"/>
      <c r="M222" s="52"/>
    </row>
    <row r="223" spans="1:13" x14ac:dyDescent="0.3">
      <c r="A223" s="2"/>
      <c r="B223" s="158"/>
      <c r="C223" s="234"/>
      <c r="D223" t="str">
        <f>IF(allExpenses_table[[#This Row],[Date]]="","",TEXT(allExpenses_table[[#This Row],[Date]],"mmmm"))</f>
        <v/>
      </c>
      <c r="H223" s="199"/>
      <c r="I223" s="200"/>
      <c r="J223" s="216"/>
      <c r="K223" s="193"/>
      <c r="L223" s="193"/>
      <c r="M223" s="194"/>
    </row>
    <row r="224" spans="1:13" x14ac:dyDescent="0.3">
      <c r="A224" s="2"/>
      <c r="B224" s="158"/>
      <c r="C224" s="234"/>
      <c r="D224" t="str">
        <f>IF(allExpenses_table[[#This Row],[Date]]="","",TEXT(allExpenses_table[[#This Row],[Date]],"mmmm"))</f>
        <v/>
      </c>
      <c r="H224" s="203"/>
      <c r="I224" s="204"/>
      <c r="J224" s="217"/>
      <c r="K224" s="192"/>
      <c r="L224" s="192"/>
      <c r="M224" s="52"/>
    </row>
    <row r="225" spans="1:13" x14ac:dyDescent="0.3">
      <c r="A225" s="2"/>
      <c r="B225" s="158"/>
      <c r="C225" s="234"/>
      <c r="D225" t="str">
        <f>IF(allExpenses_table[[#This Row],[Date]]="","",TEXT(allExpenses_table[[#This Row],[Date]],"mmmm"))</f>
        <v/>
      </c>
      <c r="H225" s="199"/>
      <c r="I225" s="200"/>
      <c r="J225" s="216"/>
      <c r="K225" s="193"/>
      <c r="L225" s="193"/>
      <c r="M225" s="194"/>
    </row>
    <row r="226" spans="1:13" x14ac:dyDescent="0.3">
      <c r="A226" s="2"/>
      <c r="B226" s="158"/>
      <c r="C226" s="234"/>
      <c r="D226" t="str">
        <f>IF(allExpenses_table[[#This Row],[Date]]="","",TEXT(allExpenses_table[[#This Row],[Date]],"mmmm"))</f>
        <v/>
      </c>
      <c r="H226" s="203"/>
      <c r="I226" s="204"/>
      <c r="J226" s="217"/>
      <c r="K226" s="192"/>
      <c r="L226" s="192"/>
      <c r="M226" s="52"/>
    </row>
    <row r="227" spans="1:13" x14ac:dyDescent="0.3">
      <c r="A227" s="2"/>
      <c r="B227" s="158"/>
      <c r="C227" s="234"/>
      <c r="D227" t="str">
        <f>IF(allExpenses_table[[#This Row],[Date]]="","",TEXT(allExpenses_table[[#This Row],[Date]],"mmmm"))</f>
        <v/>
      </c>
      <c r="H227" s="199"/>
      <c r="I227" s="200"/>
      <c r="J227" s="216"/>
      <c r="K227" s="193"/>
      <c r="L227" s="193"/>
      <c r="M227" s="194"/>
    </row>
    <row r="228" spans="1:13" x14ac:dyDescent="0.3">
      <c r="A228" s="2"/>
      <c r="B228" s="158"/>
      <c r="C228" s="234"/>
      <c r="D228" t="str">
        <f>IF(allExpenses_table[[#This Row],[Date]]="","",TEXT(allExpenses_table[[#This Row],[Date]],"mmmm"))</f>
        <v/>
      </c>
      <c r="H228" s="203"/>
      <c r="I228" s="204"/>
      <c r="J228" s="217"/>
      <c r="K228" s="192"/>
      <c r="L228" s="192"/>
      <c r="M228" s="52"/>
    </row>
    <row r="229" spans="1:13" x14ac:dyDescent="0.3">
      <c r="A229" s="2"/>
      <c r="B229" s="158"/>
      <c r="C229" s="234"/>
      <c r="D229" t="str">
        <f>IF(allExpenses_table[[#This Row],[Date]]="","",TEXT(allExpenses_table[[#This Row],[Date]],"mmmm"))</f>
        <v/>
      </c>
      <c r="H229" s="199"/>
      <c r="I229" s="200"/>
      <c r="J229" s="216"/>
      <c r="K229" s="193"/>
      <c r="L229" s="193"/>
      <c r="M229" s="194"/>
    </row>
    <row r="230" spans="1:13" x14ac:dyDescent="0.3">
      <c r="A230" s="2"/>
      <c r="B230" s="158"/>
      <c r="C230" s="234"/>
      <c r="D230" t="str">
        <f>IF(allExpenses_table[[#This Row],[Date]]="","",TEXT(allExpenses_table[[#This Row],[Date]],"mmmm"))</f>
        <v/>
      </c>
      <c r="H230" s="203"/>
      <c r="I230" s="204"/>
      <c r="J230" s="217"/>
      <c r="K230" s="192"/>
      <c r="L230" s="192"/>
      <c r="M230" s="52"/>
    </row>
    <row r="231" spans="1:13" x14ac:dyDescent="0.3">
      <c r="A231" s="2"/>
      <c r="B231" s="158"/>
      <c r="C231" s="234"/>
      <c r="D231" t="str">
        <f>IF(allExpenses_table[[#This Row],[Date]]="","",TEXT(allExpenses_table[[#This Row],[Date]],"mmmm"))</f>
        <v/>
      </c>
      <c r="H231" s="199"/>
      <c r="I231" s="200"/>
      <c r="J231" s="216"/>
      <c r="K231" s="193"/>
      <c r="L231" s="193"/>
      <c r="M231" s="194"/>
    </row>
    <row r="232" spans="1:13" x14ac:dyDescent="0.3">
      <c r="A232" s="2"/>
      <c r="B232" s="158"/>
      <c r="C232" s="234"/>
      <c r="D232" t="str">
        <f>IF(allExpenses_table[[#This Row],[Date]]="","",TEXT(allExpenses_table[[#This Row],[Date]],"mmmm"))</f>
        <v/>
      </c>
      <c r="H232" s="203"/>
      <c r="I232" s="204"/>
      <c r="J232" s="217"/>
      <c r="K232" s="192"/>
      <c r="L232" s="192"/>
      <c r="M232" s="52"/>
    </row>
    <row r="233" spans="1:13" x14ac:dyDescent="0.3">
      <c r="A233" s="2"/>
      <c r="B233" s="158"/>
      <c r="C233" s="234"/>
      <c r="D233" t="str">
        <f>IF(allExpenses_table[[#This Row],[Date]]="","",TEXT(allExpenses_table[[#This Row],[Date]],"mmmm"))</f>
        <v/>
      </c>
      <c r="H233" s="199"/>
      <c r="I233" s="200"/>
      <c r="J233" s="216"/>
      <c r="K233" s="193"/>
      <c r="L233" s="193"/>
      <c r="M233" s="194"/>
    </row>
    <row r="234" spans="1:13" x14ac:dyDescent="0.3">
      <c r="A234" s="2"/>
      <c r="B234" s="158"/>
      <c r="C234" s="234"/>
      <c r="D234" t="str">
        <f>IF(allExpenses_table[[#This Row],[Date]]="","",TEXT(allExpenses_table[[#This Row],[Date]],"mmmm"))</f>
        <v/>
      </c>
      <c r="H234" s="203"/>
      <c r="I234" s="204"/>
      <c r="J234" s="217"/>
      <c r="K234" s="192"/>
      <c r="L234" s="192"/>
      <c r="M234" s="52"/>
    </row>
    <row r="235" spans="1:13" x14ac:dyDescent="0.3">
      <c r="A235" s="2"/>
      <c r="B235" s="158"/>
      <c r="C235" s="234"/>
      <c r="D235" t="str">
        <f>IF(allExpenses_table[[#This Row],[Date]]="","",TEXT(allExpenses_table[[#This Row],[Date]],"mmmm"))</f>
        <v/>
      </c>
      <c r="H235" s="199"/>
      <c r="I235" s="200"/>
      <c r="J235" s="216"/>
      <c r="K235" s="193"/>
      <c r="L235" s="193"/>
      <c r="M235" s="194"/>
    </row>
    <row r="236" spans="1:13" x14ac:dyDescent="0.3">
      <c r="A236" s="2"/>
      <c r="B236" s="158"/>
      <c r="C236" s="234"/>
      <c r="D236" t="str">
        <f>IF(allExpenses_table[[#This Row],[Date]]="","",TEXT(allExpenses_table[[#This Row],[Date]],"mmmm"))</f>
        <v/>
      </c>
      <c r="H236" s="203"/>
      <c r="I236" s="204"/>
      <c r="J236" s="217"/>
      <c r="K236" s="192"/>
      <c r="L236" s="192"/>
      <c r="M236" s="52"/>
    </row>
    <row r="237" spans="1:13" x14ac:dyDescent="0.3">
      <c r="A237" s="2"/>
      <c r="B237" s="158"/>
      <c r="C237" s="234"/>
      <c r="D237" t="str">
        <f>IF(allExpenses_table[[#This Row],[Date]]="","",TEXT(allExpenses_table[[#This Row],[Date]],"mmmm"))</f>
        <v/>
      </c>
      <c r="H237" s="199"/>
      <c r="I237" s="200"/>
      <c r="J237" s="216"/>
      <c r="K237" s="193"/>
      <c r="L237" s="193"/>
      <c r="M237" s="194"/>
    </row>
    <row r="238" spans="1:13" x14ac:dyDescent="0.3">
      <c r="A238" s="2"/>
      <c r="B238" s="158"/>
      <c r="C238" s="234"/>
      <c r="D238" t="str">
        <f>IF(allExpenses_table[[#This Row],[Date]]="","",TEXT(allExpenses_table[[#This Row],[Date]],"mmmm"))</f>
        <v/>
      </c>
      <c r="H238" s="203"/>
      <c r="I238" s="204"/>
      <c r="J238" s="217"/>
      <c r="K238" s="192"/>
      <c r="L238" s="192"/>
      <c r="M238" s="52"/>
    </row>
    <row r="239" spans="1:13" x14ac:dyDescent="0.3">
      <c r="A239" s="2"/>
      <c r="B239" s="158"/>
      <c r="C239" s="234"/>
      <c r="D239" t="str">
        <f>IF(allExpenses_table[[#This Row],[Date]]="","",TEXT(allExpenses_table[[#This Row],[Date]],"mmmm"))</f>
        <v/>
      </c>
      <c r="H239" s="199"/>
      <c r="I239" s="200"/>
      <c r="J239" s="216"/>
      <c r="K239" s="193"/>
      <c r="L239" s="193"/>
      <c r="M239" s="194"/>
    </row>
    <row r="240" spans="1:13" x14ac:dyDescent="0.3">
      <c r="A240" s="2"/>
      <c r="B240" s="158"/>
      <c r="C240" s="234"/>
      <c r="D240" t="str">
        <f>IF(allExpenses_table[[#This Row],[Date]]="","",TEXT(allExpenses_table[[#This Row],[Date]],"mmmm"))</f>
        <v/>
      </c>
      <c r="H240" s="203"/>
      <c r="I240" s="204"/>
      <c r="J240" s="217"/>
      <c r="K240" s="192"/>
      <c r="L240" s="192"/>
      <c r="M240" s="52"/>
    </row>
    <row r="241" spans="1:13" x14ac:dyDescent="0.3">
      <c r="A241" s="2"/>
      <c r="B241" s="158"/>
      <c r="C241" s="234"/>
      <c r="D241" t="str">
        <f>IF(allExpenses_table[[#This Row],[Date]]="","",TEXT(allExpenses_table[[#This Row],[Date]],"mmmm"))</f>
        <v/>
      </c>
      <c r="H241" s="199"/>
      <c r="I241" s="200"/>
      <c r="J241" s="216"/>
      <c r="K241" s="193"/>
      <c r="L241" s="193"/>
      <c r="M241" s="194"/>
    </row>
    <row r="242" spans="1:13" x14ac:dyDescent="0.3">
      <c r="A242" s="2"/>
      <c r="B242" s="158"/>
      <c r="C242" s="234"/>
      <c r="D242" t="str">
        <f>IF(allExpenses_table[[#This Row],[Date]]="","",TEXT(allExpenses_table[[#This Row],[Date]],"mmmm"))</f>
        <v/>
      </c>
      <c r="H242" s="203"/>
      <c r="I242" s="204"/>
      <c r="J242" s="217"/>
      <c r="K242" s="192"/>
      <c r="L242" s="192"/>
      <c r="M242" s="52"/>
    </row>
    <row r="243" spans="1:13" x14ac:dyDescent="0.3">
      <c r="A243" s="2"/>
      <c r="B243" s="158"/>
      <c r="C243" s="234"/>
      <c r="D243" t="str">
        <f>IF(allExpenses_table[[#This Row],[Date]]="","",TEXT(allExpenses_table[[#This Row],[Date]],"mmmm"))</f>
        <v/>
      </c>
      <c r="H243" s="199"/>
      <c r="I243" s="200"/>
      <c r="J243" s="216"/>
      <c r="K243" s="193"/>
      <c r="L243" s="193"/>
      <c r="M243" s="194"/>
    </row>
    <row r="244" spans="1:13" x14ac:dyDescent="0.3">
      <c r="A244" s="2"/>
      <c r="B244" s="158"/>
      <c r="C244" s="234"/>
      <c r="D244" t="str">
        <f>IF(allExpenses_table[[#This Row],[Date]]="","",TEXT(allExpenses_table[[#This Row],[Date]],"mmmm"))</f>
        <v/>
      </c>
      <c r="H244" s="203"/>
      <c r="I244" s="204"/>
      <c r="J244" s="217"/>
      <c r="K244" s="192"/>
      <c r="L244" s="192"/>
      <c r="M244" s="52"/>
    </row>
    <row r="245" spans="1:13" x14ac:dyDescent="0.3">
      <c r="A245" s="2"/>
      <c r="B245" s="158"/>
      <c r="C245" s="234"/>
      <c r="D245" t="str">
        <f>IF(allExpenses_table[[#This Row],[Date]]="","",TEXT(allExpenses_table[[#This Row],[Date]],"mmmm"))</f>
        <v/>
      </c>
      <c r="H245" s="199"/>
      <c r="I245" s="200"/>
      <c r="J245" s="216"/>
      <c r="K245" s="193"/>
      <c r="L245" s="193"/>
      <c r="M245" s="194"/>
    </row>
    <row r="246" spans="1:13" x14ac:dyDescent="0.3">
      <c r="A246" s="2"/>
      <c r="B246" s="158"/>
      <c r="C246" s="234"/>
      <c r="D246" t="str">
        <f>IF(allExpenses_table[[#This Row],[Date]]="","",TEXT(allExpenses_table[[#This Row],[Date]],"mmmm"))</f>
        <v/>
      </c>
      <c r="H246" s="203"/>
      <c r="I246" s="204"/>
      <c r="J246" s="217"/>
      <c r="K246" s="192"/>
      <c r="L246" s="192"/>
      <c r="M246" s="52"/>
    </row>
    <row r="247" spans="1:13" x14ac:dyDescent="0.3">
      <c r="A247" s="2"/>
      <c r="B247" s="158"/>
      <c r="C247" s="234"/>
      <c r="D247" t="str">
        <f>IF(allExpenses_table[[#This Row],[Date]]="","",TEXT(allExpenses_table[[#This Row],[Date]],"mmmm"))</f>
        <v/>
      </c>
      <c r="H247" s="199"/>
      <c r="I247" s="200"/>
      <c r="J247" s="216"/>
      <c r="K247" s="193"/>
      <c r="L247" s="193"/>
      <c r="M247" s="194"/>
    </row>
    <row r="248" spans="1:13" x14ac:dyDescent="0.3">
      <c r="A248" s="2"/>
      <c r="B248" s="158"/>
      <c r="C248" s="234"/>
      <c r="D248" t="str">
        <f>IF(allExpenses_table[[#This Row],[Date]]="","",TEXT(allExpenses_table[[#This Row],[Date]],"mmmm"))</f>
        <v/>
      </c>
      <c r="H248" s="203"/>
      <c r="I248" s="204"/>
      <c r="J248" s="217"/>
      <c r="K248" s="192"/>
      <c r="L248" s="192"/>
      <c r="M248" s="52"/>
    </row>
    <row r="249" spans="1:13" x14ac:dyDescent="0.3">
      <c r="A249" s="2"/>
      <c r="B249" s="158"/>
      <c r="C249" s="234"/>
      <c r="D249" t="str">
        <f>IF(allExpenses_table[[#This Row],[Date]]="","",TEXT(allExpenses_table[[#This Row],[Date]],"mmmm"))</f>
        <v/>
      </c>
      <c r="H249" s="199"/>
      <c r="I249" s="200"/>
      <c r="J249" s="216"/>
      <c r="K249" s="193"/>
      <c r="L249" s="193"/>
      <c r="M249" s="194"/>
    </row>
    <row r="250" spans="1:13" x14ac:dyDescent="0.3">
      <c r="A250" s="2"/>
      <c r="B250" s="158"/>
      <c r="C250" s="234"/>
      <c r="D250" t="str">
        <f>IF(allExpenses_table[[#This Row],[Date]]="","",TEXT(allExpenses_table[[#This Row],[Date]],"mmmm"))</f>
        <v/>
      </c>
      <c r="H250" s="203"/>
      <c r="I250" s="204"/>
      <c r="J250" s="217"/>
      <c r="K250" s="192"/>
      <c r="L250" s="192"/>
      <c r="M250" s="52"/>
    </row>
    <row r="251" spans="1:13" x14ac:dyDescent="0.3">
      <c r="A251" s="2"/>
      <c r="B251" s="158"/>
      <c r="C251" s="234"/>
      <c r="D251" t="str">
        <f>IF(allExpenses_table[[#This Row],[Date]]="","",TEXT(allExpenses_table[[#This Row],[Date]],"mmmm"))</f>
        <v/>
      </c>
      <c r="H251" s="199"/>
      <c r="I251" s="200"/>
      <c r="J251" s="216"/>
      <c r="K251" s="193"/>
      <c r="L251" s="193"/>
      <c r="M251" s="194"/>
    </row>
    <row r="252" spans="1:13" x14ac:dyDescent="0.3">
      <c r="A252" s="2"/>
      <c r="B252" s="158"/>
      <c r="C252" s="234"/>
      <c r="D252" t="str">
        <f>IF(allExpenses_table[[#This Row],[Date]]="","",TEXT(allExpenses_table[[#This Row],[Date]],"mmmm"))</f>
        <v/>
      </c>
      <c r="H252" s="203"/>
      <c r="I252" s="204"/>
      <c r="J252" s="217"/>
      <c r="K252" s="192"/>
      <c r="L252" s="192"/>
      <c r="M252" s="52"/>
    </row>
    <row r="253" spans="1:13" x14ac:dyDescent="0.3">
      <c r="A253" s="2"/>
      <c r="B253" s="158"/>
      <c r="C253" s="234"/>
      <c r="D253" t="str">
        <f>IF(allExpenses_table[[#This Row],[Date]]="","",TEXT(allExpenses_table[[#This Row],[Date]],"mmmm"))</f>
        <v/>
      </c>
      <c r="H253" s="199"/>
      <c r="I253" s="200"/>
      <c r="J253" s="216"/>
      <c r="K253" s="193"/>
      <c r="L253" s="193"/>
      <c r="M253" s="194"/>
    </row>
    <row r="254" spans="1:13" x14ac:dyDescent="0.3">
      <c r="A254" s="2"/>
      <c r="B254" s="158"/>
      <c r="C254" s="234"/>
      <c r="D254" t="str">
        <f>IF(allExpenses_table[[#This Row],[Date]]="","",TEXT(allExpenses_table[[#This Row],[Date]],"mmmm"))</f>
        <v/>
      </c>
      <c r="H254" s="203"/>
      <c r="I254" s="204"/>
      <c r="J254" s="217"/>
      <c r="K254" s="192"/>
      <c r="L254" s="192"/>
      <c r="M254" s="52"/>
    </row>
    <row r="255" spans="1:13" x14ac:dyDescent="0.3">
      <c r="A255" s="2"/>
      <c r="B255" s="158"/>
      <c r="C255" s="234"/>
      <c r="D255" t="str">
        <f>IF(allExpenses_table[[#This Row],[Date]]="","",TEXT(allExpenses_table[[#This Row],[Date]],"mmmm"))</f>
        <v/>
      </c>
      <c r="H255" s="199"/>
      <c r="I255" s="200"/>
      <c r="J255" s="216"/>
      <c r="K255" s="193"/>
      <c r="L255" s="193"/>
      <c r="M255" s="194"/>
    </row>
    <row r="256" spans="1:13" x14ac:dyDescent="0.3">
      <c r="A256" s="2"/>
      <c r="B256" s="158"/>
      <c r="C256" s="234"/>
      <c r="D256" t="str">
        <f>IF(allExpenses_table[[#This Row],[Date]]="","",TEXT(allExpenses_table[[#This Row],[Date]],"mmmm"))</f>
        <v/>
      </c>
      <c r="H256" s="203"/>
      <c r="I256" s="204"/>
      <c r="J256" s="217"/>
      <c r="K256" s="192"/>
      <c r="L256" s="192"/>
      <c r="M256" s="52"/>
    </row>
    <row r="257" spans="1:13" x14ac:dyDescent="0.3">
      <c r="A257" s="2"/>
      <c r="B257" s="158"/>
      <c r="C257" s="234"/>
      <c r="D257" t="str">
        <f>IF(allExpenses_table[[#This Row],[Date]]="","",TEXT(allExpenses_table[[#This Row],[Date]],"mmmm"))</f>
        <v/>
      </c>
      <c r="H257" s="199"/>
      <c r="I257" s="200"/>
      <c r="J257" s="216"/>
      <c r="K257" s="193"/>
      <c r="L257" s="193"/>
      <c r="M257" s="194"/>
    </row>
    <row r="258" spans="1:13" x14ac:dyDescent="0.3">
      <c r="A258" s="2"/>
      <c r="B258" s="158"/>
      <c r="C258" s="234"/>
      <c r="D258" t="str">
        <f>IF(allExpenses_table[[#This Row],[Date]]="","",TEXT(allExpenses_table[[#This Row],[Date]],"mmmm"))</f>
        <v/>
      </c>
      <c r="H258" s="203"/>
      <c r="I258" s="204"/>
      <c r="J258" s="217"/>
      <c r="K258" s="192"/>
      <c r="L258" s="192"/>
      <c r="M258" s="52"/>
    </row>
    <row r="259" spans="1:13" x14ac:dyDescent="0.3">
      <c r="A259" s="2"/>
      <c r="B259" s="158"/>
      <c r="C259" s="234"/>
      <c r="D259" t="str">
        <f>IF(allExpenses_table[[#This Row],[Date]]="","",TEXT(allExpenses_table[[#This Row],[Date]],"mmmm"))</f>
        <v/>
      </c>
      <c r="H259" s="199"/>
      <c r="I259" s="200"/>
      <c r="J259" s="216"/>
      <c r="K259" s="193"/>
      <c r="L259" s="193"/>
      <c r="M259" s="194"/>
    </row>
    <row r="260" spans="1:13" x14ac:dyDescent="0.3">
      <c r="A260" s="2"/>
      <c r="B260" s="158"/>
      <c r="C260" s="234"/>
      <c r="D260" t="str">
        <f>IF(allExpenses_table[[#This Row],[Date]]="","",TEXT(allExpenses_table[[#This Row],[Date]],"mmmm"))</f>
        <v/>
      </c>
      <c r="H260" s="203"/>
      <c r="I260" s="204"/>
      <c r="J260" s="217"/>
      <c r="K260" s="192"/>
      <c r="L260" s="192"/>
      <c r="M260" s="52"/>
    </row>
    <row r="261" spans="1:13" x14ac:dyDescent="0.3">
      <c r="A261" s="2"/>
      <c r="B261" s="158"/>
      <c r="C261" s="234"/>
      <c r="D261" t="str">
        <f>IF(allExpenses_table[[#This Row],[Date]]="","",TEXT(allExpenses_table[[#This Row],[Date]],"mmmm"))</f>
        <v/>
      </c>
      <c r="H261" s="199"/>
      <c r="I261" s="200"/>
      <c r="J261" s="216"/>
      <c r="K261" s="193"/>
      <c r="L261" s="193"/>
      <c r="M261" s="194"/>
    </row>
    <row r="262" spans="1:13" x14ac:dyDescent="0.3">
      <c r="A262" s="2"/>
      <c r="B262" s="158"/>
      <c r="C262" s="234"/>
      <c r="D262" t="str">
        <f>IF(allExpenses_table[[#This Row],[Date]]="","",TEXT(allExpenses_table[[#This Row],[Date]],"mmmm"))</f>
        <v/>
      </c>
      <c r="H262" s="203"/>
      <c r="I262" s="204"/>
      <c r="J262" s="217"/>
      <c r="K262" s="192"/>
      <c r="L262" s="192"/>
      <c r="M262" s="52"/>
    </row>
    <row r="263" spans="1:13" x14ac:dyDescent="0.3">
      <c r="A263" s="2"/>
      <c r="B263" s="158"/>
      <c r="C263" s="234"/>
      <c r="D263" t="str">
        <f>IF(allExpenses_table[[#This Row],[Date]]="","",TEXT(allExpenses_table[[#This Row],[Date]],"mmmm"))</f>
        <v/>
      </c>
      <c r="H263" s="199"/>
      <c r="I263" s="200"/>
      <c r="J263" s="216"/>
      <c r="K263" s="193"/>
      <c r="L263" s="193"/>
      <c r="M263" s="194"/>
    </row>
    <row r="264" spans="1:13" x14ac:dyDescent="0.3">
      <c r="A264" s="2"/>
      <c r="B264" s="158"/>
      <c r="C264" s="234"/>
      <c r="D264" t="str">
        <f>IF(allExpenses_table[[#This Row],[Date]]="","",TEXT(allExpenses_table[[#This Row],[Date]],"mmmm"))</f>
        <v/>
      </c>
      <c r="H264" s="203"/>
      <c r="I264" s="204"/>
      <c r="J264" s="217"/>
      <c r="K264" s="192"/>
      <c r="L264" s="192"/>
      <c r="M264" s="52"/>
    </row>
    <row r="265" spans="1:13" x14ac:dyDescent="0.3">
      <c r="A265" s="2"/>
      <c r="B265" s="158"/>
      <c r="C265" s="234"/>
      <c r="D265" t="str">
        <f>IF(allExpenses_table[[#This Row],[Date]]="","",TEXT(allExpenses_table[[#This Row],[Date]],"mmmm"))</f>
        <v/>
      </c>
      <c r="H265" s="199"/>
      <c r="I265" s="200"/>
      <c r="J265" s="216"/>
      <c r="K265" s="193"/>
      <c r="L265" s="193"/>
      <c r="M265" s="194"/>
    </row>
    <row r="266" spans="1:13" x14ac:dyDescent="0.3">
      <c r="A266" s="2"/>
      <c r="B266" s="158"/>
      <c r="C266" s="234"/>
      <c r="D266" t="str">
        <f>IF(allExpenses_table[[#This Row],[Date]]="","",TEXT(allExpenses_table[[#This Row],[Date]],"mmmm"))</f>
        <v/>
      </c>
      <c r="H266" s="203"/>
      <c r="I266" s="204"/>
      <c r="J266" s="217"/>
      <c r="K266" s="192"/>
      <c r="L266" s="192"/>
      <c r="M266" s="52"/>
    </row>
    <row r="267" spans="1:13" x14ac:dyDescent="0.3">
      <c r="A267" s="2"/>
      <c r="B267" s="158"/>
      <c r="C267" s="234"/>
      <c r="D267" t="str">
        <f>IF(allExpenses_table[[#This Row],[Date]]="","",TEXT(allExpenses_table[[#This Row],[Date]],"mmmm"))</f>
        <v/>
      </c>
      <c r="H267" s="199"/>
      <c r="I267" s="200"/>
      <c r="J267" s="216"/>
      <c r="K267" s="193"/>
      <c r="L267" s="193"/>
      <c r="M267" s="194"/>
    </row>
    <row r="268" spans="1:13" x14ac:dyDescent="0.3">
      <c r="A268" s="2"/>
      <c r="B268" s="158"/>
      <c r="C268" s="234"/>
      <c r="D268" t="str">
        <f>IF(allExpenses_table[[#This Row],[Date]]="","",TEXT(allExpenses_table[[#This Row],[Date]],"mmmm"))</f>
        <v/>
      </c>
      <c r="H268" s="203"/>
      <c r="I268" s="204"/>
      <c r="J268" s="217"/>
      <c r="K268" s="192"/>
      <c r="L268" s="192"/>
      <c r="M268" s="52"/>
    </row>
    <row r="269" spans="1:13" x14ac:dyDescent="0.3">
      <c r="A269" s="2"/>
      <c r="B269" s="158"/>
      <c r="C269" s="234"/>
      <c r="D269" t="str">
        <f>IF(allExpenses_table[[#This Row],[Date]]="","",TEXT(allExpenses_table[[#This Row],[Date]],"mmmm"))</f>
        <v/>
      </c>
      <c r="H269" s="199"/>
      <c r="I269" s="200"/>
      <c r="J269" s="216"/>
      <c r="K269" s="193"/>
      <c r="L269" s="193"/>
      <c r="M269" s="194"/>
    </row>
    <row r="270" spans="1:13" x14ac:dyDescent="0.3">
      <c r="A270" s="2"/>
      <c r="B270" s="158"/>
      <c r="C270" s="234"/>
      <c r="D270" t="str">
        <f>IF(allExpenses_table[[#This Row],[Date]]="","",TEXT(allExpenses_table[[#This Row],[Date]],"mmmm"))</f>
        <v/>
      </c>
      <c r="H270" s="203"/>
      <c r="I270" s="204"/>
      <c r="J270" s="217"/>
      <c r="K270" s="192"/>
      <c r="L270" s="192"/>
      <c r="M270" s="52"/>
    </row>
    <row r="271" spans="1:13" x14ac:dyDescent="0.3">
      <c r="A271" s="2"/>
      <c r="B271" s="158"/>
      <c r="C271" s="234"/>
      <c r="D271" t="str">
        <f>IF(allExpenses_table[[#This Row],[Date]]="","",TEXT(allExpenses_table[[#This Row],[Date]],"mmmm"))</f>
        <v/>
      </c>
      <c r="H271" s="199"/>
      <c r="I271" s="200"/>
      <c r="J271" s="216"/>
      <c r="K271" s="193"/>
      <c r="L271" s="193"/>
      <c r="M271" s="194"/>
    </row>
    <row r="272" spans="1:13" x14ac:dyDescent="0.3">
      <c r="A272" s="2"/>
      <c r="B272" s="158"/>
      <c r="C272" s="234"/>
      <c r="D272" t="str">
        <f>IF(allExpenses_table[[#This Row],[Date]]="","",TEXT(allExpenses_table[[#This Row],[Date]],"mmmm"))</f>
        <v/>
      </c>
      <c r="H272" s="203"/>
      <c r="I272" s="204"/>
      <c r="J272" s="217"/>
      <c r="K272" s="192"/>
      <c r="L272" s="192"/>
      <c r="M272" s="52"/>
    </row>
    <row r="273" spans="1:13" x14ac:dyDescent="0.3">
      <c r="A273" s="2"/>
      <c r="B273" s="158"/>
      <c r="C273" s="234"/>
      <c r="D273" t="str">
        <f>IF(allExpenses_table[[#This Row],[Date]]="","",TEXT(allExpenses_table[[#This Row],[Date]],"mmmm"))</f>
        <v/>
      </c>
      <c r="H273" s="199"/>
      <c r="I273" s="200"/>
      <c r="J273" s="216"/>
      <c r="K273" s="193"/>
      <c r="L273" s="193"/>
      <c r="M273" s="194"/>
    </row>
    <row r="274" spans="1:13" x14ac:dyDescent="0.3">
      <c r="A274" s="2"/>
      <c r="B274" s="158"/>
      <c r="C274" s="234"/>
      <c r="D274" t="str">
        <f>IF(allExpenses_table[[#This Row],[Date]]="","",TEXT(allExpenses_table[[#This Row],[Date]],"mmmm"))</f>
        <v/>
      </c>
      <c r="H274" s="203"/>
      <c r="I274" s="204"/>
      <c r="J274" s="217"/>
      <c r="K274" s="192"/>
      <c r="L274" s="192"/>
      <c r="M274" s="52"/>
    </row>
    <row r="275" spans="1:13" x14ac:dyDescent="0.3">
      <c r="A275" s="2"/>
      <c r="B275" s="158"/>
      <c r="C275" s="234"/>
      <c r="D275" t="str">
        <f>IF(allExpenses_table[[#This Row],[Date]]="","",TEXT(allExpenses_table[[#This Row],[Date]],"mmmm"))</f>
        <v/>
      </c>
      <c r="H275" s="199"/>
      <c r="I275" s="200"/>
      <c r="J275" s="216"/>
      <c r="K275" s="193"/>
      <c r="L275" s="193"/>
      <c r="M275" s="194"/>
    </row>
    <row r="276" spans="1:13" x14ac:dyDescent="0.3">
      <c r="A276" s="2"/>
      <c r="B276" s="158"/>
      <c r="C276" s="234"/>
      <c r="D276" t="str">
        <f>IF(allExpenses_table[[#This Row],[Date]]="","",TEXT(allExpenses_table[[#This Row],[Date]],"mmmm"))</f>
        <v/>
      </c>
      <c r="H276" s="203"/>
      <c r="I276" s="204"/>
      <c r="J276" s="217"/>
      <c r="K276" s="192"/>
      <c r="L276" s="192"/>
      <c r="M276" s="52"/>
    </row>
    <row r="277" spans="1:13" x14ac:dyDescent="0.3">
      <c r="A277" s="2"/>
      <c r="B277" s="158"/>
      <c r="C277" s="234"/>
      <c r="D277" t="str">
        <f>IF(allExpenses_table[[#This Row],[Date]]="","",TEXT(allExpenses_table[[#This Row],[Date]],"mmmm"))</f>
        <v/>
      </c>
      <c r="H277" s="199"/>
      <c r="I277" s="200"/>
      <c r="J277" s="216"/>
      <c r="K277" s="193"/>
      <c r="L277" s="193"/>
      <c r="M277" s="194"/>
    </row>
    <row r="278" spans="1:13" x14ac:dyDescent="0.3">
      <c r="A278" s="2"/>
      <c r="B278" s="158"/>
      <c r="C278" s="234"/>
      <c r="D278" t="str">
        <f>IF(allExpenses_table[[#This Row],[Date]]="","",TEXT(allExpenses_table[[#This Row],[Date]],"mmmm"))</f>
        <v/>
      </c>
      <c r="H278" s="203"/>
      <c r="I278" s="204"/>
      <c r="J278" s="217"/>
      <c r="K278" s="192"/>
      <c r="L278" s="192"/>
      <c r="M278" s="52"/>
    </row>
    <row r="279" spans="1:13" x14ac:dyDescent="0.3">
      <c r="A279" s="2"/>
      <c r="B279" s="158"/>
      <c r="C279" s="234"/>
      <c r="D279" t="str">
        <f>IF(allExpenses_table[[#This Row],[Date]]="","",TEXT(allExpenses_table[[#This Row],[Date]],"mmmm"))</f>
        <v/>
      </c>
      <c r="H279" s="199"/>
      <c r="I279" s="200"/>
      <c r="J279" s="216"/>
      <c r="K279" s="193"/>
      <c r="L279" s="193"/>
      <c r="M279" s="194"/>
    </row>
    <row r="280" spans="1:13" x14ac:dyDescent="0.3">
      <c r="A280" s="2"/>
      <c r="B280" s="158"/>
      <c r="C280" s="234"/>
      <c r="D280" t="str">
        <f>IF(allExpenses_table[[#This Row],[Date]]="","",TEXT(allExpenses_table[[#This Row],[Date]],"mmmm"))</f>
        <v/>
      </c>
      <c r="H280" s="203"/>
      <c r="I280" s="204"/>
      <c r="J280" s="217"/>
      <c r="K280" s="192"/>
      <c r="L280" s="192"/>
      <c r="M280" s="52"/>
    </row>
    <row r="281" spans="1:13" x14ac:dyDescent="0.3">
      <c r="A281" s="2"/>
      <c r="B281" s="158"/>
      <c r="C281" s="234"/>
      <c r="D281" t="str">
        <f>IF(allExpenses_table[[#This Row],[Date]]="","",TEXT(allExpenses_table[[#This Row],[Date]],"mmmm"))</f>
        <v/>
      </c>
      <c r="H281" s="199"/>
      <c r="I281" s="200"/>
      <c r="J281" s="216"/>
      <c r="K281" s="193"/>
      <c r="L281" s="193"/>
      <c r="M281" s="194"/>
    </row>
    <row r="282" spans="1:13" x14ac:dyDescent="0.3">
      <c r="A282" s="2"/>
      <c r="B282" s="158"/>
      <c r="C282" s="234"/>
      <c r="D282" t="str">
        <f>IF(allExpenses_table[[#This Row],[Date]]="","",TEXT(allExpenses_table[[#This Row],[Date]],"mmmm"))</f>
        <v/>
      </c>
      <c r="H282" s="203"/>
      <c r="I282" s="204"/>
      <c r="J282" s="217"/>
      <c r="K282" s="192"/>
      <c r="L282" s="192"/>
      <c r="M282" s="52"/>
    </row>
    <row r="283" spans="1:13" x14ac:dyDescent="0.3">
      <c r="A283" s="2"/>
      <c r="B283" s="158"/>
      <c r="C283" s="234"/>
      <c r="D283" t="str">
        <f>IF(allExpenses_table[[#This Row],[Date]]="","",TEXT(allExpenses_table[[#This Row],[Date]],"mmmm"))</f>
        <v/>
      </c>
      <c r="H283" s="199"/>
      <c r="I283" s="200"/>
      <c r="J283" s="216"/>
      <c r="K283" s="193"/>
      <c r="L283" s="193"/>
      <c r="M283" s="194"/>
    </row>
    <row r="284" spans="1:13" x14ac:dyDescent="0.3">
      <c r="A284" s="2"/>
      <c r="B284" s="158"/>
      <c r="C284" s="234"/>
      <c r="D284" t="str">
        <f>IF(allExpenses_table[[#This Row],[Date]]="","",TEXT(allExpenses_table[[#This Row],[Date]],"mmmm"))</f>
        <v/>
      </c>
      <c r="H284" s="203"/>
      <c r="I284" s="204"/>
      <c r="J284" s="217"/>
      <c r="K284" s="192"/>
      <c r="L284" s="192"/>
      <c r="M284" s="52"/>
    </row>
    <row r="285" spans="1:13" x14ac:dyDescent="0.3">
      <c r="A285" s="2"/>
      <c r="B285" s="158"/>
      <c r="C285" s="234"/>
      <c r="D285" t="str">
        <f>IF(allExpenses_table[[#This Row],[Date]]="","",TEXT(allExpenses_table[[#This Row],[Date]],"mmmm"))</f>
        <v/>
      </c>
      <c r="H285" s="199"/>
      <c r="I285" s="200"/>
      <c r="J285" s="216"/>
      <c r="K285" s="193"/>
      <c r="L285" s="193"/>
      <c r="M285" s="194"/>
    </row>
    <row r="286" spans="1:13" x14ac:dyDescent="0.3">
      <c r="A286" s="2"/>
      <c r="B286" s="158"/>
      <c r="C286" s="234"/>
      <c r="D286" t="str">
        <f>IF(allExpenses_table[[#This Row],[Date]]="","",TEXT(allExpenses_table[[#This Row],[Date]],"mmmm"))</f>
        <v/>
      </c>
      <c r="H286" s="203"/>
      <c r="I286" s="204"/>
      <c r="J286" s="217"/>
      <c r="K286" s="192"/>
      <c r="L286" s="192"/>
      <c r="M286" s="52"/>
    </row>
    <row r="287" spans="1:13" x14ac:dyDescent="0.3">
      <c r="A287" s="2"/>
      <c r="B287" s="158"/>
      <c r="C287" s="234"/>
      <c r="D287" t="str">
        <f>IF(allExpenses_table[[#This Row],[Date]]="","",TEXT(allExpenses_table[[#This Row],[Date]],"mmmm"))</f>
        <v/>
      </c>
      <c r="H287" s="199"/>
      <c r="I287" s="200"/>
      <c r="J287" s="216"/>
      <c r="K287" s="193"/>
      <c r="L287" s="193"/>
      <c r="M287" s="194"/>
    </row>
    <row r="288" spans="1:13" x14ac:dyDescent="0.3">
      <c r="A288" s="2"/>
      <c r="B288" s="158"/>
      <c r="C288" s="234"/>
      <c r="D288" t="str">
        <f>IF(allExpenses_table[[#This Row],[Date]]="","",TEXT(allExpenses_table[[#This Row],[Date]],"mmmm"))</f>
        <v/>
      </c>
      <c r="H288" s="203"/>
      <c r="I288" s="204"/>
      <c r="J288" s="217"/>
      <c r="K288" s="192"/>
      <c r="L288" s="192"/>
      <c r="M288" s="52"/>
    </row>
    <row r="289" spans="1:13" x14ac:dyDescent="0.3">
      <c r="A289" s="2"/>
      <c r="B289" s="158"/>
      <c r="C289" s="234"/>
      <c r="D289" t="str">
        <f>IF(allExpenses_table[[#This Row],[Date]]="","",TEXT(allExpenses_table[[#This Row],[Date]],"mmmm"))</f>
        <v/>
      </c>
      <c r="H289" s="199"/>
      <c r="I289" s="200"/>
      <c r="J289" s="216"/>
      <c r="K289" s="193"/>
      <c r="L289" s="193"/>
      <c r="M289" s="194"/>
    </row>
    <row r="290" spans="1:13" x14ac:dyDescent="0.3">
      <c r="A290" s="2"/>
      <c r="B290" s="158"/>
      <c r="C290" s="234"/>
      <c r="D290" t="str">
        <f>IF(allExpenses_table[[#This Row],[Date]]="","",TEXT(allExpenses_table[[#This Row],[Date]],"mmmm"))</f>
        <v/>
      </c>
      <c r="H290" s="203"/>
      <c r="I290" s="204"/>
      <c r="J290" s="217"/>
      <c r="K290" s="192"/>
      <c r="L290" s="192"/>
      <c r="M290" s="52"/>
    </row>
    <row r="291" spans="1:13" x14ac:dyDescent="0.3">
      <c r="A291" s="2"/>
      <c r="B291" s="158"/>
      <c r="C291" s="234"/>
      <c r="D291" t="str">
        <f>IF(allExpenses_table[[#This Row],[Date]]="","",TEXT(allExpenses_table[[#This Row],[Date]],"mmmm"))</f>
        <v/>
      </c>
      <c r="H291" s="199"/>
      <c r="I291" s="200"/>
      <c r="J291" s="216"/>
      <c r="K291" s="193"/>
      <c r="L291" s="193"/>
      <c r="M291" s="194"/>
    </row>
    <row r="292" spans="1:13" x14ac:dyDescent="0.3">
      <c r="A292" s="2"/>
      <c r="B292" s="158"/>
      <c r="C292" s="234"/>
      <c r="D292" t="str">
        <f>IF(allExpenses_table[[#This Row],[Date]]="","",TEXT(allExpenses_table[[#This Row],[Date]],"mmmm"))</f>
        <v/>
      </c>
      <c r="H292" s="203"/>
      <c r="I292" s="204"/>
      <c r="J292" s="217"/>
      <c r="K292" s="192"/>
      <c r="L292" s="192"/>
      <c r="M292" s="52"/>
    </row>
    <row r="293" spans="1:13" x14ac:dyDescent="0.3">
      <c r="A293" s="2"/>
      <c r="B293" s="158"/>
      <c r="C293" s="234"/>
      <c r="D293" t="str">
        <f>IF(allExpenses_table[[#This Row],[Date]]="","",TEXT(allExpenses_table[[#This Row],[Date]],"mmmm"))</f>
        <v/>
      </c>
      <c r="H293" s="199"/>
      <c r="I293" s="200"/>
      <c r="J293" s="216"/>
      <c r="K293" s="193"/>
      <c r="L293" s="193"/>
      <c r="M293" s="194"/>
    </row>
    <row r="294" spans="1:13" x14ac:dyDescent="0.3">
      <c r="A294" s="2"/>
      <c r="B294" s="158"/>
      <c r="C294" s="234"/>
      <c r="D294" t="str">
        <f>IF(allExpenses_table[[#This Row],[Date]]="","",TEXT(allExpenses_table[[#This Row],[Date]],"mmmm"))</f>
        <v/>
      </c>
      <c r="H294" s="203"/>
      <c r="I294" s="204"/>
      <c r="J294" s="217"/>
      <c r="K294" s="192"/>
      <c r="L294" s="192"/>
      <c r="M294" s="52"/>
    </row>
    <row r="295" spans="1:13" x14ac:dyDescent="0.3">
      <c r="A295" s="2"/>
      <c r="B295" s="158"/>
      <c r="C295" s="234"/>
      <c r="D295" t="str">
        <f>IF(allExpenses_table[[#This Row],[Date]]="","",TEXT(allExpenses_table[[#This Row],[Date]],"mmmm"))</f>
        <v/>
      </c>
      <c r="H295" s="199"/>
      <c r="I295" s="200"/>
      <c r="J295" s="216"/>
      <c r="K295" s="193"/>
      <c r="L295" s="193"/>
      <c r="M295" s="194"/>
    </row>
    <row r="296" spans="1:13" x14ac:dyDescent="0.3">
      <c r="A296" s="2"/>
      <c r="B296" s="158"/>
      <c r="C296" s="234"/>
      <c r="D296" t="str">
        <f>IF(allExpenses_table[[#This Row],[Date]]="","",TEXT(allExpenses_table[[#This Row],[Date]],"mmmm"))</f>
        <v/>
      </c>
      <c r="H296" s="203"/>
      <c r="I296" s="204"/>
      <c r="J296" s="217"/>
      <c r="K296" s="192"/>
      <c r="L296" s="192"/>
      <c r="M296" s="52"/>
    </row>
    <row r="297" spans="1:13" x14ac:dyDescent="0.3">
      <c r="A297" s="2"/>
      <c r="B297" s="158"/>
      <c r="C297" s="234"/>
      <c r="D297" t="str">
        <f>IF(allExpenses_table[[#This Row],[Date]]="","",TEXT(allExpenses_table[[#This Row],[Date]],"mmmm"))</f>
        <v/>
      </c>
      <c r="H297" s="199"/>
      <c r="I297" s="200"/>
      <c r="J297" s="216"/>
      <c r="K297" s="193"/>
      <c r="L297" s="193"/>
      <c r="M297" s="194"/>
    </row>
    <row r="298" spans="1:13" x14ac:dyDescent="0.3">
      <c r="A298" s="2"/>
      <c r="B298" s="158"/>
      <c r="C298" s="234"/>
      <c r="D298" t="str">
        <f>IF(allExpenses_table[[#This Row],[Date]]="","",TEXT(allExpenses_table[[#This Row],[Date]],"mmmm"))</f>
        <v/>
      </c>
      <c r="H298" s="203"/>
      <c r="I298" s="204"/>
      <c r="J298" s="217"/>
      <c r="K298" s="192"/>
      <c r="L298" s="192"/>
      <c r="M298" s="52"/>
    </row>
    <row r="299" spans="1:13" x14ac:dyDescent="0.3">
      <c r="A299" s="2"/>
      <c r="B299" s="158"/>
      <c r="C299" s="234"/>
      <c r="D299" t="str">
        <f>IF(allExpenses_table[[#This Row],[Date]]="","",TEXT(allExpenses_table[[#This Row],[Date]],"mmmm"))</f>
        <v/>
      </c>
      <c r="H299" s="199"/>
      <c r="I299" s="200"/>
      <c r="J299" s="216"/>
      <c r="K299" s="193"/>
      <c r="L299" s="193"/>
      <c r="M299" s="194"/>
    </row>
    <row r="300" spans="1:13" x14ac:dyDescent="0.3">
      <c r="A300" s="2"/>
      <c r="B300" s="158"/>
      <c r="C300" s="234"/>
      <c r="D300" t="str">
        <f>IF(allExpenses_table[[#This Row],[Date]]="","",TEXT(allExpenses_table[[#This Row],[Date]],"mmmm"))</f>
        <v/>
      </c>
      <c r="H300" s="203"/>
      <c r="I300" s="204"/>
      <c r="J300" s="217"/>
      <c r="K300" s="192"/>
      <c r="L300" s="192"/>
      <c r="M300" s="52"/>
    </row>
    <row r="301" spans="1:13" x14ac:dyDescent="0.3">
      <c r="A301" s="2"/>
      <c r="B301" s="158"/>
      <c r="C301" s="234"/>
      <c r="D301" t="str">
        <f>IF(allExpenses_table[[#This Row],[Date]]="","",TEXT(allExpenses_table[[#This Row],[Date]],"mmmm"))</f>
        <v/>
      </c>
      <c r="H301" s="199"/>
      <c r="I301" s="200"/>
      <c r="J301" s="216"/>
      <c r="K301" s="193"/>
      <c r="L301" s="193"/>
      <c r="M301" s="194"/>
    </row>
    <row r="302" spans="1:13" x14ac:dyDescent="0.3">
      <c r="A302" s="2"/>
      <c r="B302" s="158"/>
      <c r="C302" s="234"/>
      <c r="D302" t="str">
        <f>IF(allExpenses_table[[#This Row],[Date]]="","",TEXT(allExpenses_table[[#This Row],[Date]],"mmmm"))</f>
        <v/>
      </c>
      <c r="H302" s="203"/>
      <c r="I302" s="204"/>
      <c r="J302" s="217"/>
      <c r="K302" s="192"/>
      <c r="L302" s="192"/>
      <c r="M302" s="52"/>
    </row>
    <row r="303" spans="1:13" x14ac:dyDescent="0.3">
      <c r="A303" s="2"/>
      <c r="B303" s="158"/>
      <c r="C303" s="234"/>
      <c r="D303" t="str">
        <f>IF(allExpenses_table[[#This Row],[Date]]="","",TEXT(allExpenses_table[[#This Row],[Date]],"mmmm"))</f>
        <v/>
      </c>
      <c r="H303" s="199"/>
      <c r="I303" s="200"/>
      <c r="J303" s="216"/>
      <c r="K303" s="193"/>
      <c r="L303" s="193"/>
      <c r="M303" s="194"/>
    </row>
    <row r="304" spans="1:13" x14ac:dyDescent="0.3">
      <c r="A304" s="2"/>
      <c r="B304" s="158"/>
      <c r="C304" s="234"/>
      <c r="D304" t="str">
        <f>IF(allExpenses_table[[#This Row],[Date]]="","",TEXT(allExpenses_table[[#This Row],[Date]],"mmmm"))</f>
        <v/>
      </c>
      <c r="H304" s="203"/>
      <c r="I304" s="204"/>
      <c r="J304" s="217"/>
      <c r="K304" s="192"/>
      <c r="L304" s="192"/>
      <c r="M304" s="52"/>
    </row>
    <row r="305" spans="1:13" x14ac:dyDescent="0.3">
      <c r="A305" s="2"/>
      <c r="B305" s="158"/>
      <c r="C305" s="234"/>
      <c r="D305" t="str">
        <f>IF(allExpenses_table[[#This Row],[Date]]="","",TEXT(allExpenses_table[[#This Row],[Date]],"mmmm"))</f>
        <v/>
      </c>
      <c r="H305" s="199"/>
      <c r="I305" s="200"/>
      <c r="J305" s="216"/>
      <c r="K305" s="193"/>
      <c r="L305" s="193"/>
      <c r="M305" s="194"/>
    </row>
    <row r="306" spans="1:13" x14ac:dyDescent="0.3">
      <c r="A306" s="2"/>
      <c r="B306" s="158"/>
      <c r="C306" s="234"/>
      <c r="D306" t="str">
        <f>IF(allExpenses_table[[#This Row],[Date]]="","",TEXT(allExpenses_table[[#This Row],[Date]],"mmmm"))</f>
        <v/>
      </c>
      <c r="H306" s="203"/>
      <c r="I306" s="204"/>
      <c r="J306" s="217"/>
      <c r="K306" s="192"/>
      <c r="L306" s="192"/>
      <c r="M306" s="52"/>
    </row>
    <row r="307" spans="1:13" x14ac:dyDescent="0.3">
      <c r="A307" s="2"/>
      <c r="B307" s="158"/>
      <c r="C307" s="234"/>
      <c r="D307" t="str">
        <f>IF(allExpenses_table[[#This Row],[Date]]="","",TEXT(allExpenses_table[[#This Row],[Date]],"mmmm"))</f>
        <v/>
      </c>
      <c r="H307" s="199"/>
      <c r="I307" s="200"/>
      <c r="J307" s="216"/>
      <c r="K307" s="193"/>
      <c r="L307" s="193"/>
      <c r="M307" s="194"/>
    </row>
    <row r="308" spans="1:13" x14ac:dyDescent="0.3">
      <c r="A308" s="2"/>
      <c r="B308" s="158"/>
      <c r="C308" s="234"/>
      <c r="D308" t="str">
        <f>IF(allExpenses_table[[#This Row],[Date]]="","",TEXT(allExpenses_table[[#This Row],[Date]],"mmmm"))</f>
        <v/>
      </c>
      <c r="H308" s="203"/>
      <c r="I308" s="204"/>
      <c r="J308" s="217"/>
      <c r="K308" s="192"/>
      <c r="L308" s="192"/>
      <c r="M308" s="52"/>
    </row>
    <row r="309" spans="1:13" x14ac:dyDescent="0.3">
      <c r="A309" s="2"/>
      <c r="B309" s="158"/>
      <c r="C309" s="234"/>
      <c r="D309" t="str">
        <f>IF(allExpenses_table[[#This Row],[Date]]="","",TEXT(allExpenses_table[[#This Row],[Date]],"mmmm"))</f>
        <v/>
      </c>
      <c r="H309" s="199"/>
      <c r="I309" s="200"/>
      <c r="J309" s="216"/>
      <c r="K309" s="193"/>
      <c r="L309" s="193"/>
      <c r="M309" s="194"/>
    </row>
    <row r="310" spans="1:13" x14ac:dyDescent="0.3">
      <c r="A310" s="2"/>
      <c r="B310" s="158"/>
      <c r="C310" s="234"/>
      <c r="D310" t="str">
        <f>IF(allExpenses_table[[#This Row],[Date]]="","",TEXT(allExpenses_table[[#This Row],[Date]],"mmmm"))</f>
        <v/>
      </c>
      <c r="H310" s="203"/>
      <c r="I310" s="204"/>
      <c r="J310" s="217"/>
      <c r="K310" s="192"/>
      <c r="L310" s="192"/>
      <c r="M310" s="52"/>
    </row>
    <row r="311" spans="1:13" x14ac:dyDescent="0.3">
      <c r="A311" s="2"/>
      <c r="B311" s="158"/>
      <c r="C311" s="234"/>
      <c r="D311" t="str">
        <f>IF(allExpenses_table[[#This Row],[Date]]="","",TEXT(allExpenses_table[[#This Row],[Date]],"mmmm"))</f>
        <v/>
      </c>
      <c r="H311" s="199"/>
      <c r="I311" s="200"/>
      <c r="J311" s="216"/>
      <c r="K311" s="193"/>
      <c r="L311" s="193"/>
      <c r="M311" s="194"/>
    </row>
    <row r="312" spans="1:13" x14ac:dyDescent="0.3">
      <c r="A312" s="2"/>
      <c r="B312" s="158"/>
      <c r="C312" s="234"/>
      <c r="D312" t="str">
        <f>IF(allExpenses_table[[#This Row],[Date]]="","",TEXT(allExpenses_table[[#This Row],[Date]],"mmmm"))</f>
        <v/>
      </c>
      <c r="H312" s="203"/>
      <c r="I312" s="204"/>
      <c r="J312" s="217"/>
      <c r="K312" s="192"/>
      <c r="L312" s="192"/>
      <c r="M312" s="52"/>
    </row>
    <row r="313" spans="1:13" x14ac:dyDescent="0.3">
      <c r="A313" s="2"/>
      <c r="B313" s="158"/>
      <c r="C313" s="234"/>
      <c r="D313" t="str">
        <f>IF(allExpenses_table[[#This Row],[Date]]="","",TEXT(allExpenses_table[[#This Row],[Date]],"mmmm"))</f>
        <v/>
      </c>
      <c r="H313" s="199"/>
      <c r="I313" s="200"/>
      <c r="J313" s="216"/>
      <c r="K313" s="193"/>
      <c r="L313" s="193"/>
      <c r="M313" s="194"/>
    </row>
    <row r="314" spans="1:13" x14ac:dyDescent="0.3">
      <c r="A314" s="2"/>
      <c r="B314" s="158"/>
      <c r="C314" s="234"/>
      <c r="D314" t="str">
        <f>IF(allExpenses_table[[#This Row],[Date]]="","",TEXT(allExpenses_table[[#This Row],[Date]],"mmmm"))</f>
        <v/>
      </c>
      <c r="H314" s="203"/>
      <c r="I314" s="204"/>
      <c r="J314" s="217"/>
      <c r="K314" s="192"/>
      <c r="L314" s="192"/>
      <c r="M314" s="52"/>
    </row>
    <row r="315" spans="1:13" x14ac:dyDescent="0.3">
      <c r="A315" s="2"/>
      <c r="B315" s="158"/>
      <c r="C315" s="234"/>
      <c r="D315" t="str">
        <f>IF(allExpenses_table[[#This Row],[Date]]="","",TEXT(allExpenses_table[[#This Row],[Date]],"mmmm"))</f>
        <v/>
      </c>
      <c r="H315" s="199"/>
      <c r="I315" s="200"/>
      <c r="J315" s="216"/>
      <c r="K315" s="193"/>
      <c r="L315" s="193"/>
      <c r="M315" s="194"/>
    </row>
    <row r="316" spans="1:13" x14ac:dyDescent="0.3">
      <c r="A316" s="2"/>
      <c r="B316" s="158"/>
      <c r="C316" s="234"/>
      <c r="D316" t="str">
        <f>IF(allExpenses_table[[#This Row],[Date]]="","",TEXT(allExpenses_table[[#This Row],[Date]],"mmmm"))</f>
        <v/>
      </c>
      <c r="H316" s="203"/>
      <c r="I316" s="204"/>
      <c r="J316" s="217"/>
      <c r="K316" s="192"/>
      <c r="L316" s="192"/>
      <c r="M316" s="52"/>
    </row>
    <row r="317" spans="1:13" x14ac:dyDescent="0.3">
      <c r="A317" s="2"/>
      <c r="B317" s="158"/>
      <c r="C317" s="234"/>
      <c r="D317" t="str">
        <f>IF(allExpenses_table[[#This Row],[Date]]="","",TEXT(allExpenses_table[[#This Row],[Date]],"mmmm"))</f>
        <v/>
      </c>
      <c r="H317" s="199"/>
      <c r="I317" s="200"/>
      <c r="J317" s="216"/>
      <c r="K317" s="193"/>
      <c r="L317" s="193"/>
      <c r="M317" s="194"/>
    </row>
    <row r="318" spans="1:13" x14ac:dyDescent="0.3">
      <c r="A318" s="2"/>
      <c r="B318" s="158"/>
      <c r="C318" s="234"/>
      <c r="D318" t="str">
        <f>IF(allExpenses_table[[#This Row],[Date]]="","",TEXT(allExpenses_table[[#This Row],[Date]],"mmmm"))</f>
        <v/>
      </c>
      <c r="H318" s="203"/>
      <c r="I318" s="204"/>
      <c r="J318" s="217"/>
      <c r="K318" s="192"/>
      <c r="L318" s="192"/>
      <c r="M318" s="52"/>
    </row>
    <row r="319" spans="1:13" x14ac:dyDescent="0.3">
      <c r="A319" s="2"/>
      <c r="B319" s="158"/>
      <c r="C319" s="234"/>
      <c r="D319" t="str">
        <f>IF(allExpenses_table[[#This Row],[Date]]="","",TEXT(allExpenses_table[[#This Row],[Date]],"mmmm"))</f>
        <v/>
      </c>
      <c r="H319" s="199"/>
      <c r="I319" s="200"/>
      <c r="J319" s="216"/>
      <c r="K319" s="193"/>
      <c r="L319" s="193"/>
      <c r="M319" s="194"/>
    </row>
    <row r="320" spans="1:13" x14ac:dyDescent="0.3">
      <c r="A320" s="2"/>
      <c r="B320" s="158"/>
      <c r="C320" s="234"/>
      <c r="D320" t="str">
        <f>IF(allExpenses_table[[#This Row],[Date]]="","",TEXT(allExpenses_table[[#This Row],[Date]],"mmmm"))</f>
        <v/>
      </c>
      <c r="H320" s="203"/>
      <c r="I320" s="204"/>
      <c r="J320" s="217"/>
      <c r="K320" s="192"/>
      <c r="L320" s="192"/>
      <c r="M320" s="52"/>
    </row>
    <row r="321" spans="1:13" x14ac:dyDescent="0.3">
      <c r="A321" s="2"/>
      <c r="B321" s="158"/>
      <c r="C321" s="234"/>
      <c r="D321" t="str">
        <f>IF(allExpenses_table[[#This Row],[Date]]="","",TEXT(allExpenses_table[[#This Row],[Date]],"mmmm"))</f>
        <v/>
      </c>
      <c r="H321" s="199"/>
      <c r="I321" s="200"/>
      <c r="J321" s="216"/>
      <c r="K321" s="193"/>
      <c r="L321" s="193"/>
      <c r="M321" s="194"/>
    </row>
    <row r="322" spans="1:13" x14ac:dyDescent="0.3">
      <c r="A322" s="2"/>
      <c r="B322" s="158"/>
      <c r="C322" s="234"/>
      <c r="D322" t="str">
        <f>IF(allExpenses_table[[#This Row],[Date]]="","",TEXT(allExpenses_table[[#This Row],[Date]],"mmmm"))</f>
        <v/>
      </c>
      <c r="H322" s="203"/>
      <c r="I322" s="204"/>
      <c r="J322" s="217"/>
      <c r="K322" s="192"/>
      <c r="L322" s="192"/>
      <c r="M322" s="52"/>
    </row>
    <row r="323" spans="1:13" x14ac:dyDescent="0.3">
      <c r="A323" s="2"/>
      <c r="B323" s="158"/>
      <c r="C323" s="234"/>
      <c r="D323" t="str">
        <f>IF(allExpenses_table[[#This Row],[Date]]="","",TEXT(allExpenses_table[[#This Row],[Date]],"mmmm"))</f>
        <v/>
      </c>
      <c r="H323" s="199"/>
      <c r="I323" s="200"/>
      <c r="J323" s="216"/>
      <c r="K323" s="193"/>
      <c r="L323" s="193"/>
      <c r="M323" s="194"/>
    </row>
    <row r="324" spans="1:13" x14ac:dyDescent="0.3">
      <c r="A324" s="2"/>
      <c r="B324" s="158"/>
      <c r="C324" s="234"/>
      <c r="D324" t="str">
        <f>IF(allExpenses_table[[#This Row],[Date]]="","",TEXT(allExpenses_table[[#This Row],[Date]],"mmmm"))</f>
        <v/>
      </c>
      <c r="H324" s="203"/>
      <c r="I324" s="204"/>
      <c r="J324" s="217"/>
      <c r="K324" s="192"/>
      <c r="L324" s="192"/>
      <c r="M324" s="52"/>
    </row>
    <row r="325" spans="1:13" x14ac:dyDescent="0.3">
      <c r="A325" s="2"/>
      <c r="B325" s="158"/>
      <c r="C325" s="234"/>
      <c r="D325" t="str">
        <f>IF(allExpenses_table[[#This Row],[Date]]="","",TEXT(allExpenses_table[[#This Row],[Date]],"mmmm"))</f>
        <v/>
      </c>
      <c r="H325" s="199"/>
      <c r="I325" s="200"/>
      <c r="J325" s="216"/>
      <c r="K325" s="193"/>
      <c r="L325" s="193"/>
      <c r="M325" s="194"/>
    </row>
    <row r="326" spans="1:13" x14ac:dyDescent="0.3">
      <c r="A326" s="2"/>
      <c r="B326" s="158"/>
      <c r="C326" s="234"/>
      <c r="D326" t="str">
        <f>IF(allExpenses_table[[#This Row],[Date]]="","",TEXT(allExpenses_table[[#This Row],[Date]],"mmmm"))</f>
        <v/>
      </c>
      <c r="H326" s="203"/>
      <c r="I326" s="204"/>
      <c r="J326" s="217"/>
      <c r="K326" s="192"/>
      <c r="L326" s="192"/>
      <c r="M326" s="52"/>
    </row>
    <row r="327" spans="1:13" x14ac:dyDescent="0.3">
      <c r="A327" s="2"/>
      <c r="B327" s="158"/>
      <c r="C327" s="234"/>
      <c r="D327" t="str">
        <f>IF(allExpenses_table[[#This Row],[Date]]="","",TEXT(allExpenses_table[[#This Row],[Date]],"mmmm"))</f>
        <v/>
      </c>
      <c r="H327" s="199"/>
      <c r="I327" s="200"/>
      <c r="J327" s="216"/>
      <c r="K327" s="193"/>
      <c r="L327" s="193"/>
      <c r="M327" s="194"/>
    </row>
    <row r="328" spans="1:13" x14ac:dyDescent="0.3">
      <c r="A328" s="2"/>
      <c r="B328" s="158"/>
      <c r="C328" s="234"/>
      <c r="D328" t="str">
        <f>IF(allExpenses_table[[#This Row],[Date]]="","",TEXT(allExpenses_table[[#This Row],[Date]],"mmmm"))</f>
        <v/>
      </c>
      <c r="H328" s="203"/>
      <c r="I328" s="204"/>
      <c r="J328" s="217"/>
      <c r="K328" s="192"/>
      <c r="L328" s="192"/>
      <c r="M328" s="52"/>
    </row>
    <row r="329" spans="1:13" x14ac:dyDescent="0.3">
      <c r="A329" s="2"/>
      <c r="B329" s="158"/>
      <c r="C329" s="234"/>
      <c r="D329" t="str">
        <f>IF(allExpenses_table[[#This Row],[Date]]="","",TEXT(allExpenses_table[[#This Row],[Date]],"mmmm"))</f>
        <v/>
      </c>
      <c r="H329" s="199"/>
      <c r="I329" s="200"/>
      <c r="J329" s="216"/>
      <c r="K329" s="193"/>
      <c r="L329" s="193"/>
      <c r="M329" s="194"/>
    </row>
    <row r="330" spans="1:13" x14ac:dyDescent="0.3">
      <c r="A330" s="2"/>
      <c r="B330" s="158"/>
      <c r="C330" s="234"/>
      <c r="D330" t="str">
        <f>IF(allExpenses_table[[#This Row],[Date]]="","",TEXT(allExpenses_table[[#This Row],[Date]],"mmmm"))</f>
        <v/>
      </c>
      <c r="H330" s="203"/>
      <c r="I330" s="204"/>
      <c r="J330" s="217"/>
      <c r="K330" s="192"/>
      <c r="L330" s="192"/>
      <c r="M330" s="52"/>
    </row>
    <row r="331" spans="1:13" x14ac:dyDescent="0.3">
      <c r="A331" s="2"/>
      <c r="B331" s="158"/>
      <c r="C331" s="234"/>
      <c r="D331" t="str">
        <f>IF(allExpenses_table[[#This Row],[Date]]="","",TEXT(allExpenses_table[[#This Row],[Date]],"mmmm"))</f>
        <v/>
      </c>
      <c r="H331" s="199"/>
      <c r="I331" s="200"/>
      <c r="J331" s="216"/>
      <c r="K331" s="193"/>
      <c r="L331" s="193"/>
      <c r="M331" s="194"/>
    </row>
    <row r="332" spans="1:13" x14ac:dyDescent="0.3">
      <c r="A332" s="2"/>
      <c r="B332" s="158"/>
      <c r="C332" s="234"/>
      <c r="D332" t="str">
        <f>IF(allExpenses_table[[#This Row],[Date]]="","",TEXT(allExpenses_table[[#This Row],[Date]],"mmmm"))</f>
        <v/>
      </c>
      <c r="H332" s="203"/>
      <c r="I332" s="204"/>
      <c r="J332" s="217"/>
      <c r="K332" s="192"/>
      <c r="L332" s="192"/>
      <c r="M332" s="52"/>
    </row>
    <row r="333" spans="1:13" x14ac:dyDescent="0.3">
      <c r="A333" s="2"/>
      <c r="B333" s="158"/>
      <c r="C333" s="234"/>
      <c r="D333" t="str">
        <f>IF(allExpenses_table[[#This Row],[Date]]="","",TEXT(allExpenses_table[[#This Row],[Date]],"mmmm"))</f>
        <v/>
      </c>
      <c r="H333" s="199"/>
      <c r="I333" s="200"/>
      <c r="J333" s="216"/>
      <c r="K333" s="193"/>
      <c r="L333" s="193"/>
      <c r="M333" s="194"/>
    </row>
    <row r="334" spans="1:13" x14ac:dyDescent="0.3">
      <c r="A334" s="2"/>
      <c r="B334" s="158"/>
      <c r="C334" s="234"/>
      <c r="D334" t="str">
        <f>IF(allExpenses_table[[#This Row],[Date]]="","",TEXT(allExpenses_table[[#This Row],[Date]],"mmmm"))</f>
        <v/>
      </c>
      <c r="H334" s="203"/>
      <c r="I334" s="204"/>
      <c r="J334" s="217"/>
      <c r="K334" s="192"/>
      <c r="L334" s="192"/>
      <c r="M334" s="52"/>
    </row>
    <row r="335" spans="1:13" x14ac:dyDescent="0.3">
      <c r="A335" s="2"/>
      <c r="B335" s="158"/>
      <c r="C335" s="234"/>
      <c r="D335" t="str">
        <f>IF(allExpenses_table[[#This Row],[Date]]="","",TEXT(allExpenses_table[[#This Row],[Date]],"mmmm"))</f>
        <v/>
      </c>
      <c r="H335" s="199"/>
      <c r="I335" s="200"/>
      <c r="J335" s="216"/>
      <c r="K335" s="193"/>
      <c r="L335" s="193"/>
      <c r="M335" s="194"/>
    </row>
    <row r="336" spans="1:13" x14ac:dyDescent="0.3">
      <c r="A336" s="2"/>
      <c r="B336" s="158"/>
      <c r="C336" s="234"/>
      <c r="D336" t="str">
        <f>IF(allExpenses_table[[#This Row],[Date]]="","",TEXT(allExpenses_table[[#This Row],[Date]],"mmmm"))</f>
        <v/>
      </c>
      <c r="H336" s="203"/>
      <c r="I336" s="204"/>
      <c r="J336" s="217"/>
      <c r="K336" s="192"/>
      <c r="L336" s="192"/>
      <c r="M336" s="52"/>
    </row>
    <row r="337" spans="1:13" x14ac:dyDescent="0.3">
      <c r="A337" s="2"/>
      <c r="B337" s="158"/>
      <c r="C337" s="234"/>
      <c r="D337" t="str">
        <f>IF(allExpenses_table[[#This Row],[Date]]="","",TEXT(allExpenses_table[[#This Row],[Date]],"mmmm"))</f>
        <v/>
      </c>
      <c r="H337" s="199"/>
      <c r="I337" s="200"/>
      <c r="J337" s="216"/>
      <c r="K337" s="193"/>
      <c r="L337" s="193"/>
      <c r="M337" s="194"/>
    </row>
    <row r="338" spans="1:13" x14ac:dyDescent="0.3">
      <c r="A338" s="2"/>
      <c r="B338" s="158"/>
      <c r="C338" s="234"/>
      <c r="D338" t="str">
        <f>IF(allExpenses_table[[#This Row],[Date]]="","",TEXT(allExpenses_table[[#This Row],[Date]],"mmmm"))</f>
        <v/>
      </c>
      <c r="H338" s="203"/>
      <c r="I338" s="204"/>
      <c r="J338" s="217"/>
      <c r="K338" s="192"/>
      <c r="L338" s="192"/>
      <c r="M338" s="52"/>
    </row>
    <row r="339" spans="1:13" x14ac:dyDescent="0.3">
      <c r="A339" s="2"/>
      <c r="B339" s="158"/>
      <c r="C339" s="234"/>
      <c r="D339" t="str">
        <f>IF(allExpenses_table[[#This Row],[Date]]="","",TEXT(allExpenses_table[[#This Row],[Date]],"mmmm"))</f>
        <v/>
      </c>
      <c r="H339" s="199"/>
      <c r="I339" s="200"/>
      <c r="J339" s="216"/>
      <c r="K339" s="193"/>
      <c r="L339" s="193"/>
      <c r="M339" s="194"/>
    </row>
    <row r="340" spans="1:13" x14ac:dyDescent="0.3">
      <c r="A340" s="2"/>
      <c r="B340" s="158"/>
      <c r="C340" s="234"/>
      <c r="D340" t="str">
        <f>IF(allExpenses_table[[#This Row],[Date]]="","",TEXT(allExpenses_table[[#This Row],[Date]],"mmmm"))</f>
        <v/>
      </c>
      <c r="H340" s="203"/>
      <c r="I340" s="204"/>
      <c r="J340" s="217"/>
      <c r="K340" s="192"/>
      <c r="L340" s="192"/>
      <c r="M340" s="52"/>
    </row>
    <row r="341" spans="1:13" x14ac:dyDescent="0.3">
      <c r="A341" s="2"/>
      <c r="B341" s="158"/>
      <c r="C341" s="234"/>
      <c r="D341" t="str">
        <f>IF(allExpenses_table[[#This Row],[Date]]="","",TEXT(allExpenses_table[[#This Row],[Date]],"mmmm"))</f>
        <v/>
      </c>
      <c r="H341" s="199"/>
      <c r="I341" s="200"/>
      <c r="J341" s="216"/>
      <c r="K341" s="193"/>
      <c r="L341" s="193"/>
      <c r="M341" s="194"/>
    </row>
    <row r="342" spans="1:13" x14ac:dyDescent="0.3">
      <c r="A342" s="2"/>
      <c r="B342" s="158"/>
      <c r="C342" s="234"/>
      <c r="D342" t="str">
        <f>IF(allExpenses_table[[#This Row],[Date]]="","",TEXT(allExpenses_table[[#This Row],[Date]],"mmmm"))</f>
        <v/>
      </c>
      <c r="H342" s="203"/>
      <c r="I342" s="204"/>
      <c r="J342" s="217"/>
      <c r="K342" s="192"/>
      <c r="L342" s="192"/>
      <c r="M342" s="52"/>
    </row>
    <row r="343" spans="1:13" x14ac:dyDescent="0.3">
      <c r="A343" s="2"/>
      <c r="B343" s="158"/>
      <c r="C343" s="234"/>
      <c r="D343" t="str">
        <f>IF(allExpenses_table[[#This Row],[Date]]="","",TEXT(allExpenses_table[[#This Row],[Date]],"mmmm"))</f>
        <v/>
      </c>
      <c r="H343" s="199"/>
      <c r="I343" s="200"/>
      <c r="J343" s="216"/>
      <c r="K343" s="193"/>
      <c r="L343" s="193"/>
      <c r="M343" s="194"/>
    </row>
    <row r="344" spans="1:13" x14ac:dyDescent="0.3">
      <c r="A344" s="2"/>
      <c r="B344" s="158"/>
      <c r="C344" s="234"/>
      <c r="D344" t="str">
        <f>IF(allExpenses_table[[#This Row],[Date]]="","",TEXT(allExpenses_table[[#This Row],[Date]],"mmmm"))</f>
        <v/>
      </c>
      <c r="H344" s="203"/>
      <c r="I344" s="204"/>
      <c r="J344" s="217"/>
      <c r="K344" s="192"/>
      <c r="L344" s="192"/>
      <c r="M344" s="52"/>
    </row>
    <row r="345" spans="1:13" x14ac:dyDescent="0.3">
      <c r="A345" s="2"/>
      <c r="B345" s="158"/>
      <c r="C345" s="234"/>
      <c r="D345" t="str">
        <f>IF(allExpenses_table[[#This Row],[Date]]="","",TEXT(allExpenses_table[[#This Row],[Date]],"mmmm"))</f>
        <v/>
      </c>
      <c r="H345" s="199"/>
      <c r="I345" s="200"/>
      <c r="J345" s="216"/>
      <c r="K345" s="193"/>
      <c r="L345" s="193"/>
      <c r="M345" s="194"/>
    </row>
    <row r="346" spans="1:13" x14ac:dyDescent="0.3">
      <c r="A346" s="2"/>
      <c r="B346" s="158"/>
      <c r="C346" s="234"/>
      <c r="D346" t="str">
        <f>IF(allExpenses_table[[#This Row],[Date]]="","",TEXT(allExpenses_table[[#This Row],[Date]],"mmmm"))</f>
        <v/>
      </c>
      <c r="H346" s="203"/>
      <c r="I346" s="204"/>
      <c r="J346" s="217"/>
      <c r="K346" s="192"/>
      <c r="L346" s="192"/>
      <c r="M346" s="52"/>
    </row>
    <row r="347" spans="1:13" x14ac:dyDescent="0.3">
      <c r="A347" s="2"/>
      <c r="B347" s="158"/>
      <c r="C347" s="234"/>
      <c r="D347" t="str">
        <f>IF(allExpenses_table[[#This Row],[Date]]="","",TEXT(allExpenses_table[[#This Row],[Date]],"mmmm"))</f>
        <v/>
      </c>
      <c r="H347" s="199"/>
      <c r="I347" s="200"/>
      <c r="J347" s="216"/>
      <c r="K347" s="193"/>
      <c r="L347" s="193"/>
      <c r="M347" s="194"/>
    </row>
    <row r="348" spans="1:13" x14ac:dyDescent="0.3">
      <c r="A348" s="2"/>
      <c r="B348" s="158"/>
      <c r="C348" s="234"/>
      <c r="D348" t="str">
        <f>IF(allExpenses_table[[#This Row],[Date]]="","",TEXT(allExpenses_table[[#This Row],[Date]],"mmmm"))</f>
        <v/>
      </c>
      <c r="H348" s="203"/>
      <c r="I348" s="204"/>
      <c r="J348" s="217"/>
      <c r="K348" s="192"/>
      <c r="L348" s="192"/>
      <c r="M348" s="52"/>
    </row>
    <row r="349" spans="1:13" x14ac:dyDescent="0.3">
      <c r="A349" s="2"/>
      <c r="B349" s="158"/>
      <c r="C349" s="234"/>
      <c r="D349" t="str">
        <f>IF(allExpenses_table[[#This Row],[Date]]="","",TEXT(allExpenses_table[[#This Row],[Date]],"mmmm"))</f>
        <v/>
      </c>
      <c r="H349" s="199"/>
      <c r="I349" s="200"/>
      <c r="J349" s="216"/>
      <c r="K349" s="193"/>
      <c r="L349" s="193"/>
      <c r="M349" s="194"/>
    </row>
    <row r="350" spans="1:13" x14ac:dyDescent="0.3">
      <c r="A350" s="2"/>
      <c r="B350" s="158"/>
      <c r="C350" s="234"/>
      <c r="D350" t="str">
        <f>IF(allExpenses_table[[#This Row],[Date]]="","",TEXT(allExpenses_table[[#This Row],[Date]],"mmmm"))</f>
        <v/>
      </c>
      <c r="H350" s="203"/>
      <c r="I350" s="204"/>
      <c r="J350" s="217"/>
      <c r="K350" s="192"/>
      <c r="L350" s="192"/>
      <c r="M350" s="52"/>
    </row>
    <row r="351" spans="1:13" x14ac:dyDescent="0.3">
      <c r="A351" s="2"/>
      <c r="B351" s="158"/>
      <c r="C351" s="234"/>
      <c r="D351" t="str">
        <f>IF(allExpenses_table[[#This Row],[Date]]="","",TEXT(allExpenses_table[[#This Row],[Date]],"mmmm"))</f>
        <v/>
      </c>
      <c r="H351" s="199"/>
      <c r="I351" s="200"/>
      <c r="J351" s="216"/>
      <c r="K351" s="193"/>
      <c r="L351" s="193"/>
      <c r="M351" s="194"/>
    </row>
    <row r="352" spans="1:13" x14ac:dyDescent="0.3">
      <c r="A352" s="2"/>
      <c r="B352" s="158"/>
      <c r="C352" s="234"/>
      <c r="D352" t="str">
        <f>IF(allExpenses_table[[#This Row],[Date]]="","",TEXT(allExpenses_table[[#This Row],[Date]],"mmmm"))</f>
        <v/>
      </c>
      <c r="H352" s="203"/>
      <c r="I352" s="204"/>
      <c r="J352" s="217"/>
      <c r="K352" s="192"/>
      <c r="L352" s="192"/>
      <c r="M352" s="52"/>
    </row>
    <row r="353" spans="1:13" x14ac:dyDescent="0.3">
      <c r="A353" s="2"/>
      <c r="B353" s="158"/>
      <c r="C353" s="234"/>
      <c r="D353" t="str">
        <f>IF(allExpenses_table[[#This Row],[Date]]="","",TEXT(allExpenses_table[[#This Row],[Date]],"mmmm"))</f>
        <v/>
      </c>
      <c r="H353" s="199"/>
      <c r="I353" s="200"/>
      <c r="J353" s="216"/>
      <c r="K353" s="193"/>
      <c r="L353" s="193"/>
      <c r="M353" s="194"/>
    </row>
    <row r="354" spans="1:13" x14ac:dyDescent="0.3">
      <c r="A354" s="2"/>
      <c r="B354" s="158"/>
      <c r="C354" s="234"/>
      <c r="D354" t="str">
        <f>IF(allExpenses_table[[#This Row],[Date]]="","",TEXT(allExpenses_table[[#This Row],[Date]],"mmmm"))</f>
        <v/>
      </c>
      <c r="H354" s="203"/>
      <c r="I354" s="204"/>
      <c r="J354" s="217"/>
      <c r="K354" s="192"/>
      <c r="L354" s="192"/>
      <c r="M354" s="52"/>
    </row>
    <row r="355" spans="1:13" x14ac:dyDescent="0.3">
      <c r="A355" s="2"/>
      <c r="B355" s="158"/>
      <c r="C355" s="234"/>
      <c r="D355" t="str">
        <f>IF(allExpenses_table[[#This Row],[Date]]="","",TEXT(allExpenses_table[[#This Row],[Date]],"mmmm"))</f>
        <v/>
      </c>
      <c r="H355" s="199"/>
      <c r="I355" s="200"/>
      <c r="J355" s="216"/>
      <c r="K355" s="193"/>
      <c r="L355" s="193"/>
      <c r="M355" s="194"/>
    </row>
    <row r="356" spans="1:13" x14ac:dyDescent="0.3">
      <c r="A356" s="2"/>
      <c r="B356" s="158"/>
      <c r="C356" s="234"/>
      <c r="D356" t="str">
        <f>IF(allExpenses_table[[#This Row],[Date]]="","",TEXT(allExpenses_table[[#This Row],[Date]],"mmmm"))</f>
        <v/>
      </c>
      <c r="H356" s="203"/>
      <c r="I356" s="204"/>
      <c r="J356" s="217"/>
      <c r="K356" s="192"/>
      <c r="L356" s="192"/>
      <c r="M356" s="52"/>
    </row>
    <row r="357" spans="1:13" x14ac:dyDescent="0.3">
      <c r="A357" s="2"/>
      <c r="B357" s="158"/>
      <c r="C357" s="234"/>
      <c r="D357" t="str">
        <f>IF(allExpenses_table[[#This Row],[Date]]="","",TEXT(allExpenses_table[[#This Row],[Date]],"mmmm"))</f>
        <v/>
      </c>
      <c r="H357" s="199"/>
      <c r="I357" s="200"/>
      <c r="J357" s="216"/>
      <c r="K357" s="193"/>
      <c r="L357" s="193"/>
      <c r="M357" s="194"/>
    </row>
    <row r="358" spans="1:13" x14ac:dyDescent="0.3">
      <c r="A358" s="2"/>
      <c r="B358" s="158"/>
      <c r="C358" s="234"/>
      <c r="D358" t="str">
        <f>IF(allExpenses_table[[#This Row],[Date]]="","",TEXT(allExpenses_table[[#This Row],[Date]],"mmmm"))</f>
        <v/>
      </c>
      <c r="H358" s="203"/>
      <c r="I358" s="204"/>
      <c r="J358" s="217"/>
      <c r="K358" s="192"/>
      <c r="L358" s="192"/>
      <c r="M358" s="52"/>
    </row>
    <row r="359" spans="1:13" x14ac:dyDescent="0.3">
      <c r="A359" s="2"/>
      <c r="B359" s="158"/>
      <c r="C359" s="234"/>
      <c r="D359" t="str">
        <f>IF(allExpenses_table[[#This Row],[Date]]="","",TEXT(allExpenses_table[[#This Row],[Date]],"mmmm"))</f>
        <v/>
      </c>
      <c r="H359" s="199"/>
      <c r="I359" s="200"/>
      <c r="J359" s="216"/>
      <c r="K359" s="193"/>
      <c r="L359" s="193"/>
      <c r="M359" s="194"/>
    </row>
    <row r="360" spans="1:13" x14ac:dyDescent="0.3">
      <c r="A360" s="2"/>
      <c r="B360" s="158"/>
      <c r="C360" s="234"/>
      <c r="D360" t="str">
        <f>IF(allExpenses_table[[#This Row],[Date]]="","",TEXT(allExpenses_table[[#This Row],[Date]],"mmmm"))</f>
        <v/>
      </c>
      <c r="H360" s="203"/>
      <c r="I360" s="204"/>
      <c r="J360" s="217"/>
      <c r="K360" s="192"/>
      <c r="L360" s="192"/>
      <c r="M360" s="52"/>
    </row>
    <row r="361" spans="1:13" x14ac:dyDescent="0.3">
      <c r="A361" s="2"/>
      <c r="B361" s="158"/>
      <c r="C361" s="234"/>
      <c r="D361" t="str">
        <f>IF(allExpenses_table[[#This Row],[Date]]="","",TEXT(allExpenses_table[[#This Row],[Date]],"mmmm"))</f>
        <v/>
      </c>
      <c r="H361" s="199"/>
      <c r="I361" s="200"/>
      <c r="J361" s="216"/>
      <c r="K361" s="193"/>
      <c r="L361" s="193"/>
      <c r="M361" s="194"/>
    </row>
    <row r="362" spans="1:13" x14ac:dyDescent="0.3">
      <c r="A362" s="2"/>
      <c r="B362" s="158"/>
      <c r="C362" s="234"/>
      <c r="D362" t="str">
        <f>IF(allExpenses_table[[#This Row],[Date]]="","",TEXT(allExpenses_table[[#This Row],[Date]],"mmmm"))</f>
        <v/>
      </c>
      <c r="H362" s="203"/>
      <c r="I362" s="204"/>
      <c r="J362" s="217"/>
      <c r="K362" s="192"/>
      <c r="L362" s="192"/>
      <c r="M362" s="52"/>
    </row>
    <row r="363" spans="1:13" x14ac:dyDescent="0.3">
      <c r="A363" s="2"/>
      <c r="B363" s="158"/>
      <c r="C363" s="234"/>
      <c r="D363" t="str">
        <f>IF(allExpenses_table[[#This Row],[Date]]="","",TEXT(allExpenses_table[[#This Row],[Date]],"mmmm"))</f>
        <v/>
      </c>
      <c r="H363" s="199"/>
      <c r="I363" s="200"/>
      <c r="J363" s="216"/>
      <c r="K363" s="193"/>
      <c r="L363" s="193"/>
      <c r="M363" s="194"/>
    </row>
    <row r="364" spans="1:13" x14ac:dyDescent="0.3">
      <c r="A364" s="2"/>
      <c r="B364" s="158"/>
      <c r="C364" s="234"/>
      <c r="D364" t="str">
        <f>IF(allExpenses_table[[#This Row],[Date]]="","",TEXT(allExpenses_table[[#This Row],[Date]],"mmmm"))</f>
        <v/>
      </c>
      <c r="H364" s="203"/>
      <c r="I364" s="204"/>
      <c r="J364" s="217"/>
      <c r="K364" s="192"/>
      <c r="L364" s="192"/>
      <c r="M364" s="52"/>
    </row>
    <row r="365" spans="1:13" x14ac:dyDescent="0.3">
      <c r="A365" s="2"/>
      <c r="B365" s="158"/>
      <c r="C365" s="234"/>
      <c r="D365" t="str">
        <f>IF(allExpenses_table[[#This Row],[Date]]="","",TEXT(allExpenses_table[[#This Row],[Date]],"mmmm"))</f>
        <v/>
      </c>
      <c r="H365" s="199"/>
      <c r="I365" s="200"/>
      <c r="J365" s="216"/>
      <c r="K365" s="193"/>
      <c r="L365" s="193"/>
      <c r="M365" s="194"/>
    </row>
    <row r="366" spans="1:13" x14ac:dyDescent="0.3">
      <c r="A366" s="2"/>
      <c r="B366" s="158"/>
      <c r="C366" s="234"/>
      <c r="D366" t="str">
        <f>IF(allExpenses_table[[#This Row],[Date]]="","",TEXT(allExpenses_table[[#This Row],[Date]],"mmmm"))</f>
        <v/>
      </c>
      <c r="H366" s="203"/>
      <c r="I366" s="204"/>
      <c r="J366" s="217"/>
      <c r="K366" s="192"/>
      <c r="L366" s="192"/>
      <c r="M366" s="52"/>
    </row>
    <row r="367" spans="1:13" x14ac:dyDescent="0.3">
      <c r="A367" s="2"/>
      <c r="B367" s="158"/>
      <c r="C367" s="234"/>
      <c r="D367" t="str">
        <f>IF(allExpenses_table[[#This Row],[Date]]="","",TEXT(allExpenses_table[[#This Row],[Date]],"mmmm"))</f>
        <v/>
      </c>
      <c r="H367" s="199"/>
      <c r="I367" s="200"/>
      <c r="J367" s="216"/>
      <c r="K367" s="193"/>
      <c r="L367" s="193"/>
      <c r="M367" s="194"/>
    </row>
    <row r="368" spans="1:13" x14ac:dyDescent="0.3">
      <c r="A368" s="2"/>
      <c r="B368" s="158"/>
      <c r="C368" s="234"/>
      <c r="D368" t="str">
        <f>IF(allExpenses_table[[#This Row],[Date]]="","",TEXT(allExpenses_table[[#This Row],[Date]],"mmmm"))</f>
        <v/>
      </c>
      <c r="H368" s="203"/>
      <c r="I368" s="204"/>
      <c r="J368" s="217"/>
      <c r="K368" s="192"/>
      <c r="L368" s="192"/>
      <c r="M368" s="52"/>
    </row>
    <row r="369" spans="1:13" x14ac:dyDescent="0.3">
      <c r="A369" s="2"/>
      <c r="B369" s="158"/>
      <c r="C369" s="234"/>
      <c r="D369" t="str">
        <f>IF(allExpenses_table[[#This Row],[Date]]="","",TEXT(allExpenses_table[[#This Row],[Date]],"mmmm"))</f>
        <v/>
      </c>
      <c r="H369" s="199"/>
      <c r="I369" s="200"/>
      <c r="J369" s="216"/>
      <c r="K369" s="193"/>
      <c r="L369" s="193"/>
      <c r="M369" s="194"/>
    </row>
    <row r="370" spans="1:13" x14ac:dyDescent="0.3">
      <c r="A370" s="2"/>
      <c r="B370" s="158"/>
      <c r="C370" s="234"/>
      <c r="D370" t="str">
        <f>IF(allExpenses_table[[#This Row],[Date]]="","",TEXT(allExpenses_table[[#This Row],[Date]],"mmmm"))</f>
        <v/>
      </c>
      <c r="H370" s="203"/>
      <c r="I370" s="204"/>
      <c r="J370" s="217"/>
      <c r="K370" s="192"/>
      <c r="L370" s="192"/>
      <c r="M370" s="52"/>
    </row>
    <row r="371" spans="1:13" x14ac:dyDescent="0.3">
      <c r="A371" s="2"/>
      <c r="B371" s="158"/>
      <c r="C371" s="234"/>
      <c r="D371" t="str">
        <f>IF(allExpenses_table[[#This Row],[Date]]="","",TEXT(allExpenses_table[[#This Row],[Date]],"mmmm"))</f>
        <v/>
      </c>
      <c r="H371" s="199"/>
      <c r="I371" s="200"/>
      <c r="J371" s="216"/>
      <c r="K371" s="193"/>
      <c r="L371" s="193"/>
      <c r="M371" s="194"/>
    </row>
    <row r="372" spans="1:13" x14ac:dyDescent="0.3">
      <c r="A372" s="2"/>
      <c r="B372" s="158"/>
      <c r="C372" s="234"/>
      <c r="D372" t="str">
        <f>IF(allExpenses_table[[#This Row],[Date]]="","",TEXT(allExpenses_table[[#This Row],[Date]],"mmmm"))</f>
        <v/>
      </c>
      <c r="H372" s="203"/>
      <c r="I372" s="204"/>
      <c r="J372" s="217"/>
      <c r="K372" s="192"/>
      <c r="L372" s="192"/>
      <c r="M372" s="52"/>
    </row>
    <row r="373" spans="1:13" x14ac:dyDescent="0.3">
      <c r="A373" s="2"/>
      <c r="B373" s="158"/>
      <c r="C373" s="234"/>
      <c r="D373" t="str">
        <f>IF(allExpenses_table[[#This Row],[Date]]="","",TEXT(allExpenses_table[[#This Row],[Date]],"mmmm"))</f>
        <v/>
      </c>
      <c r="H373" s="199"/>
      <c r="I373" s="200"/>
      <c r="J373" s="216"/>
      <c r="K373" s="193"/>
      <c r="L373" s="193"/>
      <c r="M373" s="194"/>
    </row>
    <row r="374" spans="1:13" x14ac:dyDescent="0.3">
      <c r="A374" s="2"/>
      <c r="B374" s="158"/>
      <c r="C374" s="234"/>
      <c r="D374" t="str">
        <f>IF(allExpenses_table[[#This Row],[Date]]="","",TEXT(allExpenses_table[[#This Row],[Date]],"mmmm"))</f>
        <v/>
      </c>
      <c r="H374" s="203"/>
      <c r="I374" s="204"/>
      <c r="J374" s="217"/>
      <c r="K374" s="192"/>
      <c r="L374" s="192"/>
      <c r="M374" s="52"/>
    </row>
    <row r="375" spans="1:13" x14ac:dyDescent="0.3">
      <c r="A375" s="2"/>
      <c r="B375" s="158"/>
      <c r="C375" s="234"/>
      <c r="D375" t="str">
        <f>IF(allExpenses_table[[#This Row],[Date]]="","",TEXT(allExpenses_table[[#This Row],[Date]],"mmmm"))</f>
        <v/>
      </c>
      <c r="H375" s="199"/>
      <c r="I375" s="200"/>
      <c r="J375" s="216"/>
      <c r="K375" s="193"/>
      <c r="L375" s="193"/>
      <c r="M375" s="194"/>
    </row>
    <row r="376" spans="1:13" x14ac:dyDescent="0.3">
      <c r="A376" s="2"/>
      <c r="B376" s="158"/>
      <c r="C376" s="234"/>
      <c r="D376" t="str">
        <f>IF(allExpenses_table[[#This Row],[Date]]="","",TEXT(allExpenses_table[[#This Row],[Date]],"mmmm"))</f>
        <v/>
      </c>
      <c r="H376" s="203"/>
      <c r="I376" s="204"/>
      <c r="J376" s="217"/>
      <c r="K376" s="192"/>
      <c r="L376" s="192"/>
      <c r="M376" s="52"/>
    </row>
    <row r="377" spans="1:13" x14ac:dyDescent="0.3">
      <c r="A377" s="2"/>
      <c r="B377" s="158"/>
      <c r="C377" s="234"/>
      <c r="D377" t="str">
        <f>IF(allExpenses_table[[#This Row],[Date]]="","",TEXT(allExpenses_table[[#This Row],[Date]],"mmmm"))</f>
        <v/>
      </c>
      <c r="H377" s="199"/>
      <c r="I377" s="200"/>
      <c r="J377" s="216"/>
      <c r="K377" s="193"/>
      <c r="L377" s="193"/>
      <c r="M377" s="194"/>
    </row>
    <row r="378" spans="1:13" x14ac:dyDescent="0.3">
      <c r="A378" s="2"/>
      <c r="B378" s="158"/>
      <c r="C378" s="234"/>
      <c r="D378" t="str">
        <f>IF(allExpenses_table[[#This Row],[Date]]="","",TEXT(allExpenses_table[[#This Row],[Date]],"mmmm"))</f>
        <v/>
      </c>
      <c r="H378" s="203"/>
      <c r="I378" s="204"/>
      <c r="J378" s="217"/>
      <c r="K378" s="192"/>
      <c r="L378" s="192"/>
      <c r="M378" s="52"/>
    </row>
    <row r="379" spans="1:13" x14ac:dyDescent="0.3">
      <c r="A379" s="2"/>
      <c r="B379" s="158"/>
      <c r="C379" s="234"/>
      <c r="D379" t="str">
        <f>IF(allExpenses_table[[#This Row],[Date]]="","",TEXT(allExpenses_table[[#This Row],[Date]],"mmmm"))</f>
        <v/>
      </c>
      <c r="H379" s="199"/>
      <c r="I379" s="200"/>
      <c r="J379" s="216"/>
      <c r="K379" s="193"/>
      <c r="L379" s="193"/>
      <c r="M379" s="194"/>
    </row>
    <row r="380" spans="1:13" x14ac:dyDescent="0.3">
      <c r="A380" s="2"/>
      <c r="B380" s="158"/>
      <c r="C380" s="234"/>
      <c r="D380" t="str">
        <f>IF(allExpenses_table[[#This Row],[Date]]="","",TEXT(allExpenses_table[[#This Row],[Date]],"mmmm"))</f>
        <v/>
      </c>
      <c r="H380" s="203"/>
      <c r="I380" s="204"/>
      <c r="J380" s="217"/>
      <c r="K380" s="192"/>
      <c r="L380" s="192"/>
      <c r="M380" s="52"/>
    </row>
    <row r="381" spans="1:13" x14ac:dyDescent="0.3">
      <c r="A381" s="2"/>
      <c r="B381" s="158"/>
      <c r="C381" s="234"/>
      <c r="D381" t="str">
        <f>IF(allExpenses_table[[#This Row],[Date]]="","",TEXT(allExpenses_table[[#This Row],[Date]],"mmmm"))</f>
        <v/>
      </c>
      <c r="H381" s="199"/>
      <c r="I381" s="200"/>
      <c r="J381" s="216"/>
      <c r="K381" s="193"/>
      <c r="L381" s="193"/>
      <c r="M381" s="194"/>
    </row>
    <row r="382" spans="1:13" x14ac:dyDescent="0.3">
      <c r="A382" s="2"/>
      <c r="B382" s="158"/>
      <c r="C382" s="234"/>
      <c r="D382" t="str">
        <f>IF(allExpenses_table[[#This Row],[Date]]="","",TEXT(allExpenses_table[[#This Row],[Date]],"mmmm"))</f>
        <v/>
      </c>
      <c r="H382" s="203"/>
      <c r="I382" s="204"/>
      <c r="J382" s="217"/>
      <c r="K382" s="192"/>
      <c r="L382" s="192"/>
      <c r="M382" s="52"/>
    </row>
    <row r="383" spans="1:13" x14ac:dyDescent="0.3">
      <c r="A383" s="2"/>
      <c r="B383" s="158"/>
      <c r="C383" s="234"/>
      <c r="D383" t="str">
        <f>IF(allExpenses_table[[#This Row],[Date]]="","",TEXT(allExpenses_table[[#This Row],[Date]],"mmmm"))</f>
        <v/>
      </c>
      <c r="H383" s="199"/>
      <c r="I383" s="200"/>
      <c r="J383" s="216"/>
      <c r="K383" s="193"/>
      <c r="L383" s="193"/>
      <c r="M383" s="194"/>
    </row>
    <row r="384" spans="1:13" x14ac:dyDescent="0.3">
      <c r="A384" s="2"/>
      <c r="B384" s="158"/>
      <c r="C384" s="234"/>
      <c r="D384" t="str">
        <f>IF(allExpenses_table[[#This Row],[Date]]="","",TEXT(allExpenses_table[[#This Row],[Date]],"mmmm"))</f>
        <v/>
      </c>
      <c r="H384" s="203"/>
      <c r="I384" s="204"/>
      <c r="J384" s="217"/>
      <c r="K384" s="192"/>
      <c r="L384" s="192"/>
      <c r="M384" s="52"/>
    </row>
    <row r="385" spans="1:13" x14ac:dyDescent="0.3">
      <c r="A385" s="2"/>
      <c r="B385" s="158"/>
      <c r="C385" s="234"/>
      <c r="D385" t="str">
        <f>IF(allExpenses_table[[#This Row],[Date]]="","",TEXT(allExpenses_table[[#This Row],[Date]],"mmmm"))</f>
        <v/>
      </c>
      <c r="H385" s="199"/>
      <c r="I385" s="200"/>
      <c r="J385" s="216"/>
      <c r="K385" s="193"/>
      <c r="L385" s="193"/>
      <c r="M385" s="194"/>
    </row>
    <row r="386" spans="1:13" x14ac:dyDescent="0.3">
      <c r="A386" s="2"/>
      <c r="B386" s="158"/>
      <c r="C386" s="234"/>
      <c r="D386" t="str">
        <f>IF(allExpenses_table[[#This Row],[Date]]="","",TEXT(allExpenses_table[[#This Row],[Date]],"mmmm"))</f>
        <v/>
      </c>
      <c r="H386" s="203"/>
      <c r="I386" s="204"/>
      <c r="J386" s="217"/>
      <c r="K386" s="192"/>
      <c r="L386" s="192"/>
      <c r="M386" s="52"/>
    </row>
    <row r="387" spans="1:13" x14ac:dyDescent="0.3">
      <c r="A387" s="2"/>
      <c r="B387" s="158"/>
      <c r="C387" s="234"/>
      <c r="D387" t="str">
        <f>IF(allExpenses_table[[#This Row],[Date]]="","",TEXT(allExpenses_table[[#This Row],[Date]],"mmmm"))</f>
        <v/>
      </c>
      <c r="H387" s="199"/>
      <c r="I387" s="200"/>
      <c r="J387" s="216"/>
      <c r="K387" s="193"/>
      <c r="L387" s="193"/>
      <c r="M387" s="194"/>
    </row>
    <row r="388" spans="1:13" x14ac:dyDescent="0.3">
      <c r="A388" s="2"/>
      <c r="B388" s="158"/>
      <c r="C388" s="234"/>
      <c r="D388" t="str">
        <f>IF(allExpenses_table[[#This Row],[Date]]="","",TEXT(allExpenses_table[[#This Row],[Date]],"mmmm"))</f>
        <v/>
      </c>
      <c r="H388" s="203"/>
      <c r="I388" s="204"/>
      <c r="J388" s="217"/>
      <c r="K388" s="192"/>
      <c r="L388" s="192"/>
      <c r="M388" s="52"/>
    </row>
    <row r="389" spans="1:13" x14ac:dyDescent="0.3">
      <c r="A389" s="2"/>
      <c r="B389" s="158"/>
      <c r="C389" s="234"/>
      <c r="D389" t="str">
        <f>IF(allExpenses_table[[#This Row],[Date]]="","",TEXT(allExpenses_table[[#This Row],[Date]],"mmmm"))</f>
        <v/>
      </c>
      <c r="H389" s="199"/>
      <c r="I389" s="200"/>
      <c r="J389" s="216"/>
      <c r="K389" s="193"/>
      <c r="L389" s="193"/>
      <c r="M389" s="194"/>
    </row>
    <row r="390" spans="1:13" x14ac:dyDescent="0.3">
      <c r="A390" s="2"/>
      <c r="B390" s="158"/>
      <c r="C390" s="234"/>
      <c r="D390" t="str">
        <f>IF(allExpenses_table[[#This Row],[Date]]="","",TEXT(allExpenses_table[[#This Row],[Date]],"mmmm"))</f>
        <v/>
      </c>
      <c r="H390" s="203"/>
      <c r="I390" s="204"/>
      <c r="J390" s="217"/>
      <c r="K390" s="192"/>
      <c r="L390" s="192"/>
      <c r="M390" s="52"/>
    </row>
    <row r="391" spans="1:13" x14ac:dyDescent="0.3">
      <c r="A391" s="2"/>
      <c r="B391" s="158"/>
      <c r="C391" s="234"/>
      <c r="D391" t="str">
        <f>IF(allExpenses_table[[#This Row],[Date]]="","",TEXT(allExpenses_table[[#This Row],[Date]],"mmmm"))</f>
        <v/>
      </c>
      <c r="H391" s="199"/>
      <c r="I391" s="200"/>
      <c r="J391" s="216"/>
      <c r="K391" s="193"/>
      <c r="L391" s="193"/>
      <c r="M391" s="194"/>
    </row>
    <row r="392" spans="1:13" x14ac:dyDescent="0.3">
      <c r="A392" s="2"/>
      <c r="B392" s="158"/>
      <c r="C392" s="234"/>
      <c r="D392" t="str">
        <f>IF(allExpenses_table[[#This Row],[Date]]="","",TEXT(allExpenses_table[[#This Row],[Date]],"mmmm"))</f>
        <v/>
      </c>
      <c r="H392" s="203"/>
      <c r="I392" s="204"/>
      <c r="J392" s="217"/>
      <c r="K392" s="192"/>
      <c r="L392" s="192"/>
      <c r="M392" s="52"/>
    </row>
    <row r="393" spans="1:13" x14ac:dyDescent="0.3">
      <c r="A393" s="2"/>
      <c r="B393" s="158"/>
      <c r="C393" s="234"/>
      <c r="D393" t="str">
        <f>IF(allExpenses_table[[#This Row],[Date]]="","",TEXT(allExpenses_table[[#This Row],[Date]],"mmmm"))</f>
        <v/>
      </c>
      <c r="H393" s="199"/>
      <c r="I393" s="200"/>
      <c r="J393" s="216"/>
      <c r="K393" s="193"/>
      <c r="L393" s="193"/>
      <c r="M393" s="194"/>
    </row>
    <row r="394" spans="1:13" x14ac:dyDescent="0.3">
      <c r="A394" s="2"/>
      <c r="B394" s="158"/>
      <c r="C394" s="234"/>
      <c r="D394" t="str">
        <f>IF(allExpenses_table[[#This Row],[Date]]="","",TEXT(allExpenses_table[[#This Row],[Date]],"mmmm"))</f>
        <v/>
      </c>
      <c r="H394" s="203"/>
      <c r="I394" s="204"/>
      <c r="J394" s="217"/>
      <c r="K394" s="192"/>
      <c r="L394" s="192"/>
      <c r="M394" s="52"/>
    </row>
    <row r="395" spans="1:13" x14ac:dyDescent="0.3">
      <c r="A395" s="2"/>
      <c r="B395" s="158"/>
      <c r="C395" s="234"/>
      <c r="D395" t="str">
        <f>IF(allExpenses_table[[#This Row],[Date]]="","",TEXT(allExpenses_table[[#This Row],[Date]],"mmmm"))</f>
        <v/>
      </c>
      <c r="H395" s="199"/>
      <c r="I395" s="200"/>
      <c r="J395" s="216"/>
      <c r="K395" s="193"/>
      <c r="L395" s="193"/>
      <c r="M395" s="194"/>
    </row>
    <row r="396" spans="1:13" x14ac:dyDescent="0.3">
      <c r="A396" s="2"/>
      <c r="B396" s="158"/>
      <c r="C396" s="234"/>
      <c r="D396" t="str">
        <f>IF(allExpenses_table[[#This Row],[Date]]="","",TEXT(allExpenses_table[[#This Row],[Date]],"mmmm"))</f>
        <v/>
      </c>
      <c r="H396" s="203"/>
      <c r="I396" s="204"/>
      <c r="J396" s="217"/>
      <c r="K396" s="192"/>
      <c r="L396" s="192"/>
      <c r="M396" s="52"/>
    </row>
    <row r="397" spans="1:13" x14ac:dyDescent="0.3">
      <c r="A397" s="2"/>
      <c r="B397" s="158"/>
      <c r="C397" s="234"/>
      <c r="D397" t="str">
        <f>IF(allExpenses_table[[#This Row],[Date]]="","",TEXT(allExpenses_table[[#This Row],[Date]],"mmmm"))</f>
        <v/>
      </c>
      <c r="H397" s="199"/>
      <c r="I397" s="200"/>
      <c r="J397" s="216"/>
      <c r="K397" s="193"/>
      <c r="L397" s="193"/>
      <c r="M397" s="194"/>
    </row>
    <row r="398" spans="1:13" x14ac:dyDescent="0.3">
      <c r="A398" s="2"/>
      <c r="B398" s="158"/>
      <c r="C398" s="234"/>
      <c r="D398" t="str">
        <f>IF(allExpenses_table[[#This Row],[Date]]="","",TEXT(allExpenses_table[[#This Row],[Date]],"mmmm"))</f>
        <v/>
      </c>
      <c r="H398" s="203"/>
      <c r="I398" s="204"/>
      <c r="J398" s="217"/>
      <c r="K398" s="192"/>
      <c r="L398" s="192"/>
      <c r="M398" s="52"/>
    </row>
    <row r="399" spans="1:13" x14ac:dyDescent="0.3">
      <c r="A399" s="2"/>
      <c r="B399" s="158"/>
      <c r="C399" s="234"/>
      <c r="D399" t="str">
        <f>IF(allExpenses_table[[#This Row],[Date]]="","",TEXT(allExpenses_table[[#This Row],[Date]],"mmmm"))</f>
        <v/>
      </c>
      <c r="H399" s="199"/>
      <c r="I399" s="200"/>
      <c r="J399" s="216"/>
      <c r="K399" s="193"/>
      <c r="L399" s="193"/>
      <c r="M399" s="194"/>
    </row>
    <row r="400" spans="1:13" x14ac:dyDescent="0.3">
      <c r="A400" s="2"/>
      <c r="B400" s="158"/>
      <c r="C400" s="234"/>
      <c r="D400" t="str">
        <f>IF(allExpenses_table[[#This Row],[Date]]="","",TEXT(allExpenses_table[[#This Row],[Date]],"mmmm"))</f>
        <v/>
      </c>
      <c r="H400" s="203"/>
      <c r="I400" s="204"/>
      <c r="J400" s="217"/>
      <c r="K400" s="192"/>
      <c r="L400" s="192"/>
      <c r="M400" s="52"/>
    </row>
    <row r="401" spans="1:13" x14ac:dyDescent="0.3">
      <c r="A401" s="2"/>
      <c r="B401" s="158"/>
      <c r="C401" s="234"/>
      <c r="D401" t="str">
        <f>IF(allExpenses_table[[#This Row],[Date]]="","",TEXT(allExpenses_table[[#This Row],[Date]],"mmmm"))</f>
        <v/>
      </c>
      <c r="H401" s="199"/>
      <c r="I401" s="200"/>
      <c r="J401" s="216"/>
      <c r="K401" s="193"/>
      <c r="L401" s="193"/>
      <c r="M401" s="194"/>
    </row>
    <row r="402" spans="1:13" x14ac:dyDescent="0.3">
      <c r="A402" s="2"/>
      <c r="B402" s="158"/>
      <c r="C402" s="234"/>
      <c r="D402" t="str">
        <f>IF(allExpenses_table[[#This Row],[Date]]="","",TEXT(allExpenses_table[[#This Row],[Date]],"mmmm"))</f>
        <v/>
      </c>
      <c r="H402" s="203"/>
      <c r="I402" s="204"/>
      <c r="J402" s="217"/>
      <c r="K402" s="192"/>
      <c r="L402" s="192"/>
      <c r="M402" s="52"/>
    </row>
    <row r="403" spans="1:13" x14ac:dyDescent="0.3">
      <c r="A403" s="2"/>
      <c r="B403" s="158"/>
      <c r="C403" s="234"/>
      <c r="D403" t="str">
        <f>IF(allExpenses_table[[#This Row],[Date]]="","",TEXT(allExpenses_table[[#This Row],[Date]],"mmmm"))</f>
        <v/>
      </c>
      <c r="H403" s="199"/>
      <c r="I403" s="200"/>
      <c r="J403" s="216"/>
      <c r="K403" s="193"/>
      <c r="L403" s="193"/>
      <c r="M403" s="194"/>
    </row>
    <row r="404" spans="1:13" x14ac:dyDescent="0.3">
      <c r="A404" s="2"/>
      <c r="B404" s="158"/>
      <c r="C404" s="234"/>
      <c r="D404" t="str">
        <f>IF(allExpenses_table[[#This Row],[Date]]="","",TEXT(allExpenses_table[[#This Row],[Date]],"mmmm"))</f>
        <v/>
      </c>
      <c r="H404" s="203"/>
      <c r="I404" s="204"/>
      <c r="J404" s="217"/>
      <c r="K404" s="192"/>
      <c r="L404" s="192"/>
      <c r="M404" s="52"/>
    </row>
    <row r="405" spans="1:13" x14ac:dyDescent="0.3">
      <c r="A405" s="2"/>
      <c r="B405" s="158"/>
      <c r="C405" s="234"/>
      <c r="D405" t="str">
        <f>IF(allExpenses_table[[#This Row],[Date]]="","",TEXT(allExpenses_table[[#This Row],[Date]],"mmmm"))</f>
        <v/>
      </c>
      <c r="H405" s="199"/>
      <c r="I405" s="200"/>
      <c r="J405" s="216"/>
      <c r="K405" s="193"/>
      <c r="L405" s="193"/>
      <c r="M405" s="194"/>
    </row>
    <row r="406" spans="1:13" x14ac:dyDescent="0.3">
      <c r="A406" s="2"/>
      <c r="B406" s="158"/>
      <c r="C406" s="234"/>
      <c r="D406" t="str">
        <f>IF(allExpenses_table[[#This Row],[Date]]="","",TEXT(allExpenses_table[[#This Row],[Date]],"mmmm"))</f>
        <v/>
      </c>
      <c r="H406" s="203"/>
      <c r="I406" s="204"/>
      <c r="J406" s="217"/>
      <c r="K406" s="192"/>
      <c r="L406" s="192"/>
      <c r="M406" s="52"/>
    </row>
    <row r="407" spans="1:13" x14ac:dyDescent="0.3">
      <c r="A407" s="2"/>
      <c r="B407" s="158"/>
      <c r="C407" s="234"/>
      <c r="D407" t="str">
        <f>IF(allExpenses_table[[#This Row],[Date]]="","",TEXT(allExpenses_table[[#This Row],[Date]],"mmmm"))</f>
        <v/>
      </c>
      <c r="H407" s="199"/>
      <c r="I407" s="200"/>
      <c r="J407" s="216"/>
      <c r="K407" s="193"/>
      <c r="L407" s="193"/>
      <c r="M407" s="194"/>
    </row>
    <row r="408" spans="1:13" x14ac:dyDescent="0.3">
      <c r="A408" s="2"/>
      <c r="B408" s="158"/>
      <c r="C408" s="234"/>
      <c r="D408" t="str">
        <f>IF(allExpenses_table[[#This Row],[Date]]="","",TEXT(allExpenses_table[[#This Row],[Date]],"mmmm"))</f>
        <v/>
      </c>
      <c r="H408" s="203"/>
      <c r="I408" s="204"/>
      <c r="J408" s="217"/>
      <c r="K408" s="192"/>
      <c r="L408" s="192"/>
      <c r="M408" s="52"/>
    </row>
    <row r="409" spans="1:13" x14ac:dyDescent="0.3">
      <c r="A409" s="2"/>
      <c r="B409" s="158"/>
      <c r="C409" s="234"/>
      <c r="D409" t="str">
        <f>IF(allExpenses_table[[#This Row],[Date]]="","",TEXT(allExpenses_table[[#This Row],[Date]],"mmmm"))</f>
        <v/>
      </c>
      <c r="H409" s="199"/>
      <c r="I409" s="200"/>
      <c r="J409" s="216"/>
      <c r="K409" s="193"/>
      <c r="L409" s="193"/>
      <c r="M409" s="194"/>
    </row>
    <row r="410" spans="1:13" x14ac:dyDescent="0.3">
      <c r="A410" s="2"/>
      <c r="B410" s="158"/>
      <c r="C410" s="234"/>
      <c r="D410" t="str">
        <f>IF(allExpenses_table[[#This Row],[Date]]="","",TEXT(allExpenses_table[[#This Row],[Date]],"mmmm"))</f>
        <v/>
      </c>
      <c r="H410" s="203"/>
      <c r="I410" s="204"/>
      <c r="J410" s="217"/>
      <c r="K410" s="192"/>
      <c r="L410" s="192"/>
      <c r="M410" s="52"/>
    </row>
    <row r="411" spans="1:13" x14ac:dyDescent="0.3">
      <c r="A411" s="2"/>
      <c r="B411" s="158"/>
      <c r="C411" s="234"/>
      <c r="D411" t="str">
        <f>IF(allExpenses_table[[#This Row],[Date]]="","",TEXT(allExpenses_table[[#This Row],[Date]],"mmmm"))</f>
        <v/>
      </c>
      <c r="H411" s="199"/>
      <c r="I411" s="200"/>
      <c r="J411" s="216"/>
      <c r="K411" s="193"/>
      <c r="L411" s="193"/>
      <c r="M411" s="194"/>
    </row>
    <row r="412" spans="1:13" x14ac:dyDescent="0.3">
      <c r="A412" s="2"/>
      <c r="B412" s="158"/>
      <c r="C412" s="234"/>
      <c r="D412" t="str">
        <f>IF(allExpenses_table[[#This Row],[Date]]="","",TEXT(allExpenses_table[[#This Row],[Date]],"mmmm"))</f>
        <v/>
      </c>
      <c r="H412" s="203"/>
      <c r="I412" s="204"/>
      <c r="J412" s="217"/>
      <c r="K412" s="192"/>
      <c r="L412" s="192"/>
      <c r="M412" s="52"/>
    </row>
    <row r="413" spans="1:13" x14ac:dyDescent="0.3">
      <c r="A413" s="2"/>
      <c r="B413" s="158"/>
      <c r="C413" s="234"/>
      <c r="D413" t="str">
        <f>IF(allExpenses_table[[#This Row],[Date]]="","",TEXT(allExpenses_table[[#This Row],[Date]],"mmmm"))</f>
        <v/>
      </c>
      <c r="H413" s="199"/>
      <c r="I413" s="200"/>
      <c r="J413" s="216"/>
      <c r="K413" s="193"/>
      <c r="L413" s="193"/>
      <c r="M413" s="194"/>
    </row>
    <row r="414" spans="1:13" x14ac:dyDescent="0.3">
      <c r="A414" s="2"/>
      <c r="B414" s="158"/>
      <c r="C414" s="234"/>
      <c r="D414" t="str">
        <f>IF(allExpenses_table[[#This Row],[Date]]="","",TEXT(allExpenses_table[[#This Row],[Date]],"mmmm"))</f>
        <v/>
      </c>
      <c r="H414" s="203"/>
      <c r="I414" s="204"/>
      <c r="J414" s="217"/>
      <c r="K414" s="192"/>
      <c r="L414" s="192"/>
      <c r="M414" s="52"/>
    </row>
    <row r="415" spans="1:13" x14ac:dyDescent="0.3">
      <c r="A415" s="2"/>
      <c r="B415" s="158"/>
      <c r="C415" s="234"/>
      <c r="D415" t="str">
        <f>IF(allExpenses_table[[#This Row],[Date]]="","",TEXT(allExpenses_table[[#This Row],[Date]],"mmmm"))</f>
        <v/>
      </c>
      <c r="H415" s="199"/>
      <c r="I415" s="200"/>
      <c r="J415" s="216"/>
      <c r="K415" s="193"/>
      <c r="L415" s="193"/>
      <c r="M415" s="194"/>
    </row>
    <row r="416" spans="1:13" x14ac:dyDescent="0.3">
      <c r="A416" s="2"/>
      <c r="B416" s="158"/>
      <c r="C416" s="234"/>
      <c r="D416" t="str">
        <f>IF(allExpenses_table[[#This Row],[Date]]="","",TEXT(allExpenses_table[[#This Row],[Date]],"mmmm"))</f>
        <v/>
      </c>
      <c r="H416" s="203"/>
      <c r="I416" s="204"/>
      <c r="J416" s="217"/>
      <c r="K416" s="192"/>
      <c r="L416" s="192"/>
      <c r="M416" s="52"/>
    </row>
    <row r="417" spans="1:13" x14ac:dyDescent="0.3">
      <c r="A417" s="2"/>
      <c r="B417" s="158"/>
      <c r="C417" s="234"/>
      <c r="D417" t="str">
        <f>IF(allExpenses_table[[#This Row],[Date]]="","",TEXT(allExpenses_table[[#This Row],[Date]],"mmmm"))</f>
        <v/>
      </c>
      <c r="H417" s="199"/>
      <c r="I417" s="200"/>
      <c r="J417" s="216"/>
      <c r="K417" s="193"/>
      <c r="L417" s="193"/>
      <c r="M417" s="194"/>
    </row>
    <row r="418" spans="1:13" x14ac:dyDescent="0.3">
      <c r="A418" s="2"/>
      <c r="B418" s="158"/>
      <c r="C418" s="234"/>
      <c r="D418" t="str">
        <f>IF(allExpenses_table[[#This Row],[Date]]="","",TEXT(allExpenses_table[[#This Row],[Date]],"mmmm"))</f>
        <v/>
      </c>
      <c r="H418" s="203"/>
      <c r="I418" s="204"/>
      <c r="J418" s="217"/>
      <c r="K418" s="192"/>
      <c r="L418" s="192"/>
      <c r="M418" s="52"/>
    </row>
    <row r="419" spans="1:13" x14ac:dyDescent="0.3">
      <c r="A419" s="2"/>
      <c r="B419" s="158"/>
      <c r="C419" s="234"/>
      <c r="D419" t="str">
        <f>IF(allExpenses_table[[#This Row],[Date]]="","",TEXT(allExpenses_table[[#This Row],[Date]],"mmmm"))</f>
        <v/>
      </c>
      <c r="H419" s="199"/>
      <c r="I419" s="200"/>
      <c r="J419" s="216"/>
      <c r="K419" s="193"/>
      <c r="L419" s="193"/>
      <c r="M419" s="194"/>
    </row>
    <row r="420" spans="1:13" x14ac:dyDescent="0.3">
      <c r="A420" s="2"/>
      <c r="B420" s="158"/>
      <c r="C420" s="234"/>
      <c r="D420" t="str">
        <f>IF(allExpenses_table[[#This Row],[Date]]="","",TEXT(allExpenses_table[[#This Row],[Date]],"mmmm"))</f>
        <v/>
      </c>
      <c r="H420" s="203"/>
      <c r="I420" s="204"/>
      <c r="J420" s="217"/>
      <c r="K420" s="192"/>
      <c r="L420" s="192"/>
      <c r="M420" s="52"/>
    </row>
    <row r="421" spans="1:13" x14ac:dyDescent="0.3">
      <c r="A421" s="2"/>
      <c r="B421" s="158"/>
      <c r="C421" s="234"/>
      <c r="D421" t="str">
        <f>IF(allExpenses_table[[#This Row],[Date]]="","",TEXT(allExpenses_table[[#This Row],[Date]],"mmmm"))</f>
        <v/>
      </c>
      <c r="H421" s="199"/>
      <c r="I421" s="200"/>
      <c r="J421" s="216"/>
      <c r="K421" s="193"/>
      <c r="L421" s="193"/>
      <c r="M421" s="194"/>
    </row>
    <row r="422" spans="1:13" x14ac:dyDescent="0.3">
      <c r="A422" s="2"/>
      <c r="B422" s="158"/>
      <c r="C422" s="234"/>
      <c r="D422" t="str">
        <f>IF(allExpenses_table[[#This Row],[Date]]="","",TEXT(allExpenses_table[[#This Row],[Date]],"mmmm"))</f>
        <v/>
      </c>
      <c r="H422" s="203"/>
      <c r="I422" s="204"/>
      <c r="J422" s="217"/>
      <c r="K422" s="192"/>
      <c r="L422" s="192"/>
      <c r="M422" s="52"/>
    </row>
    <row r="423" spans="1:13" x14ac:dyDescent="0.3">
      <c r="A423" s="2"/>
      <c r="B423" s="158"/>
      <c r="C423" s="234"/>
      <c r="D423" t="str">
        <f>IF(allExpenses_table[[#This Row],[Date]]="","",TEXT(allExpenses_table[[#This Row],[Date]],"mmmm"))</f>
        <v/>
      </c>
      <c r="H423" s="199"/>
      <c r="I423" s="200"/>
      <c r="J423" s="216"/>
      <c r="K423" s="193"/>
      <c r="L423" s="193"/>
      <c r="M423" s="194"/>
    </row>
    <row r="424" spans="1:13" x14ac:dyDescent="0.3">
      <c r="A424" s="2"/>
      <c r="B424" s="158"/>
      <c r="C424" s="234"/>
      <c r="D424" t="str">
        <f>IF(allExpenses_table[[#This Row],[Date]]="","",TEXT(allExpenses_table[[#This Row],[Date]],"mmmm"))</f>
        <v/>
      </c>
      <c r="H424" s="203"/>
      <c r="I424" s="204"/>
      <c r="J424" s="217"/>
      <c r="K424" s="192"/>
      <c r="L424" s="192"/>
      <c r="M424" s="52"/>
    </row>
    <row r="425" spans="1:13" x14ac:dyDescent="0.3">
      <c r="A425" s="2"/>
      <c r="B425" s="158"/>
      <c r="C425" s="234"/>
      <c r="D425" t="str">
        <f>IF(allExpenses_table[[#This Row],[Date]]="","",TEXT(allExpenses_table[[#This Row],[Date]],"mmmm"))</f>
        <v/>
      </c>
      <c r="H425" s="199"/>
      <c r="I425" s="200"/>
      <c r="J425" s="216"/>
      <c r="K425" s="193"/>
      <c r="L425" s="193"/>
      <c r="M425" s="194"/>
    </row>
    <row r="426" spans="1:13" x14ac:dyDescent="0.3">
      <c r="A426" s="2"/>
      <c r="B426" s="158"/>
      <c r="C426" s="234"/>
      <c r="D426" t="str">
        <f>IF(allExpenses_table[[#This Row],[Date]]="","",TEXT(allExpenses_table[[#This Row],[Date]],"mmmm"))</f>
        <v/>
      </c>
      <c r="H426" s="203"/>
      <c r="I426" s="204"/>
      <c r="J426" s="217"/>
      <c r="K426" s="192"/>
      <c r="L426" s="192"/>
      <c r="M426" s="52"/>
    </row>
    <row r="427" spans="1:13" x14ac:dyDescent="0.3">
      <c r="A427" s="2"/>
      <c r="B427" s="158"/>
      <c r="C427" s="234"/>
      <c r="D427" t="str">
        <f>IF(allExpenses_table[[#This Row],[Date]]="","",TEXT(allExpenses_table[[#This Row],[Date]],"mmmm"))</f>
        <v/>
      </c>
      <c r="H427" s="199"/>
      <c r="I427" s="200"/>
      <c r="J427" s="216"/>
      <c r="K427" s="193"/>
      <c r="L427" s="193"/>
      <c r="M427" s="194"/>
    </row>
    <row r="428" spans="1:13" x14ac:dyDescent="0.3">
      <c r="A428" s="2"/>
      <c r="B428" s="158"/>
      <c r="C428" s="234"/>
      <c r="D428" t="str">
        <f>IF(allExpenses_table[[#This Row],[Date]]="","",TEXT(allExpenses_table[[#This Row],[Date]],"mmmm"))</f>
        <v/>
      </c>
      <c r="H428" s="203"/>
      <c r="I428" s="204"/>
      <c r="J428" s="217"/>
      <c r="K428" s="192"/>
      <c r="L428" s="192"/>
      <c r="M428" s="52"/>
    </row>
    <row r="429" spans="1:13" x14ac:dyDescent="0.3">
      <c r="A429" s="2"/>
      <c r="B429" s="158"/>
      <c r="C429" s="234"/>
      <c r="D429" t="str">
        <f>IF(allExpenses_table[[#This Row],[Date]]="","",TEXT(allExpenses_table[[#This Row],[Date]],"mmmm"))</f>
        <v/>
      </c>
      <c r="H429" s="199"/>
      <c r="I429" s="200"/>
      <c r="J429" s="216"/>
      <c r="K429" s="193"/>
      <c r="L429" s="193"/>
      <c r="M429" s="194"/>
    </row>
    <row r="430" spans="1:13" x14ac:dyDescent="0.3">
      <c r="A430" s="2"/>
      <c r="B430" s="158"/>
      <c r="C430" s="234"/>
      <c r="D430" t="str">
        <f>IF(allExpenses_table[[#This Row],[Date]]="","",TEXT(allExpenses_table[[#This Row],[Date]],"mmmm"))</f>
        <v/>
      </c>
      <c r="H430" s="203"/>
      <c r="I430" s="204"/>
      <c r="J430" s="217"/>
      <c r="K430" s="192"/>
      <c r="L430" s="192"/>
      <c r="M430" s="52"/>
    </row>
    <row r="431" spans="1:13" x14ac:dyDescent="0.3">
      <c r="A431" s="2"/>
      <c r="B431" s="158"/>
      <c r="C431" s="234"/>
      <c r="D431" t="str">
        <f>IF(allExpenses_table[[#This Row],[Date]]="","",TEXT(allExpenses_table[[#This Row],[Date]],"mmmm"))</f>
        <v/>
      </c>
      <c r="H431" s="199"/>
      <c r="I431" s="200"/>
      <c r="J431" s="216"/>
      <c r="K431" s="193"/>
      <c r="L431" s="193"/>
      <c r="M431" s="194"/>
    </row>
    <row r="432" spans="1:13" x14ac:dyDescent="0.3">
      <c r="A432" s="2"/>
      <c r="B432" s="158"/>
      <c r="C432" s="234"/>
      <c r="D432" t="str">
        <f>IF(allExpenses_table[[#This Row],[Date]]="","",TEXT(allExpenses_table[[#This Row],[Date]],"mmmm"))</f>
        <v/>
      </c>
      <c r="H432" s="203"/>
      <c r="I432" s="204"/>
      <c r="J432" s="217"/>
      <c r="K432" s="192"/>
      <c r="L432" s="192"/>
      <c r="M432" s="52"/>
    </row>
    <row r="433" spans="1:13" x14ac:dyDescent="0.3">
      <c r="A433" s="2"/>
      <c r="B433" s="158"/>
      <c r="C433" s="234"/>
      <c r="D433" t="str">
        <f>IF(allExpenses_table[[#This Row],[Date]]="","",TEXT(allExpenses_table[[#This Row],[Date]],"mmmm"))</f>
        <v/>
      </c>
      <c r="H433" s="199"/>
      <c r="I433" s="200"/>
      <c r="J433" s="216"/>
      <c r="K433" s="193"/>
      <c r="L433" s="193"/>
      <c r="M433" s="194"/>
    </row>
    <row r="434" spans="1:13" x14ac:dyDescent="0.3">
      <c r="A434" s="2"/>
      <c r="B434" s="158"/>
      <c r="C434" s="234"/>
      <c r="D434" t="str">
        <f>IF(allExpenses_table[[#This Row],[Date]]="","",TEXT(allExpenses_table[[#This Row],[Date]],"mmmm"))</f>
        <v/>
      </c>
      <c r="H434" s="203"/>
      <c r="I434" s="204"/>
      <c r="J434" s="217"/>
      <c r="K434" s="192"/>
      <c r="L434" s="192"/>
      <c r="M434" s="52"/>
    </row>
    <row r="435" spans="1:13" x14ac:dyDescent="0.3">
      <c r="A435" s="2"/>
      <c r="B435" s="158"/>
      <c r="C435" s="234"/>
      <c r="D435" t="str">
        <f>IF(allExpenses_table[[#This Row],[Date]]="","",TEXT(allExpenses_table[[#This Row],[Date]],"mmmm"))</f>
        <v/>
      </c>
      <c r="H435" s="199"/>
      <c r="I435" s="200"/>
      <c r="J435" s="216"/>
      <c r="K435" s="193"/>
      <c r="L435" s="193"/>
      <c r="M435" s="194"/>
    </row>
    <row r="436" spans="1:13" x14ac:dyDescent="0.3">
      <c r="A436" s="2"/>
      <c r="B436" s="158"/>
      <c r="C436" s="234"/>
      <c r="D436" t="str">
        <f>IF(allExpenses_table[[#This Row],[Date]]="","",TEXT(allExpenses_table[[#This Row],[Date]],"mmmm"))</f>
        <v/>
      </c>
      <c r="H436" s="203"/>
      <c r="I436" s="204"/>
      <c r="J436" s="217"/>
      <c r="K436" s="192"/>
      <c r="L436" s="192"/>
      <c r="M436" s="52"/>
    </row>
    <row r="437" spans="1:13" x14ac:dyDescent="0.3">
      <c r="A437" s="2"/>
      <c r="B437" s="158"/>
      <c r="C437" s="234"/>
      <c r="D437" t="str">
        <f>IF(allExpenses_table[[#This Row],[Date]]="","",TEXT(allExpenses_table[[#This Row],[Date]],"mmmm"))</f>
        <v/>
      </c>
      <c r="H437" s="199"/>
      <c r="I437" s="200"/>
      <c r="J437" s="216"/>
      <c r="K437" s="193"/>
      <c r="L437" s="193"/>
      <c r="M437" s="194"/>
    </row>
    <row r="438" spans="1:13" x14ac:dyDescent="0.3">
      <c r="A438" s="2"/>
      <c r="B438" s="158"/>
      <c r="C438" s="234"/>
      <c r="D438" t="str">
        <f>IF(allExpenses_table[[#This Row],[Date]]="","",TEXT(allExpenses_table[[#This Row],[Date]],"mmmm"))</f>
        <v/>
      </c>
      <c r="H438" s="203"/>
      <c r="I438" s="204"/>
      <c r="J438" s="217"/>
      <c r="K438" s="192"/>
      <c r="L438" s="192"/>
      <c r="M438" s="52"/>
    </row>
    <row r="439" spans="1:13" x14ac:dyDescent="0.3">
      <c r="A439" s="2"/>
      <c r="B439" s="158"/>
      <c r="C439" s="234"/>
      <c r="D439" t="str">
        <f>IF(allExpenses_table[[#This Row],[Date]]="","",TEXT(allExpenses_table[[#This Row],[Date]],"mmmm"))</f>
        <v/>
      </c>
      <c r="H439" s="199"/>
      <c r="I439" s="200"/>
      <c r="J439" s="216"/>
      <c r="K439" s="193"/>
      <c r="L439" s="193"/>
      <c r="M439" s="194"/>
    </row>
    <row r="440" spans="1:13" x14ac:dyDescent="0.3">
      <c r="A440" s="2"/>
      <c r="B440" s="158"/>
      <c r="C440" s="234"/>
      <c r="D440" t="str">
        <f>IF(allExpenses_table[[#This Row],[Date]]="","",TEXT(allExpenses_table[[#This Row],[Date]],"mmmm"))</f>
        <v/>
      </c>
      <c r="H440" s="203"/>
      <c r="I440" s="204"/>
      <c r="J440" s="217"/>
      <c r="K440" s="192"/>
      <c r="L440" s="192"/>
      <c r="M440" s="52"/>
    </row>
    <row r="441" spans="1:13" x14ac:dyDescent="0.3">
      <c r="A441" s="2"/>
      <c r="B441" s="158"/>
      <c r="C441" s="234"/>
      <c r="D441" t="str">
        <f>IF(allExpenses_table[[#This Row],[Date]]="","",TEXT(allExpenses_table[[#This Row],[Date]],"mmmm"))</f>
        <v/>
      </c>
      <c r="H441" s="199"/>
      <c r="I441" s="200"/>
      <c r="J441" s="216"/>
      <c r="K441" s="193"/>
      <c r="L441" s="193"/>
      <c r="M441" s="194"/>
    </row>
    <row r="442" spans="1:13" x14ac:dyDescent="0.3">
      <c r="A442" s="2"/>
      <c r="B442" s="158"/>
      <c r="C442" s="234"/>
      <c r="D442" t="str">
        <f>IF(allExpenses_table[[#This Row],[Date]]="","",TEXT(allExpenses_table[[#This Row],[Date]],"mmmm"))</f>
        <v/>
      </c>
      <c r="H442" s="203"/>
      <c r="I442" s="204"/>
      <c r="J442" s="217"/>
      <c r="K442" s="192"/>
      <c r="L442" s="192"/>
      <c r="M442" s="52"/>
    </row>
    <row r="443" spans="1:13" x14ac:dyDescent="0.3">
      <c r="A443" s="2"/>
      <c r="B443" s="158"/>
      <c r="C443" s="234"/>
      <c r="D443" t="str">
        <f>IF(allExpenses_table[[#This Row],[Date]]="","",TEXT(allExpenses_table[[#This Row],[Date]],"mmmm"))</f>
        <v/>
      </c>
      <c r="H443" s="199"/>
      <c r="I443" s="200"/>
      <c r="J443" s="216"/>
      <c r="K443" s="193"/>
      <c r="L443" s="193"/>
      <c r="M443" s="194"/>
    </row>
    <row r="444" spans="1:13" x14ac:dyDescent="0.3">
      <c r="A444" s="2"/>
      <c r="B444" s="158"/>
      <c r="C444" s="234"/>
      <c r="D444" t="str">
        <f>IF(allExpenses_table[[#This Row],[Date]]="","",TEXT(allExpenses_table[[#This Row],[Date]],"mmmm"))</f>
        <v/>
      </c>
      <c r="H444" s="203"/>
      <c r="I444" s="204"/>
      <c r="J444" s="217"/>
      <c r="K444" s="192"/>
      <c r="L444" s="192"/>
      <c r="M444" s="52"/>
    </row>
    <row r="445" spans="1:13" x14ac:dyDescent="0.3">
      <c r="A445" s="2"/>
      <c r="B445" s="158"/>
      <c r="C445" s="234"/>
      <c r="D445" t="str">
        <f>IF(allExpenses_table[[#This Row],[Date]]="","",TEXT(allExpenses_table[[#This Row],[Date]],"mmmm"))</f>
        <v/>
      </c>
      <c r="H445" s="199"/>
      <c r="I445" s="200"/>
      <c r="J445" s="216"/>
      <c r="K445" s="193"/>
      <c r="L445" s="193"/>
      <c r="M445" s="194"/>
    </row>
    <row r="446" spans="1:13" x14ac:dyDescent="0.3">
      <c r="A446" s="2"/>
      <c r="B446" s="158"/>
      <c r="C446" s="234"/>
      <c r="D446" t="str">
        <f>IF(allExpenses_table[[#This Row],[Date]]="","",TEXT(allExpenses_table[[#This Row],[Date]],"mmmm"))</f>
        <v/>
      </c>
      <c r="H446" s="203"/>
      <c r="I446" s="204"/>
      <c r="J446" s="217"/>
      <c r="K446" s="192"/>
      <c r="L446" s="192"/>
      <c r="M446" s="52"/>
    </row>
    <row r="447" spans="1:13" x14ac:dyDescent="0.3">
      <c r="A447" s="2"/>
      <c r="B447" s="158"/>
      <c r="C447" s="234"/>
      <c r="D447" t="str">
        <f>IF(allExpenses_table[[#This Row],[Date]]="","",TEXT(allExpenses_table[[#This Row],[Date]],"mmmm"))</f>
        <v/>
      </c>
      <c r="H447" s="199"/>
      <c r="I447" s="200"/>
      <c r="J447" s="216"/>
      <c r="K447" s="193"/>
      <c r="L447" s="193"/>
      <c r="M447" s="194"/>
    </row>
    <row r="448" spans="1:13" x14ac:dyDescent="0.3">
      <c r="A448" s="2"/>
      <c r="B448" s="158"/>
      <c r="C448" s="234"/>
      <c r="D448" t="str">
        <f>IF(allExpenses_table[[#This Row],[Date]]="","",TEXT(allExpenses_table[[#This Row],[Date]],"mmmm"))</f>
        <v/>
      </c>
      <c r="H448" s="203"/>
      <c r="I448" s="204"/>
      <c r="J448" s="217"/>
      <c r="K448" s="192"/>
      <c r="L448" s="192"/>
      <c r="M448" s="52"/>
    </row>
    <row r="449" spans="1:13" x14ac:dyDescent="0.3">
      <c r="A449" s="2"/>
      <c r="B449" s="158"/>
      <c r="C449" s="234"/>
      <c r="D449" t="str">
        <f>IF(allExpenses_table[[#This Row],[Date]]="","",TEXT(allExpenses_table[[#This Row],[Date]],"mmmm"))</f>
        <v/>
      </c>
      <c r="H449" s="199"/>
      <c r="I449" s="200"/>
      <c r="J449" s="216"/>
      <c r="K449" s="193"/>
      <c r="L449" s="193"/>
      <c r="M449" s="194"/>
    </row>
    <row r="450" spans="1:13" x14ac:dyDescent="0.3">
      <c r="A450" s="2"/>
      <c r="B450" s="158"/>
      <c r="C450" s="234"/>
      <c r="D450" t="str">
        <f>IF(allExpenses_table[[#This Row],[Date]]="","",TEXT(allExpenses_table[[#This Row],[Date]],"mmmm"))</f>
        <v/>
      </c>
      <c r="H450" s="203"/>
      <c r="I450" s="204"/>
      <c r="J450" s="217"/>
      <c r="K450" s="192"/>
      <c r="L450" s="192"/>
      <c r="M450" s="52"/>
    </row>
    <row r="451" spans="1:13" x14ac:dyDescent="0.3">
      <c r="A451" s="2"/>
      <c r="B451" s="158"/>
      <c r="C451" s="234"/>
      <c r="D451" t="str">
        <f>IF(allExpenses_table[[#This Row],[Date]]="","",TEXT(allExpenses_table[[#This Row],[Date]],"mmmm"))</f>
        <v/>
      </c>
      <c r="H451" s="199"/>
      <c r="I451" s="200"/>
      <c r="J451" s="216"/>
      <c r="K451" s="193"/>
      <c r="L451" s="193"/>
      <c r="M451" s="194"/>
    </row>
    <row r="452" spans="1:13" x14ac:dyDescent="0.3">
      <c r="A452" s="2"/>
      <c r="B452" s="158"/>
      <c r="C452" s="234"/>
      <c r="D452" t="str">
        <f>IF(allExpenses_table[[#This Row],[Date]]="","",TEXT(allExpenses_table[[#This Row],[Date]],"mmmm"))</f>
        <v/>
      </c>
      <c r="H452" s="203"/>
      <c r="I452" s="204"/>
      <c r="J452" s="217"/>
      <c r="K452" s="192"/>
      <c r="L452" s="192"/>
      <c r="M452" s="52"/>
    </row>
    <row r="453" spans="1:13" x14ac:dyDescent="0.3">
      <c r="A453" s="2"/>
      <c r="B453" s="158"/>
      <c r="C453" s="234"/>
      <c r="D453" t="str">
        <f>IF(allExpenses_table[[#This Row],[Date]]="","",TEXT(allExpenses_table[[#This Row],[Date]],"mmmm"))</f>
        <v/>
      </c>
      <c r="H453" s="199"/>
      <c r="I453" s="200"/>
      <c r="J453" s="216"/>
      <c r="K453" s="193"/>
      <c r="L453" s="193"/>
      <c r="M453" s="194"/>
    </row>
    <row r="454" spans="1:13" x14ac:dyDescent="0.3">
      <c r="A454" s="2"/>
      <c r="B454" s="158"/>
      <c r="C454" s="234"/>
      <c r="D454" t="str">
        <f>IF(allExpenses_table[[#This Row],[Date]]="","",TEXT(allExpenses_table[[#This Row],[Date]],"mmmm"))</f>
        <v/>
      </c>
      <c r="H454" s="203"/>
      <c r="I454" s="204"/>
      <c r="J454" s="217"/>
      <c r="K454" s="192"/>
      <c r="L454" s="192"/>
      <c r="M454" s="52"/>
    </row>
    <row r="455" spans="1:13" x14ac:dyDescent="0.3">
      <c r="A455" s="2"/>
      <c r="B455" s="158"/>
      <c r="C455" s="234"/>
      <c r="D455" t="str">
        <f>IF(allExpenses_table[[#This Row],[Date]]="","",TEXT(allExpenses_table[[#This Row],[Date]],"mmmm"))</f>
        <v/>
      </c>
      <c r="H455" s="199"/>
      <c r="I455" s="200"/>
      <c r="J455" s="216"/>
      <c r="K455" s="193"/>
      <c r="L455" s="193"/>
      <c r="M455" s="194"/>
    </row>
    <row r="456" spans="1:13" x14ac:dyDescent="0.3">
      <c r="A456" s="2"/>
      <c r="B456" s="158"/>
      <c r="C456" s="234"/>
      <c r="D456" t="str">
        <f>IF(allExpenses_table[[#This Row],[Date]]="","",TEXT(allExpenses_table[[#This Row],[Date]],"mmmm"))</f>
        <v/>
      </c>
      <c r="H456" s="203"/>
      <c r="I456" s="204"/>
      <c r="J456" s="217"/>
      <c r="K456" s="192"/>
      <c r="L456" s="192"/>
      <c r="M456" s="52"/>
    </row>
    <row r="457" spans="1:13" x14ac:dyDescent="0.3">
      <c r="A457" s="2"/>
      <c r="B457" s="158"/>
      <c r="C457" s="234"/>
      <c r="D457" t="str">
        <f>IF(allExpenses_table[[#This Row],[Date]]="","",TEXT(allExpenses_table[[#This Row],[Date]],"mmmm"))</f>
        <v/>
      </c>
      <c r="H457" s="199"/>
      <c r="I457" s="200"/>
      <c r="J457" s="216"/>
      <c r="K457" s="193"/>
      <c r="L457" s="193"/>
      <c r="M457" s="194"/>
    </row>
    <row r="458" spans="1:13" x14ac:dyDescent="0.3">
      <c r="A458" s="2"/>
      <c r="B458" s="158"/>
      <c r="C458" s="234"/>
      <c r="D458" t="str">
        <f>IF(allExpenses_table[[#This Row],[Date]]="","",TEXT(allExpenses_table[[#This Row],[Date]],"mmmm"))</f>
        <v/>
      </c>
      <c r="H458" s="203"/>
      <c r="I458" s="204"/>
      <c r="J458" s="217"/>
      <c r="K458" s="192"/>
      <c r="L458" s="192"/>
      <c r="M458" s="52"/>
    </row>
    <row r="459" spans="1:13" x14ac:dyDescent="0.3">
      <c r="A459" s="2"/>
      <c r="B459" s="158"/>
      <c r="C459" s="234"/>
      <c r="D459" t="str">
        <f>IF(allExpenses_table[[#This Row],[Date]]="","",TEXT(allExpenses_table[[#This Row],[Date]],"mmmm"))</f>
        <v/>
      </c>
      <c r="H459" s="199"/>
      <c r="I459" s="200"/>
      <c r="J459" s="216"/>
      <c r="K459" s="193"/>
      <c r="L459" s="193"/>
      <c r="M459" s="194"/>
    </row>
    <row r="460" spans="1:13" x14ac:dyDescent="0.3">
      <c r="A460" s="2"/>
      <c r="B460" s="158"/>
      <c r="C460" s="234"/>
      <c r="D460" t="str">
        <f>IF(allExpenses_table[[#This Row],[Date]]="","",TEXT(allExpenses_table[[#This Row],[Date]],"mmmm"))</f>
        <v/>
      </c>
      <c r="H460" s="203"/>
      <c r="I460" s="204"/>
      <c r="J460" s="217"/>
      <c r="K460" s="192"/>
      <c r="L460" s="192"/>
      <c r="M460" s="52"/>
    </row>
    <row r="461" spans="1:13" x14ac:dyDescent="0.3">
      <c r="A461" s="2"/>
      <c r="B461" s="158"/>
      <c r="C461" s="234"/>
      <c r="D461" t="str">
        <f>IF(allExpenses_table[[#This Row],[Date]]="","",TEXT(allExpenses_table[[#This Row],[Date]],"mmmm"))</f>
        <v/>
      </c>
      <c r="H461" s="199"/>
      <c r="I461" s="200"/>
      <c r="J461" s="216"/>
      <c r="K461" s="193"/>
      <c r="L461" s="193"/>
      <c r="M461" s="194"/>
    </row>
    <row r="462" spans="1:13" x14ac:dyDescent="0.3">
      <c r="A462" s="2"/>
      <c r="B462" s="158"/>
      <c r="C462" s="234"/>
      <c r="D462" t="str">
        <f>IF(allExpenses_table[[#This Row],[Date]]="","",TEXT(allExpenses_table[[#This Row],[Date]],"mmmm"))</f>
        <v/>
      </c>
      <c r="H462" s="203"/>
      <c r="I462" s="204"/>
      <c r="J462" s="217"/>
      <c r="K462" s="192"/>
      <c r="L462" s="192"/>
      <c r="M462" s="52"/>
    </row>
    <row r="463" spans="1:13" x14ac:dyDescent="0.3">
      <c r="A463" s="2"/>
      <c r="B463" s="158"/>
      <c r="C463" s="234"/>
      <c r="D463" t="str">
        <f>IF(allExpenses_table[[#This Row],[Date]]="","",TEXT(allExpenses_table[[#This Row],[Date]],"mmmm"))</f>
        <v/>
      </c>
      <c r="H463" s="199"/>
      <c r="I463" s="200"/>
      <c r="J463" s="216"/>
      <c r="K463" s="193"/>
      <c r="L463" s="193"/>
      <c r="M463" s="194"/>
    </row>
    <row r="464" spans="1:13" x14ac:dyDescent="0.3">
      <c r="A464" s="2"/>
      <c r="B464" s="158"/>
      <c r="C464" s="234"/>
      <c r="D464" t="str">
        <f>IF(allExpenses_table[[#This Row],[Date]]="","",TEXT(allExpenses_table[[#This Row],[Date]],"mmmm"))</f>
        <v/>
      </c>
      <c r="H464" s="203"/>
      <c r="I464" s="204"/>
      <c r="J464" s="217"/>
      <c r="K464" s="192"/>
      <c r="L464" s="192"/>
      <c r="M464" s="52"/>
    </row>
    <row r="465" spans="1:13" x14ac:dyDescent="0.3">
      <c r="A465" s="2"/>
      <c r="B465" s="158"/>
      <c r="C465" s="234"/>
      <c r="D465" t="str">
        <f>IF(allExpenses_table[[#This Row],[Date]]="","",TEXT(allExpenses_table[[#This Row],[Date]],"mmmm"))</f>
        <v/>
      </c>
      <c r="H465" s="199"/>
      <c r="I465" s="200"/>
      <c r="J465" s="216"/>
      <c r="K465" s="193"/>
      <c r="L465" s="193"/>
      <c r="M465" s="194"/>
    </row>
    <row r="466" spans="1:13" x14ac:dyDescent="0.3">
      <c r="A466" s="2"/>
      <c r="B466" s="158"/>
      <c r="C466" s="234"/>
      <c r="D466" t="str">
        <f>IF(allExpenses_table[[#This Row],[Date]]="","",TEXT(allExpenses_table[[#This Row],[Date]],"mmmm"))</f>
        <v/>
      </c>
      <c r="H466" s="203"/>
      <c r="I466" s="204"/>
      <c r="J466" s="217"/>
      <c r="K466" s="192"/>
      <c r="L466" s="192"/>
      <c r="M466" s="52"/>
    </row>
    <row r="467" spans="1:13" x14ac:dyDescent="0.3">
      <c r="A467" s="2"/>
      <c r="B467" s="158"/>
      <c r="C467" s="234"/>
      <c r="D467" t="str">
        <f>IF(allExpenses_table[[#This Row],[Date]]="","",TEXT(allExpenses_table[[#This Row],[Date]],"mmmm"))</f>
        <v/>
      </c>
      <c r="H467" s="199"/>
      <c r="I467" s="200"/>
      <c r="J467" s="216"/>
      <c r="K467" s="193"/>
      <c r="L467" s="193"/>
      <c r="M467" s="194"/>
    </row>
    <row r="468" spans="1:13" x14ac:dyDescent="0.3">
      <c r="A468" s="2"/>
      <c r="B468" s="158"/>
      <c r="C468" s="234"/>
      <c r="D468" t="str">
        <f>IF(allExpenses_table[[#This Row],[Date]]="","",TEXT(allExpenses_table[[#This Row],[Date]],"mmmm"))</f>
        <v/>
      </c>
      <c r="H468" s="203"/>
      <c r="I468" s="204"/>
      <c r="J468" s="217"/>
      <c r="K468" s="192"/>
      <c r="L468" s="192"/>
      <c r="M468" s="52"/>
    </row>
    <row r="469" spans="1:13" x14ac:dyDescent="0.3">
      <c r="A469" s="2"/>
      <c r="B469" s="158"/>
      <c r="C469" s="234"/>
      <c r="D469" t="str">
        <f>IF(allExpenses_table[[#This Row],[Date]]="","",TEXT(allExpenses_table[[#This Row],[Date]],"mmmm"))</f>
        <v/>
      </c>
      <c r="H469" s="199"/>
      <c r="I469" s="200"/>
      <c r="J469" s="216"/>
      <c r="K469" s="193"/>
      <c r="L469" s="193"/>
      <c r="M469" s="194"/>
    </row>
    <row r="470" spans="1:13" x14ac:dyDescent="0.3">
      <c r="A470" s="2"/>
      <c r="B470" s="158"/>
      <c r="C470" s="234"/>
      <c r="D470" t="str">
        <f>IF(allExpenses_table[[#This Row],[Date]]="","",TEXT(allExpenses_table[[#This Row],[Date]],"mmmm"))</f>
        <v/>
      </c>
      <c r="H470" s="203"/>
      <c r="I470" s="204"/>
      <c r="J470" s="217"/>
      <c r="K470" s="192"/>
      <c r="L470" s="192"/>
      <c r="M470" s="52"/>
    </row>
    <row r="471" spans="1:13" x14ac:dyDescent="0.3">
      <c r="A471" s="2"/>
      <c r="B471" s="158"/>
      <c r="C471" s="234"/>
      <c r="D471" t="str">
        <f>IF(allExpenses_table[[#This Row],[Date]]="","",TEXT(allExpenses_table[[#This Row],[Date]],"mmmm"))</f>
        <v/>
      </c>
      <c r="H471" s="199"/>
      <c r="I471" s="200"/>
      <c r="J471" s="216"/>
      <c r="K471" s="193"/>
      <c r="L471" s="193"/>
      <c r="M471" s="194"/>
    </row>
    <row r="472" spans="1:13" x14ac:dyDescent="0.3">
      <c r="A472" s="2"/>
      <c r="B472" s="158"/>
      <c r="C472" s="234"/>
      <c r="D472" t="str">
        <f>IF(allExpenses_table[[#This Row],[Date]]="","",TEXT(allExpenses_table[[#This Row],[Date]],"mmmm"))</f>
        <v/>
      </c>
      <c r="H472" s="203"/>
      <c r="I472" s="204"/>
      <c r="J472" s="217"/>
      <c r="K472" s="192"/>
      <c r="L472" s="192"/>
      <c r="M472" s="52"/>
    </row>
    <row r="473" spans="1:13" x14ac:dyDescent="0.3">
      <c r="A473" s="2"/>
      <c r="B473" s="158"/>
      <c r="C473" s="234"/>
      <c r="D473" t="str">
        <f>IF(allExpenses_table[[#This Row],[Date]]="","",TEXT(allExpenses_table[[#This Row],[Date]],"mmmm"))</f>
        <v/>
      </c>
      <c r="H473" s="199"/>
      <c r="I473" s="200"/>
      <c r="J473" s="216"/>
      <c r="K473" s="193"/>
      <c r="L473" s="193"/>
      <c r="M473" s="194"/>
    </row>
    <row r="474" spans="1:13" x14ac:dyDescent="0.3">
      <c r="A474" s="2"/>
      <c r="B474" s="158"/>
      <c r="C474" s="234"/>
      <c r="D474" t="str">
        <f>IF(allExpenses_table[[#This Row],[Date]]="","",TEXT(allExpenses_table[[#This Row],[Date]],"mmmm"))</f>
        <v/>
      </c>
      <c r="H474" s="203"/>
      <c r="I474" s="204"/>
      <c r="J474" s="217"/>
      <c r="K474" s="192"/>
      <c r="L474" s="192"/>
      <c r="M474" s="52"/>
    </row>
    <row r="475" spans="1:13" x14ac:dyDescent="0.3">
      <c r="A475" s="2"/>
      <c r="B475" s="158"/>
      <c r="C475" s="234"/>
      <c r="D475" t="str">
        <f>IF(allExpenses_table[[#This Row],[Date]]="","",TEXT(allExpenses_table[[#This Row],[Date]],"mmmm"))</f>
        <v/>
      </c>
      <c r="H475" s="199"/>
      <c r="I475" s="200"/>
      <c r="J475" s="216"/>
      <c r="K475" s="193"/>
      <c r="L475" s="193"/>
      <c r="M475" s="194"/>
    </row>
    <row r="476" spans="1:13" x14ac:dyDescent="0.3">
      <c r="A476" s="2"/>
      <c r="B476" s="158"/>
      <c r="C476" s="234"/>
      <c r="D476" t="str">
        <f>IF(allExpenses_table[[#This Row],[Date]]="","",TEXT(allExpenses_table[[#This Row],[Date]],"mmmm"))</f>
        <v/>
      </c>
      <c r="H476" s="203"/>
      <c r="I476" s="204"/>
      <c r="J476" s="217"/>
      <c r="K476" s="192"/>
      <c r="L476" s="192"/>
      <c r="M476" s="52"/>
    </row>
    <row r="477" spans="1:13" x14ac:dyDescent="0.3">
      <c r="A477" s="2"/>
      <c r="B477" s="158"/>
      <c r="C477" s="234"/>
      <c r="D477" t="str">
        <f>IF(allExpenses_table[[#This Row],[Date]]="","",TEXT(allExpenses_table[[#This Row],[Date]],"mmmm"))</f>
        <v/>
      </c>
      <c r="H477" s="199"/>
      <c r="I477" s="200"/>
      <c r="J477" s="216"/>
      <c r="K477" s="193"/>
      <c r="L477" s="193"/>
      <c r="M477" s="194"/>
    </row>
    <row r="478" spans="1:13" x14ac:dyDescent="0.3">
      <c r="A478" s="2"/>
      <c r="B478" s="158"/>
      <c r="C478" s="234"/>
      <c r="D478" t="str">
        <f>IF(allExpenses_table[[#This Row],[Date]]="","",TEXT(allExpenses_table[[#This Row],[Date]],"mmmm"))</f>
        <v/>
      </c>
      <c r="H478" s="203"/>
      <c r="I478" s="204"/>
      <c r="J478" s="217"/>
      <c r="K478" s="192"/>
      <c r="L478" s="192"/>
      <c r="M478" s="52"/>
    </row>
    <row r="479" spans="1:13" x14ac:dyDescent="0.3">
      <c r="A479" s="2"/>
      <c r="B479" s="158"/>
      <c r="C479" s="234"/>
      <c r="D479" t="str">
        <f>IF(allExpenses_table[[#This Row],[Date]]="","",TEXT(allExpenses_table[[#This Row],[Date]],"mmmm"))</f>
        <v/>
      </c>
      <c r="H479" s="199"/>
      <c r="I479" s="200"/>
      <c r="J479" s="216"/>
      <c r="K479" s="193"/>
      <c r="L479" s="193"/>
      <c r="M479" s="194"/>
    </row>
    <row r="480" spans="1:13" x14ac:dyDescent="0.3">
      <c r="A480" s="2"/>
      <c r="B480" s="158"/>
      <c r="C480" s="234"/>
      <c r="D480" t="str">
        <f>IF(allExpenses_table[[#This Row],[Date]]="","",TEXT(allExpenses_table[[#This Row],[Date]],"mmmm"))</f>
        <v/>
      </c>
      <c r="H480" s="203"/>
      <c r="I480" s="204"/>
      <c r="J480" s="217"/>
      <c r="K480" s="192"/>
      <c r="L480" s="192"/>
      <c r="M480" s="52"/>
    </row>
    <row r="481" spans="1:13" x14ac:dyDescent="0.3">
      <c r="A481" s="2"/>
      <c r="B481" s="158"/>
      <c r="C481" s="234"/>
      <c r="D481" t="str">
        <f>IF(allExpenses_table[[#This Row],[Date]]="","",TEXT(allExpenses_table[[#This Row],[Date]],"mmmm"))</f>
        <v/>
      </c>
      <c r="H481" s="199"/>
      <c r="I481" s="200"/>
      <c r="J481" s="216"/>
      <c r="K481" s="193"/>
      <c r="L481" s="193"/>
      <c r="M481" s="194"/>
    </row>
    <row r="482" spans="1:13" x14ac:dyDescent="0.3">
      <c r="A482" s="2"/>
      <c r="B482" s="158"/>
      <c r="C482" s="234"/>
      <c r="D482" t="str">
        <f>IF(allExpenses_table[[#This Row],[Date]]="","",TEXT(allExpenses_table[[#This Row],[Date]],"mmmm"))</f>
        <v/>
      </c>
      <c r="H482" s="203"/>
      <c r="I482" s="204"/>
      <c r="J482" s="217"/>
      <c r="K482" s="192"/>
      <c r="L482" s="192"/>
      <c r="M482" s="52"/>
    </row>
    <row r="483" spans="1:13" x14ac:dyDescent="0.3">
      <c r="A483" s="2"/>
      <c r="B483" s="158"/>
      <c r="C483" s="234"/>
      <c r="D483" t="str">
        <f>IF(allExpenses_table[[#This Row],[Date]]="","",TEXT(allExpenses_table[[#This Row],[Date]],"mmmm"))</f>
        <v/>
      </c>
      <c r="H483" s="199"/>
      <c r="I483" s="200"/>
      <c r="J483" s="216"/>
      <c r="K483" s="193"/>
      <c r="L483" s="193"/>
      <c r="M483" s="194"/>
    </row>
    <row r="484" spans="1:13" x14ac:dyDescent="0.3">
      <c r="A484" s="2"/>
      <c r="B484" s="158"/>
      <c r="C484" s="234"/>
      <c r="D484" t="str">
        <f>IF(allExpenses_table[[#This Row],[Date]]="","",TEXT(allExpenses_table[[#This Row],[Date]],"mmmm"))</f>
        <v/>
      </c>
      <c r="H484" s="203"/>
      <c r="I484" s="204"/>
      <c r="J484" s="217"/>
      <c r="K484" s="192"/>
      <c r="L484" s="192"/>
      <c r="M484" s="52"/>
    </row>
    <row r="485" spans="1:13" x14ac:dyDescent="0.3">
      <c r="A485" s="2"/>
      <c r="B485" s="158"/>
      <c r="C485" s="234"/>
      <c r="D485" t="str">
        <f>IF(allExpenses_table[[#This Row],[Date]]="","",TEXT(allExpenses_table[[#This Row],[Date]],"mmmm"))</f>
        <v/>
      </c>
      <c r="H485" s="199"/>
      <c r="I485" s="200"/>
      <c r="J485" s="216"/>
      <c r="K485" s="193"/>
      <c r="L485" s="193"/>
      <c r="M485" s="194"/>
    </row>
    <row r="486" spans="1:13" x14ac:dyDescent="0.3">
      <c r="A486" s="2"/>
      <c r="B486" s="158"/>
      <c r="C486" s="234"/>
      <c r="D486" t="str">
        <f>IF(allExpenses_table[[#This Row],[Date]]="","",TEXT(allExpenses_table[[#This Row],[Date]],"mmmm"))</f>
        <v/>
      </c>
      <c r="H486" s="203"/>
      <c r="I486" s="204"/>
      <c r="J486" s="217"/>
      <c r="K486" s="192"/>
      <c r="L486" s="192"/>
      <c r="M486" s="52"/>
    </row>
    <row r="487" spans="1:13" x14ac:dyDescent="0.3">
      <c r="A487" s="2"/>
      <c r="B487" s="158"/>
      <c r="C487" s="234"/>
      <c r="D487" t="str">
        <f>IF(allExpenses_table[[#This Row],[Date]]="","",TEXT(allExpenses_table[[#This Row],[Date]],"mmmm"))</f>
        <v/>
      </c>
      <c r="H487" s="199"/>
      <c r="I487" s="200"/>
      <c r="J487" s="216"/>
      <c r="K487" s="193"/>
      <c r="L487" s="193"/>
      <c r="M487" s="194"/>
    </row>
    <row r="488" spans="1:13" x14ac:dyDescent="0.3">
      <c r="A488" s="2"/>
      <c r="B488" s="158"/>
      <c r="C488" s="234"/>
      <c r="D488" t="str">
        <f>IF(allExpenses_table[[#This Row],[Date]]="","",TEXT(allExpenses_table[[#This Row],[Date]],"mmmm"))</f>
        <v/>
      </c>
      <c r="H488" s="203"/>
      <c r="I488" s="204"/>
      <c r="J488" s="217"/>
      <c r="K488" s="192"/>
      <c r="L488" s="192"/>
      <c r="M488" s="52"/>
    </row>
    <row r="489" spans="1:13" x14ac:dyDescent="0.3">
      <c r="A489" s="2"/>
      <c r="B489" s="158"/>
      <c r="C489" s="234"/>
      <c r="D489" t="str">
        <f>IF(allExpenses_table[[#This Row],[Date]]="","",TEXT(allExpenses_table[[#This Row],[Date]],"mmmm"))</f>
        <v/>
      </c>
      <c r="H489" s="199"/>
      <c r="I489" s="200"/>
      <c r="J489" s="216"/>
      <c r="K489" s="193"/>
      <c r="L489" s="193"/>
      <c r="M489" s="194"/>
    </row>
    <row r="490" spans="1:13" x14ac:dyDescent="0.3">
      <c r="A490" s="2"/>
      <c r="B490" s="158"/>
      <c r="C490" s="234"/>
      <c r="D490" t="str">
        <f>IF(allExpenses_table[[#This Row],[Date]]="","",TEXT(allExpenses_table[[#This Row],[Date]],"mmmm"))</f>
        <v/>
      </c>
      <c r="H490" s="203"/>
      <c r="I490" s="204"/>
      <c r="J490" s="217"/>
      <c r="K490" s="192"/>
      <c r="L490" s="192"/>
      <c r="M490" s="52"/>
    </row>
    <row r="491" spans="1:13" x14ac:dyDescent="0.3">
      <c r="A491" s="2"/>
      <c r="B491" s="158"/>
      <c r="C491" s="234"/>
      <c r="D491" t="str">
        <f>IF(allExpenses_table[[#This Row],[Date]]="","",TEXT(allExpenses_table[[#This Row],[Date]],"mmmm"))</f>
        <v/>
      </c>
      <c r="H491" s="199"/>
      <c r="I491" s="200"/>
      <c r="J491" s="216"/>
      <c r="K491" s="193"/>
      <c r="L491" s="193"/>
      <c r="M491" s="194"/>
    </row>
    <row r="492" spans="1:13" x14ac:dyDescent="0.3">
      <c r="A492" s="2"/>
      <c r="B492" s="158"/>
      <c r="C492" s="234"/>
      <c r="D492" t="str">
        <f>IF(allExpenses_table[[#This Row],[Date]]="","",TEXT(allExpenses_table[[#This Row],[Date]],"mmmm"))</f>
        <v/>
      </c>
      <c r="H492" s="203"/>
      <c r="I492" s="204"/>
      <c r="J492" s="217"/>
      <c r="K492" s="192"/>
      <c r="L492" s="192"/>
      <c r="M492" s="52"/>
    </row>
    <row r="493" spans="1:13" x14ac:dyDescent="0.3">
      <c r="A493" s="2"/>
      <c r="B493" s="158"/>
      <c r="C493" s="234"/>
      <c r="D493" t="str">
        <f>IF(allExpenses_table[[#This Row],[Date]]="","",TEXT(allExpenses_table[[#This Row],[Date]],"mmmm"))</f>
        <v/>
      </c>
      <c r="H493" s="199"/>
      <c r="I493" s="200"/>
      <c r="J493" s="216"/>
      <c r="K493" s="193"/>
      <c r="L493" s="193"/>
      <c r="M493" s="194"/>
    </row>
    <row r="494" spans="1:13" x14ac:dyDescent="0.3">
      <c r="A494" s="2"/>
      <c r="B494" s="158"/>
      <c r="C494" s="234"/>
      <c r="D494" t="str">
        <f>IF(allExpenses_table[[#This Row],[Date]]="","",TEXT(allExpenses_table[[#This Row],[Date]],"mmmm"))</f>
        <v/>
      </c>
      <c r="H494" s="203"/>
      <c r="I494" s="204"/>
      <c r="J494" s="217"/>
      <c r="K494" s="192"/>
      <c r="L494" s="192"/>
      <c r="M494" s="52"/>
    </row>
    <row r="495" spans="1:13" x14ac:dyDescent="0.3">
      <c r="A495" s="2"/>
      <c r="B495" s="158"/>
      <c r="C495" s="234"/>
      <c r="D495" t="str">
        <f>IF(allExpenses_table[[#This Row],[Date]]="","",TEXT(allExpenses_table[[#This Row],[Date]],"mmmm"))</f>
        <v/>
      </c>
      <c r="H495" s="199"/>
      <c r="I495" s="200"/>
      <c r="J495" s="216"/>
      <c r="K495" s="193"/>
      <c r="L495" s="193"/>
      <c r="M495" s="194"/>
    </row>
    <row r="496" spans="1:13" x14ac:dyDescent="0.3">
      <c r="A496" s="2"/>
      <c r="B496" s="158"/>
      <c r="C496" s="234"/>
      <c r="D496" t="str">
        <f>IF(allExpenses_table[[#This Row],[Date]]="","",TEXT(allExpenses_table[[#This Row],[Date]],"mmmm"))</f>
        <v/>
      </c>
      <c r="H496" s="203"/>
      <c r="I496" s="204"/>
      <c r="J496" s="217"/>
      <c r="K496" s="192"/>
      <c r="L496" s="192"/>
      <c r="M496" s="52"/>
    </row>
    <row r="497" spans="1:13" x14ac:dyDescent="0.3">
      <c r="A497" s="2"/>
      <c r="B497" s="158"/>
      <c r="C497" s="234"/>
      <c r="D497" t="str">
        <f>IF(allExpenses_table[[#This Row],[Date]]="","",TEXT(allExpenses_table[[#This Row],[Date]],"mmmm"))</f>
        <v/>
      </c>
      <c r="H497" s="199"/>
      <c r="I497" s="200"/>
      <c r="J497" s="216"/>
      <c r="K497" s="193"/>
      <c r="L497" s="193"/>
      <c r="M497" s="194"/>
    </row>
    <row r="498" spans="1:13" x14ac:dyDescent="0.3">
      <c r="A498" s="2"/>
      <c r="B498" s="158"/>
      <c r="C498" s="234"/>
      <c r="D498" t="str">
        <f>IF(allExpenses_table[[#This Row],[Date]]="","",TEXT(allExpenses_table[[#This Row],[Date]],"mmmm"))</f>
        <v/>
      </c>
      <c r="H498" s="203"/>
      <c r="I498" s="204"/>
      <c r="J498" s="217"/>
      <c r="K498" s="192"/>
      <c r="L498" s="192"/>
      <c r="M498" s="52"/>
    </row>
    <row r="499" spans="1:13" x14ac:dyDescent="0.3">
      <c r="A499" s="2"/>
      <c r="B499" s="158"/>
      <c r="C499" s="234"/>
      <c r="D499" t="str">
        <f>IF(allExpenses_table[[#This Row],[Date]]="","",TEXT(allExpenses_table[[#This Row],[Date]],"mmmm"))</f>
        <v/>
      </c>
      <c r="H499" s="199"/>
      <c r="I499" s="200"/>
      <c r="J499" s="216"/>
      <c r="K499" s="193"/>
      <c r="L499" s="193"/>
      <c r="M499" s="194"/>
    </row>
    <row r="500" spans="1:13" x14ac:dyDescent="0.3">
      <c r="A500" s="2"/>
      <c r="B500" s="158"/>
      <c r="C500" s="234"/>
      <c r="D500" t="str">
        <f>IF(allExpenses_table[[#This Row],[Date]]="","",TEXT(allExpenses_table[[#This Row],[Date]],"mmmm"))</f>
        <v/>
      </c>
      <c r="H500" s="203"/>
      <c r="I500" s="204"/>
      <c r="J500" s="217"/>
      <c r="K500" s="192"/>
      <c r="L500" s="192"/>
      <c r="M500" s="52"/>
    </row>
    <row r="501" spans="1:13" x14ac:dyDescent="0.3">
      <c r="A501" s="2"/>
      <c r="B501" s="158"/>
      <c r="C501" s="234"/>
      <c r="D501" t="str">
        <f>IF(allExpenses_table[[#This Row],[Date]]="","",TEXT(allExpenses_table[[#This Row],[Date]],"mmmm"))</f>
        <v/>
      </c>
      <c r="H501" s="199"/>
      <c r="I501" s="200"/>
      <c r="J501" s="216"/>
      <c r="K501" s="193"/>
      <c r="L501" s="193"/>
      <c r="M501" s="194"/>
    </row>
    <row r="502" spans="1:13" x14ac:dyDescent="0.3">
      <c r="A502" s="2"/>
      <c r="B502" s="158"/>
      <c r="C502" s="234"/>
      <c r="D502" t="str">
        <f>IF(allExpenses_table[[#This Row],[Date]]="","",TEXT(allExpenses_table[[#This Row],[Date]],"mmmm"))</f>
        <v/>
      </c>
    </row>
    <row r="503" spans="1:13" x14ac:dyDescent="0.3">
      <c r="A503" s="2"/>
      <c r="B503" s="158"/>
      <c r="C503" s="234"/>
      <c r="D503" t="str">
        <f>IF(allExpenses_table[[#This Row],[Date]]="","",TEXT(allExpenses_table[[#This Row],[Date]],"mmmm"))</f>
        <v/>
      </c>
    </row>
    <row r="504" spans="1:13" x14ac:dyDescent="0.3">
      <c r="A504" s="2"/>
      <c r="B504" s="158"/>
      <c r="C504" s="234"/>
      <c r="D504" t="str">
        <f>IF(allExpenses_table[[#This Row],[Date]]="","",TEXT(allExpenses_table[[#This Row],[Date]],"mmmm"))</f>
        <v/>
      </c>
    </row>
    <row r="505" spans="1:13" x14ac:dyDescent="0.3">
      <c r="A505" s="2"/>
      <c r="B505" s="158"/>
      <c r="C505" s="234"/>
      <c r="D505" t="str">
        <f>IF(allExpenses_table[[#This Row],[Date]]="","",TEXT(allExpenses_table[[#This Row],[Date]],"mmmm"))</f>
        <v/>
      </c>
    </row>
    <row r="506" spans="1:13" x14ac:dyDescent="0.3">
      <c r="A506" s="2"/>
      <c r="B506" s="158"/>
      <c r="C506" s="234"/>
      <c r="D506" t="str">
        <f>IF(allExpenses_table[[#This Row],[Date]]="","",TEXT(allExpenses_table[[#This Row],[Date]],"mmmm"))</f>
        <v/>
      </c>
    </row>
    <row r="507" spans="1:13" x14ac:dyDescent="0.3">
      <c r="A507" s="2"/>
      <c r="B507" s="158"/>
      <c r="C507" s="234"/>
      <c r="D507" t="str">
        <f>IF(allExpenses_table[[#This Row],[Date]]="","",TEXT(allExpenses_table[[#This Row],[Date]],"mmmm"))</f>
        <v/>
      </c>
    </row>
    <row r="508" spans="1:13" x14ac:dyDescent="0.3">
      <c r="A508" s="2"/>
      <c r="B508" s="158"/>
      <c r="C508" s="234"/>
      <c r="D508" t="str">
        <f>IF(allExpenses_table[[#This Row],[Date]]="","",TEXT(allExpenses_table[[#This Row],[Date]],"mmmm"))</f>
        <v/>
      </c>
    </row>
    <row r="509" spans="1:13" x14ac:dyDescent="0.3">
      <c r="A509" s="2"/>
      <c r="B509" s="158"/>
      <c r="C509" s="234"/>
      <c r="D509" t="str">
        <f>IF(allExpenses_table[[#This Row],[Date]]="","",TEXT(allExpenses_table[[#This Row],[Date]],"mmmm"))</f>
        <v/>
      </c>
    </row>
    <row r="510" spans="1:13" x14ac:dyDescent="0.3">
      <c r="A510" s="2"/>
      <c r="B510" s="158"/>
      <c r="C510" s="234"/>
      <c r="D510" t="str">
        <f>IF(allExpenses_table[[#This Row],[Date]]="","",TEXT(allExpenses_table[[#This Row],[Date]],"mmmm"))</f>
        <v/>
      </c>
    </row>
    <row r="511" spans="1:13" x14ac:dyDescent="0.3">
      <c r="A511" s="2"/>
      <c r="B511" s="158"/>
      <c r="C511" s="234"/>
      <c r="D511" t="str">
        <f>IF(allExpenses_table[[#This Row],[Date]]="","",TEXT(allExpenses_table[[#This Row],[Date]],"mmmm"))</f>
        <v/>
      </c>
    </row>
    <row r="512" spans="1:13" x14ac:dyDescent="0.3">
      <c r="A512" s="2"/>
      <c r="B512" s="158"/>
      <c r="C512" s="234"/>
      <c r="D512" t="str">
        <f>IF(allExpenses_table[[#This Row],[Date]]="","",TEXT(allExpenses_table[[#This Row],[Date]],"mmmm"))</f>
        <v/>
      </c>
    </row>
    <row r="513" spans="1:4" x14ac:dyDescent="0.3">
      <c r="A513" s="2"/>
      <c r="B513" s="158"/>
      <c r="C513" s="234"/>
      <c r="D513" t="str">
        <f>IF(allExpenses_table[[#This Row],[Date]]="","",TEXT(allExpenses_table[[#This Row],[Date]],"mmmm"))</f>
        <v/>
      </c>
    </row>
    <row r="514" spans="1:4" x14ac:dyDescent="0.3">
      <c r="A514" s="2"/>
      <c r="B514" s="158"/>
      <c r="C514" s="234"/>
      <c r="D514" t="str">
        <f>IF(allExpenses_table[[#This Row],[Date]]="","",TEXT(allExpenses_table[[#This Row],[Date]],"mmmm"))</f>
        <v/>
      </c>
    </row>
    <row r="515" spans="1:4" x14ac:dyDescent="0.3">
      <c r="A515" s="2"/>
      <c r="B515" s="158"/>
      <c r="C515" s="234"/>
      <c r="D515" t="str">
        <f>IF(allExpenses_table[[#This Row],[Date]]="","",TEXT(allExpenses_table[[#This Row],[Date]],"mmmm"))</f>
        <v/>
      </c>
    </row>
    <row r="516" spans="1:4" x14ac:dyDescent="0.3">
      <c r="A516" s="2"/>
      <c r="B516" s="158"/>
      <c r="C516" s="234"/>
      <c r="D516" t="str">
        <f>IF(allExpenses_table[[#This Row],[Date]]="","",TEXT(allExpenses_table[[#This Row],[Date]],"mmmm"))</f>
        <v/>
      </c>
    </row>
    <row r="517" spans="1:4" x14ac:dyDescent="0.3">
      <c r="A517" s="2"/>
      <c r="B517" s="158"/>
      <c r="C517" s="234"/>
      <c r="D517" t="str">
        <f>IF(allExpenses_table[[#This Row],[Date]]="","",TEXT(allExpenses_table[[#This Row],[Date]],"mmmm"))</f>
        <v/>
      </c>
    </row>
    <row r="518" spans="1:4" x14ac:dyDescent="0.3">
      <c r="A518" s="2"/>
      <c r="B518" s="158"/>
      <c r="C518" s="234"/>
      <c r="D518" t="str">
        <f>IF(allExpenses_table[[#This Row],[Date]]="","",TEXT(allExpenses_table[[#This Row],[Date]],"mmmm"))</f>
        <v/>
      </c>
    </row>
    <row r="519" spans="1:4" x14ac:dyDescent="0.3">
      <c r="A519" s="2"/>
      <c r="B519" s="158"/>
      <c r="C519" s="234"/>
      <c r="D519" t="str">
        <f>IF(allExpenses_table[[#This Row],[Date]]="","",TEXT(allExpenses_table[[#This Row],[Date]],"mmmm"))</f>
        <v/>
      </c>
    </row>
    <row r="520" spans="1:4" x14ac:dyDescent="0.3">
      <c r="A520" s="2"/>
      <c r="B520" s="158"/>
      <c r="C520" s="234"/>
      <c r="D520" t="str">
        <f>IF(allExpenses_table[[#This Row],[Date]]="","",TEXT(allExpenses_table[[#This Row],[Date]],"mmmm"))</f>
        <v/>
      </c>
    </row>
    <row r="521" spans="1:4" x14ac:dyDescent="0.3">
      <c r="A521" s="2"/>
      <c r="B521" s="158"/>
      <c r="C521" s="234"/>
      <c r="D521" t="str">
        <f>IF(allExpenses_table[[#This Row],[Date]]="","",TEXT(allExpenses_table[[#This Row],[Date]],"mmmm"))</f>
        <v/>
      </c>
    </row>
    <row r="522" spans="1:4" x14ac:dyDescent="0.3">
      <c r="A522" s="2"/>
      <c r="B522" s="158"/>
      <c r="C522" s="234"/>
      <c r="D522" t="str">
        <f>IF(allExpenses_table[[#This Row],[Date]]="","",TEXT(allExpenses_table[[#This Row],[Date]],"mmmm"))</f>
        <v/>
      </c>
    </row>
    <row r="523" spans="1:4" x14ac:dyDescent="0.3">
      <c r="A523" s="2"/>
      <c r="B523" s="158"/>
      <c r="C523" s="234"/>
      <c r="D523" t="str">
        <f>IF(allExpenses_table[[#This Row],[Date]]="","",TEXT(allExpenses_table[[#This Row],[Date]],"mmmm"))</f>
        <v/>
      </c>
    </row>
    <row r="524" spans="1:4" x14ac:dyDescent="0.3">
      <c r="A524" s="2"/>
      <c r="B524" s="158"/>
      <c r="C524" s="234"/>
      <c r="D524" t="str">
        <f>IF(allExpenses_table[[#This Row],[Date]]="","",TEXT(allExpenses_table[[#This Row],[Date]],"mmmm"))</f>
        <v/>
      </c>
    </row>
    <row r="525" spans="1:4" x14ac:dyDescent="0.3">
      <c r="A525" s="2"/>
      <c r="B525" s="158"/>
      <c r="C525" s="234"/>
      <c r="D525" t="str">
        <f>IF(allExpenses_table[[#This Row],[Date]]="","",TEXT(allExpenses_table[[#This Row],[Date]],"mmmm"))</f>
        <v/>
      </c>
    </row>
    <row r="526" spans="1:4" x14ac:dyDescent="0.3">
      <c r="A526" s="2"/>
      <c r="B526" s="158"/>
      <c r="C526" s="234"/>
      <c r="D526" t="str">
        <f>IF(allExpenses_table[[#This Row],[Date]]="","",TEXT(allExpenses_table[[#This Row],[Date]],"mmmm"))</f>
        <v/>
      </c>
    </row>
    <row r="527" spans="1:4" x14ac:dyDescent="0.3">
      <c r="A527" s="2"/>
      <c r="B527" s="158"/>
      <c r="C527" s="234"/>
      <c r="D527" t="str">
        <f>IF(allExpenses_table[[#This Row],[Date]]="","",TEXT(allExpenses_table[[#This Row],[Date]],"mmmm"))</f>
        <v/>
      </c>
    </row>
    <row r="528" spans="1:4" x14ac:dyDescent="0.3">
      <c r="A528" s="2"/>
      <c r="B528" s="158"/>
      <c r="C528" s="234"/>
      <c r="D528" t="str">
        <f>IF(allExpenses_table[[#This Row],[Date]]="","",TEXT(allExpenses_table[[#This Row],[Date]],"mmmm"))</f>
        <v/>
      </c>
    </row>
    <row r="529" spans="1:4" x14ac:dyDescent="0.3">
      <c r="A529" s="2"/>
      <c r="B529" s="158"/>
      <c r="C529" s="234"/>
      <c r="D529" t="str">
        <f>IF(allExpenses_table[[#This Row],[Date]]="","",TEXT(allExpenses_table[[#This Row],[Date]],"mmmm"))</f>
        <v/>
      </c>
    </row>
    <row r="530" spans="1:4" x14ac:dyDescent="0.3">
      <c r="A530" s="2"/>
      <c r="B530" s="158"/>
      <c r="C530" s="234"/>
      <c r="D530" t="str">
        <f>IF(allExpenses_table[[#This Row],[Date]]="","",TEXT(allExpenses_table[[#This Row],[Date]],"mmmm"))</f>
        <v/>
      </c>
    </row>
    <row r="531" spans="1:4" x14ac:dyDescent="0.3">
      <c r="A531" s="2"/>
      <c r="B531" s="158"/>
      <c r="C531" s="234"/>
      <c r="D531" t="str">
        <f>IF(allExpenses_table[[#This Row],[Date]]="","",TEXT(allExpenses_table[[#This Row],[Date]],"mmmm"))</f>
        <v/>
      </c>
    </row>
    <row r="532" spans="1:4" x14ac:dyDescent="0.3">
      <c r="A532" s="2"/>
      <c r="B532" s="158"/>
      <c r="C532" s="234"/>
      <c r="D532" t="str">
        <f>IF(allExpenses_table[[#This Row],[Date]]="","",TEXT(allExpenses_table[[#This Row],[Date]],"mmmm"))</f>
        <v/>
      </c>
    </row>
    <row r="533" spans="1:4" x14ac:dyDescent="0.3">
      <c r="A533" s="2"/>
      <c r="B533" s="158"/>
      <c r="C533" s="234"/>
      <c r="D533" t="str">
        <f>IF(allExpenses_table[[#This Row],[Date]]="","",TEXT(allExpenses_table[[#This Row],[Date]],"mmmm"))</f>
        <v/>
      </c>
    </row>
    <row r="534" spans="1:4" x14ac:dyDescent="0.3">
      <c r="A534" s="2"/>
      <c r="B534" s="158"/>
      <c r="C534" s="234"/>
      <c r="D534" t="str">
        <f>IF(allExpenses_table[[#This Row],[Date]]="","",TEXT(allExpenses_table[[#This Row],[Date]],"mmmm"))</f>
        <v/>
      </c>
    </row>
    <row r="535" spans="1:4" x14ac:dyDescent="0.3">
      <c r="A535" s="2"/>
      <c r="B535" s="158"/>
      <c r="C535" s="234"/>
      <c r="D535" t="str">
        <f>IF(allExpenses_table[[#This Row],[Date]]="","",TEXT(allExpenses_table[[#This Row],[Date]],"mmmm"))</f>
        <v/>
      </c>
    </row>
    <row r="536" spans="1:4" x14ac:dyDescent="0.3">
      <c r="A536" s="2"/>
      <c r="B536" s="158"/>
      <c r="C536" s="234"/>
      <c r="D536" t="str">
        <f>IF(allExpenses_table[[#This Row],[Date]]="","",TEXT(allExpenses_table[[#This Row],[Date]],"mmmm"))</f>
        <v/>
      </c>
    </row>
    <row r="537" spans="1:4" x14ac:dyDescent="0.3">
      <c r="A537" s="2"/>
      <c r="B537" s="158"/>
      <c r="C537" s="234"/>
      <c r="D537" t="str">
        <f>IF(allExpenses_table[[#This Row],[Date]]="","",TEXT(allExpenses_table[[#This Row],[Date]],"mmmm"))</f>
        <v/>
      </c>
    </row>
    <row r="538" spans="1:4" x14ac:dyDescent="0.3">
      <c r="A538" s="2"/>
      <c r="B538" s="158"/>
      <c r="C538" s="234"/>
      <c r="D538" t="str">
        <f>IF(allExpenses_table[[#This Row],[Date]]="","",TEXT(allExpenses_table[[#This Row],[Date]],"mmmm"))</f>
        <v/>
      </c>
    </row>
    <row r="539" spans="1:4" x14ac:dyDescent="0.3">
      <c r="A539" s="2"/>
      <c r="B539" s="158"/>
      <c r="C539" s="234"/>
      <c r="D539" t="str">
        <f>IF(allExpenses_table[[#This Row],[Date]]="","",TEXT(allExpenses_table[[#This Row],[Date]],"mmmm"))</f>
        <v/>
      </c>
    </row>
    <row r="540" spans="1:4" x14ac:dyDescent="0.3">
      <c r="A540" s="2"/>
      <c r="B540" s="158"/>
      <c r="C540" s="234"/>
      <c r="D540" t="str">
        <f>IF(allExpenses_table[[#This Row],[Date]]="","",TEXT(allExpenses_table[[#This Row],[Date]],"mmmm"))</f>
        <v/>
      </c>
    </row>
    <row r="541" spans="1:4" x14ac:dyDescent="0.3">
      <c r="A541" s="2"/>
      <c r="B541" s="158"/>
      <c r="C541" s="234"/>
      <c r="D541" t="str">
        <f>IF(allExpenses_table[[#This Row],[Date]]="","",TEXT(allExpenses_table[[#This Row],[Date]],"mmmm"))</f>
        <v/>
      </c>
    </row>
    <row r="542" spans="1:4" x14ac:dyDescent="0.3">
      <c r="A542" s="2"/>
      <c r="B542" s="158"/>
      <c r="C542" s="234"/>
      <c r="D542" t="str">
        <f>IF(allExpenses_table[[#This Row],[Date]]="","",TEXT(allExpenses_table[[#This Row],[Date]],"mmmm"))</f>
        <v/>
      </c>
    </row>
    <row r="543" spans="1:4" x14ac:dyDescent="0.3">
      <c r="A543" s="2"/>
      <c r="B543" s="158"/>
      <c r="C543" s="234"/>
      <c r="D543" t="str">
        <f>IF(allExpenses_table[[#This Row],[Date]]="","",TEXT(allExpenses_table[[#This Row],[Date]],"mmmm"))</f>
        <v/>
      </c>
    </row>
    <row r="544" spans="1:4" x14ac:dyDescent="0.3">
      <c r="A544" s="2"/>
      <c r="B544" s="158"/>
      <c r="C544" s="234"/>
      <c r="D544" t="str">
        <f>IF(allExpenses_table[[#This Row],[Date]]="","",TEXT(allExpenses_table[[#This Row],[Date]],"mmmm"))</f>
        <v/>
      </c>
    </row>
    <row r="545" spans="1:4" x14ac:dyDescent="0.3">
      <c r="A545" s="2"/>
      <c r="B545" s="158"/>
      <c r="C545" s="234"/>
      <c r="D545" t="str">
        <f>IF(allExpenses_table[[#This Row],[Date]]="","",TEXT(allExpenses_table[[#This Row],[Date]],"mmmm"))</f>
        <v/>
      </c>
    </row>
    <row r="546" spans="1:4" x14ac:dyDescent="0.3">
      <c r="A546" s="2"/>
      <c r="B546" s="158"/>
      <c r="C546" s="234"/>
      <c r="D546" t="str">
        <f>IF(allExpenses_table[[#This Row],[Date]]="","",TEXT(allExpenses_table[[#This Row],[Date]],"mmmm"))</f>
        <v/>
      </c>
    </row>
    <row r="547" spans="1:4" x14ac:dyDescent="0.3">
      <c r="A547" s="2"/>
      <c r="B547" s="158"/>
      <c r="C547" s="234"/>
      <c r="D547" t="str">
        <f>IF(allExpenses_table[[#This Row],[Date]]="","",TEXT(allExpenses_table[[#This Row],[Date]],"mmmm"))</f>
        <v/>
      </c>
    </row>
    <row r="548" spans="1:4" x14ac:dyDescent="0.3">
      <c r="A548" s="2"/>
      <c r="B548" s="158"/>
      <c r="C548" s="234"/>
      <c r="D548" t="str">
        <f>IF(allExpenses_table[[#This Row],[Date]]="","",TEXT(allExpenses_table[[#This Row],[Date]],"mmmm"))</f>
        <v/>
      </c>
    </row>
    <row r="549" spans="1:4" x14ac:dyDescent="0.3">
      <c r="A549" s="2"/>
      <c r="B549" s="158"/>
      <c r="C549" s="234"/>
      <c r="D549" t="str">
        <f>IF(allExpenses_table[[#This Row],[Date]]="","",TEXT(allExpenses_table[[#This Row],[Date]],"mmmm"))</f>
        <v/>
      </c>
    </row>
    <row r="550" spans="1:4" x14ac:dyDescent="0.3">
      <c r="A550" s="2"/>
      <c r="B550" s="158"/>
      <c r="C550" s="234"/>
      <c r="D550" t="str">
        <f>IF(allExpenses_table[[#This Row],[Date]]="","",TEXT(allExpenses_table[[#This Row],[Date]],"mmmm"))</f>
        <v/>
      </c>
    </row>
    <row r="551" spans="1:4" x14ac:dyDescent="0.3">
      <c r="A551" s="2"/>
      <c r="B551" s="158"/>
      <c r="C551" s="234"/>
      <c r="D551" t="str">
        <f>IF(allExpenses_table[[#This Row],[Date]]="","",TEXT(allExpenses_table[[#This Row],[Date]],"mmmm"))</f>
        <v/>
      </c>
    </row>
    <row r="552" spans="1:4" x14ac:dyDescent="0.3">
      <c r="A552" s="2"/>
      <c r="B552" s="158"/>
      <c r="C552" s="234"/>
      <c r="D552" t="str">
        <f>IF(allExpenses_table[[#This Row],[Date]]="","",TEXT(allExpenses_table[[#This Row],[Date]],"mmmm"))</f>
        <v/>
      </c>
    </row>
    <row r="553" spans="1:4" x14ac:dyDescent="0.3">
      <c r="A553" s="2"/>
      <c r="B553" s="158"/>
      <c r="C553" s="234"/>
      <c r="D553" t="str">
        <f>IF(allExpenses_table[[#This Row],[Date]]="","",TEXT(allExpenses_table[[#This Row],[Date]],"mmmm"))</f>
        <v/>
      </c>
    </row>
    <row r="554" spans="1:4" x14ac:dyDescent="0.3">
      <c r="A554" s="2"/>
      <c r="B554" s="158"/>
      <c r="C554" s="234"/>
      <c r="D554" t="str">
        <f>IF(allExpenses_table[[#This Row],[Date]]="","",TEXT(allExpenses_table[[#This Row],[Date]],"mmmm"))</f>
        <v/>
      </c>
    </row>
    <row r="555" spans="1:4" x14ac:dyDescent="0.3">
      <c r="A555" s="2"/>
      <c r="B555" s="158"/>
      <c r="C555" s="234"/>
      <c r="D555" t="str">
        <f>IF(allExpenses_table[[#This Row],[Date]]="","",TEXT(allExpenses_table[[#This Row],[Date]],"mmmm"))</f>
        <v/>
      </c>
    </row>
    <row r="556" spans="1:4" x14ac:dyDescent="0.3">
      <c r="A556" s="2"/>
      <c r="B556" s="158"/>
      <c r="C556" s="234"/>
      <c r="D556" t="str">
        <f>IF(allExpenses_table[[#This Row],[Date]]="","",TEXT(allExpenses_table[[#This Row],[Date]],"mmmm"))</f>
        <v/>
      </c>
    </row>
    <row r="557" spans="1:4" x14ac:dyDescent="0.3">
      <c r="A557" s="2"/>
      <c r="B557" s="158"/>
      <c r="C557" s="234"/>
      <c r="D557" t="str">
        <f>IF(allExpenses_table[[#This Row],[Date]]="","",TEXT(allExpenses_table[[#This Row],[Date]],"mmmm"))</f>
        <v/>
      </c>
    </row>
    <row r="558" spans="1:4" x14ac:dyDescent="0.3">
      <c r="A558" s="2"/>
      <c r="B558" s="158"/>
      <c r="C558" s="234"/>
      <c r="D558" t="str">
        <f>IF(allExpenses_table[[#This Row],[Date]]="","",TEXT(allExpenses_table[[#This Row],[Date]],"mmmm"))</f>
        <v/>
      </c>
    </row>
    <row r="559" spans="1:4" x14ac:dyDescent="0.3">
      <c r="A559" s="2"/>
      <c r="B559" s="158"/>
      <c r="C559" s="234"/>
      <c r="D559" t="str">
        <f>IF(allExpenses_table[[#This Row],[Date]]="","",TEXT(allExpenses_table[[#This Row],[Date]],"mmmm"))</f>
        <v/>
      </c>
    </row>
    <row r="560" spans="1:4" x14ac:dyDescent="0.3">
      <c r="A560" s="2"/>
      <c r="B560" s="158"/>
      <c r="C560" s="234"/>
      <c r="D560" t="str">
        <f>IF(allExpenses_table[[#This Row],[Date]]="","",TEXT(allExpenses_table[[#This Row],[Date]],"mmmm"))</f>
        <v/>
      </c>
    </row>
    <row r="561" spans="1:4" x14ac:dyDescent="0.3">
      <c r="A561" s="2"/>
      <c r="B561" s="158"/>
      <c r="C561" s="234"/>
      <c r="D561" t="str">
        <f>IF(allExpenses_table[[#This Row],[Date]]="","",TEXT(allExpenses_table[[#This Row],[Date]],"mmmm"))</f>
        <v/>
      </c>
    </row>
    <row r="562" spans="1:4" x14ac:dyDescent="0.3">
      <c r="A562" s="2"/>
      <c r="B562" s="158"/>
      <c r="C562" s="234"/>
      <c r="D562" t="str">
        <f>IF(allExpenses_table[[#This Row],[Date]]="","",TEXT(allExpenses_table[[#This Row],[Date]],"mmmm"))</f>
        <v/>
      </c>
    </row>
    <row r="563" spans="1:4" x14ac:dyDescent="0.3">
      <c r="A563" s="2"/>
      <c r="B563" s="158"/>
      <c r="C563" s="234"/>
      <c r="D563" t="str">
        <f>IF(allExpenses_table[[#This Row],[Date]]="","",TEXT(allExpenses_table[[#This Row],[Date]],"mmmm"))</f>
        <v/>
      </c>
    </row>
    <row r="564" spans="1:4" x14ac:dyDescent="0.3">
      <c r="A564" s="2"/>
      <c r="B564" s="158"/>
      <c r="C564" s="234"/>
      <c r="D564" t="str">
        <f>IF(allExpenses_table[[#This Row],[Date]]="","",TEXT(allExpenses_table[[#This Row],[Date]],"mmmm"))</f>
        <v/>
      </c>
    </row>
    <row r="565" spans="1:4" x14ac:dyDescent="0.3">
      <c r="A565" s="2"/>
      <c r="B565" s="158"/>
      <c r="C565" s="234"/>
      <c r="D565" t="str">
        <f>IF(allExpenses_table[[#This Row],[Date]]="","",TEXT(allExpenses_table[[#This Row],[Date]],"mmmm"))</f>
        <v/>
      </c>
    </row>
    <row r="566" spans="1:4" x14ac:dyDescent="0.3">
      <c r="A566" s="2"/>
      <c r="B566" s="158"/>
      <c r="C566" s="234"/>
      <c r="D566" t="str">
        <f>IF(allExpenses_table[[#This Row],[Date]]="","",TEXT(allExpenses_table[[#This Row],[Date]],"mmmm"))</f>
        <v/>
      </c>
    </row>
    <row r="567" spans="1:4" x14ac:dyDescent="0.3">
      <c r="A567" s="2"/>
      <c r="B567" s="158"/>
      <c r="C567" s="234"/>
      <c r="D567" t="str">
        <f>IF(allExpenses_table[[#This Row],[Date]]="","",TEXT(allExpenses_table[[#This Row],[Date]],"mmmm"))</f>
        <v/>
      </c>
    </row>
    <row r="568" spans="1:4" x14ac:dyDescent="0.3">
      <c r="A568" s="2"/>
      <c r="B568" s="158"/>
      <c r="C568" s="234"/>
      <c r="D568" t="str">
        <f>IF(allExpenses_table[[#This Row],[Date]]="","",TEXT(allExpenses_table[[#This Row],[Date]],"mmmm"))</f>
        <v/>
      </c>
    </row>
    <row r="569" spans="1:4" x14ac:dyDescent="0.3">
      <c r="A569" s="2"/>
      <c r="B569" s="158"/>
      <c r="C569" s="234"/>
      <c r="D569" t="str">
        <f>IF(allExpenses_table[[#This Row],[Date]]="","",TEXT(allExpenses_table[[#This Row],[Date]],"mmmm"))</f>
        <v/>
      </c>
    </row>
    <row r="570" spans="1:4" x14ac:dyDescent="0.3">
      <c r="A570" s="2"/>
      <c r="B570" s="158"/>
      <c r="C570" s="234"/>
      <c r="D570" t="str">
        <f>IF(allExpenses_table[[#This Row],[Date]]="","",TEXT(allExpenses_table[[#This Row],[Date]],"mmmm"))</f>
        <v/>
      </c>
    </row>
    <row r="571" spans="1:4" x14ac:dyDescent="0.3">
      <c r="A571" s="2"/>
      <c r="B571" s="158"/>
      <c r="C571" s="234"/>
      <c r="D571" t="str">
        <f>IF(allExpenses_table[[#This Row],[Date]]="","",TEXT(allExpenses_table[[#This Row],[Date]],"mmmm"))</f>
        <v/>
      </c>
    </row>
    <row r="572" spans="1:4" x14ac:dyDescent="0.3">
      <c r="A572" s="2"/>
      <c r="B572" s="158"/>
      <c r="C572" s="234"/>
      <c r="D572" t="str">
        <f>IF(allExpenses_table[[#This Row],[Date]]="","",TEXT(allExpenses_table[[#This Row],[Date]],"mmmm"))</f>
        <v/>
      </c>
    </row>
    <row r="573" spans="1:4" x14ac:dyDescent="0.3">
      <c r="A573" s="2"/>
      <c r="B573" s="158"/>
      <c r="C573" s="234"/>
      <c r="D573" t="str">
        <f>IF(allExpenses_table[[#This Row],[Date]]="","",TEXT(allExpenses_table[[#This Row],[Date]],"mmmm"))</f>
        <v/>
      </c>
    </row>
    <row r="574" spans="1:4" x14ac:dyDescent="0.3">
      <c r="A574" s="2"/>
      <c r="B574" s="158"/>
      <c r="C574" s="234"/>
      <c r="D574" t="str">
        <f>IF(allExpenses_table[[#This Row],[Date]]="","",TEXT(allExpenses_table[[#This Row],[Date]],"mmmm"))</f>
        <v/>
      </c>
    </row>
    <row r="575" spans="1:4" x14ac:dyDescent="0.3">
      <c r="A575" s="2"/>
      <c r="B575" s="158"/>
      <c r="C575" s="234"/>
      <c r="D575" t="str">
        <f>IF(allExpenses_table[[#This Row],[Date]]="","",TEXT(allExpenses_table[[#This Row],[Date]],"mmmm"))</f>
        <v/>
      </c>
    </row>
    <row r="576" spans="1:4" x14ac:dyDescent="0.3">
      <c r="A576" s="2"/>
      <c r="B576" s="158"/>
      <c r="C576" s="234"/>
      <c r="D576" t="str">
        <f>IF(allExpenses_table[[#This Row],[Date]]="","",TEXT(allExpenses_table[[#This Row],[Date]],"mmmm"))</f>
        <v/>
      </c>
    </row>
    <row r="577" spans="1:4" x14ac:dyDescent="0.3">
      <c r="A577" s="2"/>
      <c r="B577" s="158"/>
      <c r="C577" s="234"/>
      <c r="D577" t="str">
        <f>IF(allExpenses_table[[#This Row],[Date]]="","",TEXT(allExpenses_table[[#This Row],[Date]],"mmmm"))</f>
        <v/>
      </c>
    </row>
    <row r="578" spans="1:4" x14ac:dyDescent="0.3">
      <c r="A578" s="2"/>
      <c r="B578" s="158"/>
      <c r="C578" s="234"/>
      <c r="D578" t="str">
        <f>IF(allExpenses_table[[#This Row],[Date]]="","",TEXT(allExpenses_table[[#This Row],[Date]],"mmmm"))</f>
        <v/>
      </c>
    </row>
    <row r="579" spans="1:4" x14ac:dyDescent="0.3">
      <c r="A579" s="2"/>
      <c r="B579" s="158"/>
      <c r="C579" s="234"/>
      <c r="D579" t="str">
        <f>IF(allExpenses_table[[#This Row],[Date]]="","",TEXT(allExpenses_table[[#This Row],[Date]],"mmmm"))</f>
        <v/>
      </c>
    </row>
    <row r="580" spans="1:4" x14ac:dyDescent="0.3">
      <c r="A580" s="2"/>
      <c r="B580" s="158"/>
      <c r="C580" s="234"/>
      <c r="D580" t="str">
        <f>IF(allExpenses_table[[#This Row],[Date]]="","",TEXT(allExpenses_table[[#This Row],[Date]],"mmmm"))</f>
        <v/>
      </c>
    </row>
    <row r="581" spans="1:4" x14ac:dyDescent="0.3">
      <c r="A581" s="2"/>
      <c r="B581" s="158"/>
      <c r="C581" s="234"/>
      <c r="D581" t="str">
        <f>IF(allExpenses_table[[#This Row],[Date]]="","",TEXT(allExpenses_table[[#This Row],[Date]],"mmmm"))</f>
        <v/>
      </c>
    </row>
    <row r="582" spans="1:4" x14ac:dyDescent="0.3">
      <c r="A582" s="2"/>
      <c r="B582" s="158"/>
      <c r="C582" s="234"/>
      <c r="D582" t="str">
        <f>IF(allExpenses_table[[#This Row],[Date]]="","",TEXT(allExpenses_table[[#This Row],[Date]],"mmmm"))</f>
        <v/>
      </c>
    </row>
    <row r="583" spans="1:4" x14ac:dyDescent="0.3">
      <c r="A583" s="2"/>
      <c r="B583" s="158"/>
      <c r="C583" s="234"/>
      <c r="D583" t="str">
        <f>IF(allExpenses_table[[#This Row],[Date]]="","",TEXT(allExpenses_table[[#This Row],[Date]],"mmmm"))</f>
        <v/>
      </c>
    </row>
    <row r="584" spans="1:4" x14ac:dyDescent="0.3">
      <c r="A584" s="2"/>
      <c r="B584" s="158"/>
      <c r="C584" s="234"/>
      <c r="D584" t="str">
        <f>IF(allExpenses_table[[#This Row],[Date]]="","",TEXT(allExpenses_table[[#This Row],[Date]],"mmmm"))</f>
        <v/>
      </c>
    </row>
    <row r="585" spans="1:4" x14ac:dyDescent="0.3">
      <c r="A585" s="2"/>
      <c r="B585" s="158"/>
      <c r="C585" s="234"/>
      <c r="D585" t="str">
        <f>IF(allExpenses_table[[#This Row],[Date]]="","",TEXT(allExpenses_table[[#This Row],[Date]],"mmmm"))</f>
        <v/>
      </c>
    </row>
    <row r="586" spans="1:4" x14ac:dyDescent="0.3">
      <c r="A586" s="2"/>
      <c r="B586" s="158"/>
      <c r="C586" s="234"/>
      <c r="D586" t="str">
        <f>IF(allExpenses_table[[#This Row],[Date]]="","",TEXT(allExpenses_table[[#This Row],[Date]],"mmmm"))</f>
        <v/>
      </c>
    </row>
    <row r="587" spans="1:4" x14ac:dyDescent="0.3">
      <c r="A587" s="2"/>
      <c r="B587" s="158"/>
      <c r="C587" s="234"/>
      <c r="D587" t="str">
        <f>IF(allExpenses_table[[#This Row],[Date]]="","",TEXT(allExpenses_table[[#This Row],[Date]],"mmmm"))</f>
        <v/>
      </c>
    </row>
    <row r="588" spans="1:4" x14ac:dyDescent="0.3">
      <c r="A588" s="2"/>
      <c r="B588" s="158"/>
      <c r="C588" s="234"/>
      <c r="D588" t="str">
        <f>IF(allExpenses_table[[#This Row],[Date]]="","",TEXT(allExpenses_table[[#This Row],[Date]],"mmmm"))</f>
        <v/>
      </c>
    </row>
    <row r="589" spans="1:4" x14ac:dyDescent="0.3">
      <c r="A589" s="2"/>
      <c r="B589" s="158"/>
      <c r="C589" s="234"/>
      <c r="D589" t="str">
        <f>IF(allExpenses_table[[#This Row],[Date]]="","",TEXT(allExpenses_table[[#This Row],[Date]],"mmmm"))</f>
        <v/>
      </c>
    </row>
    <row r="590" spans="1:4" x14ac:dyDescent="0.3">
      <c r="A590" s="2"/>
      <c r="B590" s="158"/>
      <c r="C590" s="234"/>
      <c r="D590" t="str">
        <f>IF(allExpenses_table[[#This Row],[Date]]="","",TEXT(allExpenses_table[[#This Row],[Date]],"mmmm"))</f>
        <v/>
      </c>
    </row>
    <row r="591" spans="1:4" x14ac:dyDescent="0.3">
      <c r="A591" s="2"/>
      <c r="B591" s="158"/>
      <c r="C591" s="234"/>
      <c r="D591" t="str">
        <f>IF(allExpenses_table[[#This Row],[Date]]="","",TEXT(allExpenses_table[[#This Row],[Date]],"mmmm"))</f>
        <v/>
      </c>
    </row>
    <row r="592" spans="1:4" x14ac:dyDescent="0.3">
      <c r="A592" s="2"/>
      <c r="B592" s="158"/>
      <c r="C592" s="234"/>
      <c r="D592" t="str">
        <f>IF(allExpenses_table[[#This Row],[Date]]="","",TEXT(allExpenses_table[[#This Row],[Date]],"mmmm"))</f>
        <v/>
      </c>
    </row>
    <row r="593" spans="1:4" x14ac:dyDescent="0.3">
      <c r="A593" s="2"/>
      <c r="B593" s="158"/>
      <c r="C593" s="234"/>
      <c r="D593" t="str">
        <f>IF(allExpenses_table[[#This Row],[Date]]="","",TEXT(allExpenses_table[[#This Row],[Date]],"mmmm"))</f>
        <v/>
      </c>
    </row>
    <row r="594" spans="1:4" x14ac:dyDescent="0.3">
      <c r="A594" s="2"/>
      <c r="B594" s="158"/>
      <c r="C594" s="234"/>
      <c r="D594" t="str">
        <f>IF(allExpenses_table[[#This Row],[Date]]="","",TEXT(allExpenses_table[[#This Row],[Date]],"mmmm"))</f>
        <v/>
      </c>
    </row>
    <row r="595" spans="1:4" x14ac:dyDescent="0.3">
      <c r="A595" s="2"/>
      <c r="B595" s="158"/>
      <c r="C595" s="234"/>
      <c r="D595" t="str">
        <f>IF(allExpenses_table[[#This Row],[Date]]="","",TEXT(allExpenses_table[[#This Row],[Date]],"mmmm"))</f>
        <v/>
      </c>
    </row>
    <row r="596" spans="1:4" x14ac:dyDescent="0.3">
      <c r="A596" s="2"/>
      <c r="B596" s="158"/>
      <c r="C596" s="234"/>
      <c r="D596" t="str">
        <f>IF(allExpenses_table[[#This Row],[Date]]="","",TEXT(allExpenses_table[[#This Row],[Date]],"mmmm"))</f>
        <v/>
      </c>
    </row>
    <row r="597" spans="1:4" x14ac:dyDescent="0.3">
      <c r="A597" s="2"/>
      <c r="B597" s="158"/>
      <c r="C597" s="234"/>
      <c r="D597" t="str">
        <f>IF(allExpenses_table[[#This Row],[Date]]="","",TEXT(allExpenses_table[[#This Row],[Date]],"mmmm"))</f>
        <v/>
      </c>
    </row>
    <row r="598" spans="1:4" x14ac:dyDescent="0.3">
      <c r="A598" s="2"/>
      <c r="B598" s="158"/>
      <c r="C598" s="234"/>
      <c r="D598" t="str">
        <f>IF(allExpenses_table[[#This Row],[Date]]="","",TEXT(allExpenses_table[[#This Row],[Date]],"mmmm"))</f>
        <v/>
      </c>
    </row>
    <row r="599" spans="1:4" x14ac:dyDescent="0.3">
      <c r="A599" s="2"/>
      <c r="B599" s="158"/>
      <c r="C599" s="234"/>
      <c r="D599" t="str">
        <f>IF(allExpenses_table[[#This Row],[Date]]="","",TEXT(allExpenses_table[[#This Row],[Date]],"mmmm"))</f>
        <v/>
      </c>
    </row>
    <row r="600" spans="1:4" x14ac:dyDescent="0.3">
      <c r="A600" s="2"/>
      <c r="B600" s="158"/>
      <c r="C600" s="234"/>
      <c r="D600" t="str">
        <f>IF(allExpenses_table[[#This Row],[Date]]="","",TEXT(allExpenses_table[[#This Row],[Date]],"mmmm"))</f>
        <v/>
      </c>
    </row>
    <row r="601" spans="1:4" x14ac:dyDescent="0.3">
      <c r="A601" s="2"/>
      <c r="B601" s="158"/>
      <c r="C601" s="234"/>
      <c r="D601" t="str">
        <f>IF(allExpenses_table[[#This Row],[Date]]="","",TEXT(allExpenses_table[[#This Row],[Date]],"mmmm"))</f>
        <v/>
      </c>
    </row>
    <row r="602" spans="1:4" x14ac:dyDescent="0.3">
      <c r="A602" s="2"/>
      <c r="B602" s="158"/>
      <c r="C602" s="234"/>
      <c r="D602" t="str">
        <f>IF(allExpenses_table[[#This Row],[Date]]="","",TEXT(allExpenses_table[[#This Row],[Date]],"mmmm"))</f>
        <v/>
      </c>
    </row>
    <row r="603" spans="1:4" x14ac:dyDescent="0.3">
      <c r="A603" s="2"/>
      <c r="B603" s="158"/>
      <c r="C603" s="234"/>
      <c r="D603" t="str">
        <f>IF(allExpenses_table[[#This Row],[Date]]="","",TEXT(allExpenses_table[[#This Row],[Date]],"mmmm"))</f>
        <v/>
      </c>
    </row>
    <row r="604" spans="1:4" x14ac:dyDescent="0.3">
      <c r="A604" s="2"/>
      <c r="B604" s="158"/>
      <c r="C604" s="234"/>
      <c r="D604" t="str">
        <f>IF(allExpenses_table[[#This Row],[Date]]="","",TEXT(allExpenses_table[[#This Row],[Date]],"mmmm"))</f>
        <v/>
      </c>
    </row>
    <row r="605" spans="1:4" x14ac:dyDescent="0.3">
      <c r="A605" s="2"/>
      <c r="B605" s="158"/>
      <c r="C605" s="234"/>
      <c r="D605" t="str">
        <f>IF(allExpenses_table[[#This Row],[Date]]="","",TEXT(allExpenses_table[[#This Row],[Date]],"mmmm"))</f>
        <v/>
      </c>
    </row>
    <row r="606" spans="1:4" x14ac:dyDescent="0.3">
      <c r="A606" s="2"/>
      <c r="B606" s="158"/>
      <c r="C606" s="234"/>
      <c r="D606" t="str">
        <f>IF(allExpenses_table[[#This Row],[Date]]="","",TEXT(allExpenses_table[[#This Row],[Date]],"mmmm"))</f>
        <v/>
      </c>
    </row>
    <row r="607" spans="1:4" x14ac:dyDescent="0.3">
      <c r="A607" s="2"/>
      <c r="B607" s="158"/>
      <c r="C607" s="234"/>
      <c r="D607" t="str">
        <f>IF(allExpenses_table[[#This Row],[Date]]="","",TEXT(allExpenses_table[[#This Row],[Date]],"mmmm"))</f>
        <v/>
      </c>
    </row>
    <row r="608" spans="1:4" x14ac:dyDescent="0.3">
      <c r="A608" s="2"/>
      <c r="B608" s="158"/>
      <c r="C608" s="234"/>
      <c r="D608" t="str">
        <f>IF(allExpenses_table[[#This Row],[Date]]="","",TEXT(allExpenses_table[[#This Row],[Date]],"mmmm"))</f>
        <v/>
      </c>
    </row>
    <row r="609" spans="1:4" x14ac:dyDescent="0.3">
      <c r="A609" s="2"/>
      <c r="B609" s="158"/>
      <c r="C609" s="234"/>
      <c r="D609" t="str">
        <f>IF(allExpenses_table[[#This Row],[Date]]="","",TEXT(allExpenses_table[[#This Row],[Date]],"mmmm"))</f>
        <v/>
      </c>
    </row>
    <row r="610" spans="1:4" x14ac:dyDescent="0.3">
      <c r="A610" s="2"/>
      <c r="B610" s="158"/>
      <c r="C610" s="234"/>
      <c r="D610" t="str">
        <f>IF(allExpenses_table[[#This Row],[Date]]="","",TEXT(allExpenses_table[[#This Row],[Date]],"mmmm"))</f>
        <v/>
      </c>
    </row>
    <row r="611" spans="1:4" x14ac:dyDescent="0.3">
      <c r="A611" s="2"/>
      <c r="B611" s="158"/>
      <c r="C611" s="234"/>
      <c r="D611" t="str">
        <f>IF(allExpenses_table[[#This Row],[Date]]="","",TEXT(allExpenses_table[[#This Row],[Date]],"mmmm"))</f>
        <v/>
      </c>
    </row>
    <row r="612" spans="1:4" x14ac:dyDescent="0.3">
      <c r="A612" s="2"/>
      <c r="B612" s="158"/>
      <c r="C612" s="234"/>
      <c r="D612" t="str">
        <f>IF(allExpenses_table[[#This Row],[Date]]="","",TEXT(allExpenses_table[[#This Row],[Date]],"mmmm"))</f>
        <v/>
      </c>
    </row>
    <row r="613" spans="1:4" x14ac:dyDescent="0.3">
      <c r="A613" s="2"/>
      <c r="B613" s="158"/>
      <c r="C613" s="234"/>
      <c r="D613" t="str">
        <f>IF(allExpenses_table[[#This Row],[Date]]="","",TEXT(allExpenses_table[[#This Row],[Date]],"mmmm"))</f>
        <v/>
      </c>
    </row>
    <row r="614" spans="1:4" x14ac:dyDescent="0.3">
      <c r="A614" s="2"/>
      <c r="B614" s="158"/>
      <c r="C614" s="234"/>
      <c r="D614" t="str">
        <f>IF(allExpenses_table[[#This Row],[Date]]="","",TEXT(allExpenses_table[[#This Row],[Date]],"mmmm"))</f>
        <v/>
      </c>
    </row>
    <row r="615" spans="1:4" x14ac:dyDescent="0.3">
      <c r="A615" s="2"/>
      <c r="B615" s="158"/>
      <c r="C615" s="234"/>
      <c r="D615" t="str">
        <f>IF(allExpenses_table[[#This Row],[Date]]="","",TEXT(allExpenses_table[[#This Row],[Date]],"mmmm"))</f>
        <v/>
      </c>
    </row>
    <row r="616" spans="1:4" x14ac:dyDescent="0.3">
      <c r="A616" s="2"/>
      <c r="B616" s="158"/>
      <c r="C616" s="234"/>
      <c r="D616" t="str">
        <f>IF(allExpenses_table[[#This Row],[Date]]="","",TEXT(allExpenses_table[[#This Row],[Date]],"mmmm"))</f>
        <v/>
      </c>
    </row>
    <row r="617" spans="1:4" x14ac:dyDescent="0.3">
      <c r="A617" s="2"/>
      <c r="B617" s="158"/>
      <c r="C617" s="234"/>
      <c r="D617" t="str">
        <f>IF(allExpenses_table[[#This Row],[Date]]="","",TEXT(allExpenses_table[[#This Row],[Date]],"mmmm"))</f>
        <v/>
      </c>
    </row>
    <row r="618" spans="1:4" x14ac:dyDescent="0.3">
      <c r="A618" s="2"/>
      <c r="B618" s="158"/>
      <c r="C618" s="234"/>
      <c r="D618" t="str">
        <f>IF(allExpenses_table[[#This Row],[Date]]="","",TEXT(allExpenses_table[[#This Row],[Date]],"mmmm"))</f>
        <v/>
      </c>
    </row>
    <row r="619" spans="1:4" x14ac:dyDescent="0.3">
      <c r="A619" s="2"/>
      <c r="B619" s="158"/>
      <c r="C619" s="234"/>
      <c r="D619" t="str">
        <f>IF(allExpenses_table[[#This Row],[Date]]="","",TEXT(allExpenses_table[[#This Row],[Date]],"mmmm"))</f>
        <v/>
      </c>
    </row>
    <row r="620" spans="1:4" x14ac:dyDescent="0.3">
      <c r="A620" s="2"/>
      <c r="B620" s="158"/>
      <c r="C620" s="234"/>
      <c r="D620" t="str">
        <f>IF(allExpenses_table[[#This Row],[Date]]="","",TEXT(allExpenses_table[[#This Row],[Date]],"mmmm"))</f>
        <v/>
      </c>
    </row>
    <row r="621" spans="1:4" x14ac:dyDescent="0.3">
      <c r="A621" s="2"/>
      <c r="B621" s="158"/>
      <c r="C621" s="234"/>
      <c r="D621" t="str">
        <f>IF(allExpenses_table[[#This Row],[Date]]="","",TEXT(allExpenses_table[[#This Row],[Date]],"mmmm"))</f>
        <v/>
      </c>
    </row>
    <row r="622" spans="1:4" x14ac:dyDescent="0.3">
      <c r="A622" s="2"/>
      <c r="B622" s="158"/>
      <c r="C622" s="234"/>
      <c r="D622" t="str">
        <f>IF(allExpenses_table[[#This Row],[Date]]="","",TEXT(allExpenses_table[[#This Row],[Date]],"mmmm"))</f>
        <v/>
      </c>
    </row>
    <row r="623" spans="1:4" x14ac:dyDescent="0.3">
      <c r="A623" s="2"/>
      <c r="B623" s="158"/>
      <c r="C623" s="234"/>
      <c r="D623" t="str">
        <f>IF(allExpenses_table[[#This Row],[Date]]="","",TEXT(allExpenses_table[[#This Row],[Date]],"mmmm"))</f>
        <v/>
      </c>
    </row>
    <row r="624" spans="1:4" x14ac:dyDescent="0.3">
      <c r="A624" s="2"/>
      <c r="B624" s="158"/>
      <c r="C624" s="234"/>
      <c r="D624" t="str">
        <f>IF(allExpenses_table[[#This Row],[Date]]="","",TEXT(allExpenses_table[[#This Row],[Date]],"mmmm"))</f>
        <v/>
      </c>
    </row>
    <row r="625" spans="1:4" x14ac:dyDescent="0.3">
      <c r="A625" s="2"/>
      <c r="B625" s="158"/>
      <c r="C625" s="234"/>
      <c r="D625" t="str">
        <f>IF(allExpenses_table[[#This Row],[Date]]="","",TEXT(allExpenses_table[[#This Row],[Date]],"mmmm"))</f>
        <v/>
      </c>
    </row>
    <row r="626" spans="1:4" x14ac:dyDescent="0.3">
      <c r="A626" s="2"/>
      <c r="B626" s="158"/>
      <c r="C626" s="234"/>
      <c r="D626" t="str">
        <f>IF(allExpenses_table[[#This Row],[Date]]="","",TEXT(allExpenses_table[[#This Row],[Date]],"mmmm"))</f>
        <v/>
      </c>
    </row>
    <row r="627" spans="1:4" x14ac:dyDescent="0.3">
      <c r="A627" s="2"/>
      <c r="B627" s="158"/>
      <c r="C627" s="234"/>
      <c r="D627" t="str">
        <f>IF(allExpenses_table[[#This Row],[Date]]="","",TEXT(allExpenses_table[[#This Row],[Date]],"mmmm"))</f>
        <v/>
      </c>
    </row>
    <row r="628" spans="1:4" x14ac:dyDescent="0.3">
      <c r="A628" s="2"/>
      <c r="B628" s="158"/>
      <c r="C628" s="234"/>
      <c r="D628" t="str">
        <f>IF(allExpenses_table[[#This Row],[Date]]="","",TEXT(allExpenses_table[[#This Row],[Date]],"mmmm"))</f>
        <v/>
      </c>
    </row>
    <row r="629" spans="1:4" x14ac:dyDescent="0.3">
      <c r="A629" s="2"/>
      <c r="B629" s="158"/>
      <c r="C629" s="234"/>
      <c r="D629" t="str">
        <f>IF(allExpenses_table[[#This Row],[Date]]="","",TEXT(allExpenses_table[[#This Row],[Date]],"mmmm"))</f>
        <v/>
      </c>
    </row>
    <row r="630" spans="1:4" x14ac:dyDescent="0.3">
      <c r="A630" s="2"/>
      <c r="B630" s="158"/>
      <c r="C630" s="234"/>
      <c r="D630" t="str">
        <f>IF(allExpenses_table[[#This Row],[Date]]="","",TEXT(allExpenses_table[[#This Row],[Date]],"mmmm"))</f>
        <v/>
      </c>
    </row>
    <row r="631" spans="1:4" x14ac:dyDescent="0.3">
      <c r="A631" s="2"/>
      <c r="B631" s="158"/>
      <c r="C631" s="234"/>
      <c r="D631" t="str">
        <f>IF(allExpenses_table[[#This Row],[Date]]="","",TEXT(allExpenses_table[[#This Row],[Date]],"mmmm"))</f>
        <v/>
      </c>
    </row>
    <row r="632" spans="1:4" x14ac:dyDescent="0.3">
      <c r="A632" s="2"/>
      <c r="B632" s="158"/>
      <c r="C632" s="234"/>
      <c r="D632" t="str">
        <f>IF(allExpenses_table[[#This Row],[Date]]="","",TEXT(allExpenses_table[[#This Row],[Date]],"mmmm"))</f>
        <v/>
      </c>
    </row>
    <row r="633" spans="1:4" x14ac:dyDescent="0.3">
      <c r="A633" s="2"/>
      <c r="B633" s="158"/>
      <c r="C633" s="234"/>
      <c r="D633" t="str">
        <f>IF(allExpenses_table[[#This Row],[Date]]="","",TEXT(allExpenses_table[[#This Row],[Date]],"mmmm"))</f>
        <v/>
      </c>
    </row>
    <row r="634" spans="1:4" x14ac:dyDescent="0.3">
      <c r="A634" s="2"/>
      <c r="B634" s="158"/>
      <c r="C634" s="234"/>
      <c r="D634" t="str">
        <f>IF(allExpenses_table[[#This Row],[Date]]="","",TEXT(allExpenses_table[[#This Row],[Date]],"mmmm"))</f>
        <v/>
      </c>
    </row>
    <row r="635" spans="1:4" x14ac:dyDescent="0.3">
      <c r="A635" s="2"/>
      <c r="B635" s="158"/>
      <c r="C635" s="234"/>
      <c r="D635" t="str">
        <f>IF(allExpenses_table[[#This Row],[Date]]="","",TEXT(allExpenses_table[[#This Row],[Date]],"mmmm"))</f>
        <v/>
      </c>
    </row>
    <row r="636" spans="1:4" x14ac:dyDescent="0.3">
      <c r="A636" s="2"/>
      <c r="B636" s="158"/>
      <c r="C636" s="234"/>
      <c r="D636" t="str">
        <f>IF(allExpenses_table[[#This Row],[Date]]="","",TEXT(allExpenses_table[[#This Row],[Date]],"mmmm"))</f>
        <v/>
      </c>
    </row>
    <row r="637" spans="1:4" x14ac:dyDescent="0.3">
      <c r="A637" s="2"/>
      <c r="B637" s="158"/>
      <c r="C637" s="234"/>
      <c r="D637" t="str">
        <f>IF(allExpenses_table[[#This Row],[Date]]="","",TEXT(allExpenses_table[[#This Row],[Date]],"mmmm"))</f>
        <v/>
      </c>
    </row>
    <row r="638" spans="1:4" x14ac:dyDescent="0.3">
      <c r="A638" s="2"/>
      <c r="B638" s="158"/>
      <c r="C638" s="234"/>
      <c r="D638" t="str">
        <f>IF(allExpenses_table[[#This Row],[Date]]="","",TEXT(allExpenses_table[[#This Row],[Date]],"mmmm"))</f>
        <v/>
      </c>
    </row>
    <row r="639" spans="1:4" x14ac:dyDescent="0.3">
      <c r="A639" s="2"/>
      <c r="B639" s="158"/>
      <c r="C639" s="234"/>
      <c r="D639" t="str">
        <f>IF(allExpenses_table[[#This Row],[Date]]="","",TEXT(allExpenses_table[[#This Row],[Date]],"mmmm"))</f>
        <v/>
      </c>
    </row>
    <row r="640" spans="1:4" x14ac:dyDescent="0.3">
      <c r="A640" s="2"/>
      <c r="B640" s="158"/>
      <c r="C640" s="234"/>
      <c r="D640" t="str">
        <f>IF(allExpenses_table[[#This Row],[Date]]="","",TEXT(allExpenses_table[[#This Row],[Date]],"mmmm"))</f>
        <v/>
      </c>
    </row>
    <row r="641" spans="1:4" x14ac:dyDescent="0.3">
      <c r="A641" s="2"/>
      <c r="B641" s="158"/>
      <c r="C641" s="234"/>
      <c r="D641" t="str">
        <f>IF(allExpenses_table[[#This Row],[Date]]="","",TEXT(allExpenses_table[[#This Row],[Date]],"mmmm"))</f>
        <v/>
      </c>
    </row>
    <row r="642" spans="1:4" x14ac:dyDescent="0.3">
      <c r="A642" s="2"/>
      <c r="B642" s="158"/>
      <c r="C642" s="234"/>
      <c r="D642" t="str">
        <f>IF(allExpenses_table[[#This Row],[Date]]="","",TEXT(allExpenses_table[[#This Row],[Date]],"mmmm"))</f>
        <v/>
      </c>
    </row>
    <row r="643" spans="1:4" x14ac:dyDescent="0.3">
      <c r="A643" s="2"/>
      <c r="B643" s="158"/>
      <c r="C643" s="234"/>
      <c r="D643" t="str">
        <f>IF(allExpenses_table[[#This Row],[Date]]="","",TEXT(allExpenses_table[[#This Row],[Date]],"mmmm"))</f>
        <v/>
      </c>
    </row>
    <row r="644" spans="1:4" x14ac:dyDescent="0.3">
      <c r="A644" s="2"/>
      <c r="B644" s="158"/>
      <c r="C644" s="234"/>
      <c r="D644" t="str">
        <f>IF(allExpenses_table[[#This Row],[Date]]="","",TEXT(allExpenses_table[[#This Row],[Date]],"mmmm"))</f>
        <v/>
      </c>
    </row>
    <row r="645" spans="1:4" x14ac:dyDescent="0.3">
      <c r="A645" s="2"/>
      <c r="B645" s="158"/>
      <c r="C645" s="234"/>
      <c r="D645" t="str">
        <f>IF(allExpenses_table[[#This Row],[Date]]="","",TEXT(allExpenses_table[[#This Row],[Date]],"mmmm"))</f>
        <v/>
      </c>
    </row>
    <row r="646" spans="1:4" x14ac:dyDescent="0.3">
      <c r="A646" s="2"/>
      <c r="B646" s="158"/>
      <c r="C646" s="234"/>
      <c r="D646" t="str">
        <f>IF(allExpenses_table[[#This Row],[Date]]="","",TEXT(allExpenses_table[[#This Row],[Date]],"mmmm"))</f>
        <v/>
      </c>
    </row>
    <row r="647" spans="1:4" x14ac:dyDescent="0.3">
      <c r="A647" s="2"/>
      <c r="B647" s="158"/>
      <c r="C647" s="234"/>
      <c r="D647" t="str">
        <f>IF(allExpenses_table[[#This Row],[Date]]="","",TEXT(allExpenses_table[[#This Row],[Date]],"mmmm"))</f>
        <v/>
      </c>
    </row>
    <row r="648" spans="1:4" x14ac:dyDescent="0.3">
      <c r="A648" s="2"/>
      <c r="B648" s="158"/>
      <c r="C648" s="234"/>
      <c r="D648" t="str">
        <f>IF(allExpenses_table[[#This Row],[Date]]="","",TEXT(allExpenses_table[[#This Row],[Date]],"mmmm"))</f>
        <v/>
      </c>
    </row>
    <row r="649" spans="1:4" x14ac:dyDescent="0.3">
      <c r="A649" s="2"/>
      <c r="B649" s="158"/>
      <c r="C649" s="234"/>
      <c r="D649" t="str">
        <f>IF(allExpenses_table[[#This Row],[Date]]="","",TEXT(allExpenses_table[[#This Row],[Date]],"mmmm"))</f>
        <v/>
      </c>
    </row>
    <row r="650" spans="1:4" x14ac:dyDescent="0.3">
      <c r="A650" s="2"/>
      <c r="B650" s="158"/>
      <c r="C650" s="234"/>
      <c r="D650" t="str">
        <f>IF(allExpenses_table[[#This Row],[Date]]="","",TEXT(allExpenses_table[[#This Row],[Date]],"mmmm"))</f>
        <v/>
      </c>
    </row>
    <row r="651" spans="1:4" x14ac:dyDescent="0.3">
      <c r="A651" s="2"/>
      <c r="B651" s="158"/>
      <c r="C651" s="234"/>
      <c r="D651" t="str">
        <f>IF(allExpenses_table[[#This Row],[Date]]="","",TEXT(allExpenses_table[[#This Row],[Date]],"mmmm"))</f>
        <v/>
      </c>
    </row>
    <row r="652" spans="1:4" x14ac:dyDescent="0.3">
      <c r="A652" s="2"/>
      <c r="B652" s="158"/>
      <c r="C652" s="234"/>
      <c r="D652" t="str">
        <f>IF(allExpenses_table[[#This Row],[Date]]="","",TEXT(allExpenses_table[[#This Row],[Date]],"mmmm"))</f>
        <v/>
      </c>
    </row>
    <row r="653" spans="1:4" x14ac:dyDescent="0.3">
      <c r="A653" s="2"/>
      <c r="B653" s="158"/>
      <c r="C653" s="234"/>
      <c r="D653" t="str">
        <f>IF(allExpenses_table[[#This Row],[Date]]="","",TEXT(allExpenses_table[[#This Row],[Date]],"mmmm"))</f>
        <v/>
      </c>
    </row>
    <row r="654" spans="1:4" x14ac:dyDescent="0.3">
      <c r="A654" s="2"/>
      <c r="B654" s="158"/>
      <c r="C654" s="234"/>
      <c r="D654" t="str">
        <f>IF(allExpenses_table[[#This Row],[Date]]="","",TEXT(allExpenses_table[[#This Row],[Date]],"mmmm"))</f>
        <v/>
      </c>
    </row>
    <row r="655" spans="1:4" x14ac:dyDescent="0.3">
      <c r="A655" s="2"/>
      <c r="B655" s="158"/>
      <c r="C655" s="234"/>
      <c r="D655" t="str">
        <f>IF(allExpenses_table[[#This Row],[Date]]="","",TEXT(allExpenses_table[[#This Row],[Date]],"mmmm"))</f>
        <v/>
      </c>
    </row>
    <row r="656" spans="1:4" x14ac:dyDescent="0.3">
      <c r="A656" s="2"/>
      <c r="B656" s="158"/>
      <c r="C656" s="234"/>
      <c r="D656" t="str">
        <f>IF(allExpenses_table[[#This Row],[Date]]="","",TEXT(allExpenses_table[[#This Row],[Date]],"mmmm"))</f>
        <v/>
      </c>
    </row>
    <row r="657" spans="1:4" x14ac:dyDescent="0.3">
      <c r="A657" s="2"/>
      <c r="B657" s="158"/>
      <c r="C657" s="234"/>
      <c r="D657" t="str">
        <f>IF(allExpenses_table[[#This Row],[Date]]="","",TEXT(allExpenses_table[[#This Row],[Date]],"mmmm"))</f>
        <v/>
      </c>
    </row>
    <row r="658" spans="1:4" x14ac:dyDescent="0.3">
      <c r="A658" s="2"/>
      <c r="B658" s="158"/>
      <c r="C658" s="234"/>
      <c r="D658" t="str">
        <f>IF(allExpenses_table[[#This Row],[Date]]="","",TEXT(allExpenses_table[[#This Row],[Date]],"mmmm"))</f>
        <v/>
      </c>
    </row>
    <row r="659" spans="1:4" x14ac:dyDescent="0.3">
      <c r="A659" s="2"/>
      <c r="B659" s="158"/>
      <c r="C659" s="234"/>
      <c r="D659" t="str">
        <f>IF(allExpenses_table[[#This Row],[Date]]="","",TEXT(allExpenses_table[[#This Row],[Date]],"mmmm"))</f>
        <v/>
      </c>
    </row>
    <row r="660" spans="1:4" x14ac:dyDescent="0.3">
      <c r="A660" s="2"/>
      <c r="B660" s="158"/>
      <c r="C660" s="234"/>
      <c r="D660" t="str">
        <f>IF(allExpenses_table[[#This Row],[Date]]="","",TEXT(allExpenses_table[[#This Row],[Date]],"mmmm"))</f>
        <v/>
      </c>
    </row>
    <row r="661" spans="1:4" x14ac:dyDescent="0.3">
      <c r="A661" s="2"/>
      <c r="B661" s="158"/>
      <c r="C661" s="234"/>
      <c r="D661" t="str">
        <f>IF(allExpenses_table[[#This Row],[Date]]="","",TEXT(allExpenses_table[[#This Row],[Date]],"mmmm"))</f>
        <v/>
      </c>
    </row>
    <row r="662" spans="1:4" x14ac:dyDescent="0.3">
      <c r="A662" s="2"/>
      <c r="B662" s="158"/>
      <c r="C662" s="234"/>
      <c r="D662" t="str">
        <f>IF(allExpenses_table[[#This Row],[Date]]="","",TEXT(allExpenses_table[[#This Row],[Date]],"mmmm"))</f>
        <v/>
      </c>
    </row>
    <row r="663" spans="1:4" x14ac:dyDescent="0.3">
      <c r="A663" s="2"/>
      <c r="B663" s="158"/>
      <c r="C663" s="234"/>
      <c r="D663" t="str">
        <f>IF(allExpenses_table[[#This Row],[Date]]="","",TEXT(allExpenses_table[[#This Row],[Date]],"mmmm"))</f>
        <v/>
      </c>
    </row>
    <row r="664" spans="1:4" x14ac:dyDescent="0.3">
      <c r="A664" s="2"/>
      <c r="B664" s="158"/>
      <c r="C664" s="234"/>
      <c r="D664" t="str">
        <f>IF(allExpenses_table[[#This Row],[Date]]="","",TEXT(allExpenses_table[[#This Row],[Date]],"mmmm"))</f>
        <v/>
      </c>
    </row>
    <row r="665" spans="1:4" x14ac:dyDescent="0.3">
      <c r="A665" s="2"/>
      <c r="B665" s="158"/>
      <c r="C665" s="234"/>
      <c r="D665" t="str">
        <f>IF(allExpenses_table[[#This Row],[Date]]="","",TEXT(allExpenses_table[[#This Row],[Date]],"mmmm"))</f>
        <v/>
      </c>
    </row>
    <row r="666" spans="1:4" x14ac:dyDescent="0.3">
      <c r="A666" s="2"/>
      <c r="B666" s="158"/>
      <c r="C666" s="234"/>
      <c r="D666" t="str">
        <f>IF(allExpenses_table[[#This Row],[Date]]="","",TEXT(allExpenses_table[[#This Row],[Date]],"mmmm"))</f>
        <v/>
      </c>
    </row>
    <row r="667" spans="1:4" x14ac:dyDescent="0.3">
      <c r="A667" s="2"/>
      <c r="B667" s="158"/>
      <c r="C667" s="234"/>
      <c r="D667" t="str">
        <f>IF(allExpenses_table[[#This Row],[Date]]="","",TEXT(allExpenses_table[[#This Row],[Date]],"mmmm"))</f>
        <v/>
      </c>
    </row>
    <row r="668" spans="1:4" x14ac:dyDescent="0.3">
      <c r="A668" s="2"/>
      <c r="B668" s="158"/>
      <c r="C668" s="234"/>
      <c r="D668" t="str">
        <f>IF(allExpenses_table[[#This Row],[Date]]="","",TEXT(allExpenses_table[[#This Row],[Date]],"mmmm"))</f>
        <v/>
      </c>
    </row>
    <row r="669" spans="1:4" x14ac:dyDescent="0.3">
      <c r="A669" s="2"/>
      <c r="B669" s="158"/>
      <c r="C669" s="234"/>
      <c r="D669" t="str">
        <f>IF(allExpenses_table[[#This Row],[Date]]="","",TEXT(allExpenses_table[[#This Row],[Date]],"mmmm"))</f>
        <v/>
      </c>
    </row>
    <row r="670" spans="1:4" x14ac:dyDescent="0.3">
      <c r="A670" s="2"/>
      <c r="B670" s="158"/>
      <c r="C670" s="234"/>
      <c r="D670" t="str">
        <f>IF(allExpenses_table[[#This Row],[Date]]="","",TEXT(allExpenses_table[[#This Row],[Date]],"mmmm"))</f>
        <v/>
      </c>
    </row>
    <row r="671" spans="1:4" x14ac:dyDescent="0.3">
      <c r="A671" s="2"/>
      <c r="B671" s="158"/>
      <c r="C671" s="234"/>
      <c r="D671" t="str">
        <f>IF(allExpenses_table[[#This Row],[Date]]="","",TEXT(allExpenses_table[[#This Row],[Date]],"mmmm"))</f>
        <v/>
      </c>
    </row>
    <row r="672" spans="1:4" x14ac:dyDescent="0.3">
      <c r="A672" s="2"/>
      <c r="B672" s="158"/>
      <c r="C672" s="234"/>
      <c r="D672" t="str">
        <f>IF(allExpenses_table[[#This Row],[Date]]="","",TEXT(allExpenses_table[[#This Row],[Date]],"mmmm"))</f>
        <v/>
      </c>
    </row>
    <row r="673" spans="1:4" x14ac:dyDescent="0.3">
      <c r="A673" s="2"/>
      <c r="B673" s="158"/>
      <c r="C673" s="234"/>
      <c r="D673" t="str">
        <f>IF(allExpenses_table[[#This Row],[Date]]="","",TEXT(allExpenses_table[[#This Row],[Date]],"mmmm"))</f>
        <v/>
      </c>
    </row>
    <row r="674" spans="1:4" x14ac:dyDescent="0.3">
      <c r="A674" s="2"/>
      <c r="B674" s="158"/>
      <c r="C674" s="234"/>
      <c r="D674" t="str">
        <f>IF(allExpenses_table[[#This Row],[Date]]="","",TEXT(allExpenses_table[[#This Row],[Date]],"mmmm"))</f>
        <v/>
      </c>
    </row>
    <row r="675" spans="1:4" x14ac:dyDescent="0.3">
      <c r="A675" s="2"/>
      <c r="B675" s="158"/>
      <c r="C675" s="234"/>
      <c r="D675" t="str">
        <f>IF(allExpenses_table[[#This Row],[Date]]="","",TEXT(allExpenses_table[[#This Row],[Date]],"mmmm"))</f>
        <v/>
      </c>
    </row>
    <row r="676" spans="1:4" x14ac:dyDescent="0.3">
      <c r="A676" s="2"/>
      <c r="B676" s="158"/>
      <c r="C676" s="234"/>
      <c r="D676" t="str">
        <f>IF(allExpenses_table[[#This Row],[Date]]="","",TEXT(allExpenses_table[[#This Row],[Date]],"mmmm"))</f>
        <v/>
      </c>
    </row>
    <row r="677" spans="1:4" x14ac:dyDescent="0.3">
      <c r="A677" s="2"/>
      <c r="B677" s="158"/>
      <c r="C677" s="234"/>
      <c r="D677" t="str">
        <f>IF(allExpenses_table[[#This Row],[Date]]="","",TEXT(allExpenses_table[[#This Row],[Date]],"mmmm"))</f>
        <v/>
      </c>
    </row>
    <row r="678" spans="1:4" x14ac:dyDescent="0.3">
      <c r="A678" s="2"/>
      <c r="B678" s="158"/>
      <c r="C678" s="234"/>
      <c r="D678" t="str">
        <f>IF(allExpenses_table[[#This Row],[Date]]="","",TEXT(allExpenses_table[[#This Row],[Date]],"mmmm"))</f>
        <v/>
      </c>
    </row>
    <row r="679" spans="1:4" x14ac:dyDescent="0.3">
      <c r="A679" s="2"/>
      <c r="B679" s="158"/>
      <c r="C679" s="234"/>
      <c r="D679" t="str">
        <f>IF(allExpenses_table[[#This Row],[Date]]="","",TEXT(allExpenses_table[[#This Row],[Date]],"mmmm"))</f>
        <v/>
      </c>
    </row>
    <row r="680" spans="1:4" x14ac:dyDescent="0.3">
      <c r="A680" s="2"/>
      <c r="B680" s="158"/>
      <c r="C680" s="234"/>
      <c r="D680" t="str">
        <f>IF(allExpenses_table[[#This Row],[Date]]="","",TEXT(allExpenses_table[[#This Row],[Date]],"mmmm"))</f>
        <v/>
      </c>
    </row>
    <row r="681" spans="1:4" x14ac:dyDescent="0.3">
      <c r="A681" s="2"/>
      <c r="B681" s="158"/>
      <c r="C681" s="234"/>
      <c r="D681" t="str">
        <f>IF(allExpenses_table[[#This Row],[Date]]="","",TEXT(allExpenses_table[[#This Row],[Date]],"mmmm"))</f>
        <v/>
      </c>
    </row>
    <row r="682" spans="1:4" x14ac:dyDescent="0.3">
      <c r="A682" s="2"/>
      <c r="B682" s="158"/>
      <c r="C682" s="234"/>
      <c r="D682" t="str">
        <f>IF(allExpenses_table[[#This Row],[Date]]="","",TEXT(allExpenses_table[[#This Row],[Date]],"mmmm"))</f>
        <v/>
      </c>
    </row>
    <row r="683" spans="1:4" x14ac:dyDescent="0.3">
      <c r="A683" s="2"/>
      <c r="B683" s="158"/>
      <c r="C683" s="234"/>
      <c r="D683" t="str">
        <f>IF(allExpenses_table[[#This Row],[Date]]="","",TEXT(allExpenses_table[[#This Row],[Date]],"mmmm"))</f>
        <v/>
      </c>
    </row>
    <row r="684" spans="1:4" x14ac:dyDescent="0.3">
      <c r="A684" s="2"/>
      <c r="B684" s="158"/>
      <c r="C684" s="234"/>
      <c r="D684" t="str">
        <f>IF(allExpenses_table[[#This Row],[Date]]="","",TEXT(allExpenses_table[[#This Row],[Date]],"mmmm"))</f>
        <v/>
      </c>
    </row>
    <row r="685" spans="1:4" x14ac:dyDescent="0.3">
      <c r="A685" s="2"/>
      <c r="B685" s="158"/>
      <c r="C685" s="234"/>
      <c r="D685" t="str">
        <f>IF(allExpenses_table[[#This Row],[Date]]="","",TEXT(allExpenses_table[[#This Row],[Date]],"mmmm"))</f>
        <v/>
      </c>
    </row>
    <row r="686" spans="1:4" x14ac:dyDescent="0.3">
      <c r="A686" s="2"/>
      <c r="B686" s="158"/>
      <c r="C686" s="234"/>
      <c r="D686" t="str">
        <f>IF(allExpenses_table[[#This Row],[Date]]="","",TEXT(allExpenses_table[[#This Row],[Date]],"mmmm"))</f>
        <v/>
      </c>
    </row>
    <row r="687" spans="1:4" x14ac:dyDescent="0.3">
      <c r="A687" s="2"/>
      <c r="B687" s="158"/>
      <c r="C687" s="234"/>
      <c r="D687" t="str">
        <f>IF(allExpenses_table[[#This Row],[Date]]="","",TEXT(allExpenses_table[[#This Row],[Date]],"mmmm"))</f>
        <v/>
      </c>
    </row>
    <row r="688" spans="1:4" x14ac:dyDescent="0.3">
      <c r="A688" s="2"/>
      <c r="B688" s="158"/>
      <c r="C688" s="234"/>
      <c r="D688" t="str">
        <f>IF(allExpenses_table[[#This Row],[Date]]="","",TEXT(allExpenses_table[[#This Row],[Date]],"mmmm"))</f>
        <v/>
      </c>
    </row>
    <row r="689" spans="1:4" x14ac:dyDescent="0.3">
      <c r="A689" s="2"/>
      <c r="B689" s="158"/>
      <c r="C689" s="234"/>
      <c r="D689" t="str">
        <f>IF(allExpenses_table[[#This Row],[Date]]="","",TEXT(allExpenses_table[[#This Row],[Date]],"mmmm"))</f>
        <v/>
      </c>
    </row>
    <row r="690" spans="1:4" x14ac:dyDescent="0.3">
      <c r="A690" s="2"/>
      <c r="B690" s="158"/>
      <c r="C690" s="234"/>
      <c r="D690" t="str">
        <f>IF(allExpenses_table[[#This Row],[Date]]="","",TEXT(allExpenses_table[[#This Row],[Date]],"mmmm"))</f>
        <v/>
      </c>
    </row>
    <row r="691" spans="1:4" x14ac:dyDescent="0.3">
      <c r="A691" s="2"/>
      <c r="B691" s="158"/>
      <c r="C691" s="234"/>
      <c r="D691" t="str">
        <f>IF(allExpenses_table[[#This Row],[Date]]="","",TEXT(allExpenses_table[[#This Row],[Date]],"mmmm"))</f>
        <v/>
      </c>
    </row>
    <row r="692" spans="1:4" x14ac:dyDescent="0.3">
      <c r="A692" s="2"/>
      <c r="B692" s="158"/>
      <c r="C692" s="234"/>
      <c r="D692" t="str">
        <f>IF(allExpenses_table[[#This Row],[Date]]="","",TEXT(allExpenses_table[[#This Row],[Date]],"mmmm"))</f>
        <v/>
      </c>
    </row>
    <row r="693" spans="1:4" x14ac:dyDescent="0.3">
      <c r="A693" s="2"/>
      <c r="B693" s="158"/>
      <c r="C693" s="234"/>
      <c r="D693" t="str">
        <f>IF(allExpenses_table[[#This Row],[Date]]="","",TEXT(allExpenses_table[[#This Row],[Date]],"mmmm"))</f>
        <v/>
      </c>
    </row>
    <row r="694" spans="1:4" x14ac:dyDescent="0.3">
      <c r="A694" s="2"/>
      <c r="B694" s="158"/>
      <c r="C694" s="234"/>
      <c r="D694" t="str">
        <f>IF(allExpenses_table[[#This Row],[Date]]="","",TEXT(allExpenses_table[[#This Row],[Date]],"mmmm"))</f>
        <v/>
      </c>
    </row>
    <row r="695" spans="1:4" x14ac:dyDescent="0.3">
      <c r="A695" s="2"/>
      <c r="B695" s="158"/>
      <c r="C695" s="234"/>
      <c r="D695" t="str">
        <f>IF(allExpenses_table[[#This Row],[Date]]="","",TEXT(allExpenses_table[[#This Row],[Date]],"mmmm"))</f>
        <v/>
      </c>
    </row>
    <row r="696" spans="1:4" x14ac:dyDescent="0.3">
      <c r="A696" s="2"/>
      <c r="B696" s="158"/>
      <c r="C696" s="234"/>
      <c r="D696" t="str">
        <f>IF(allExpenses_table[[#This Row],[Date]]="","",TEXT(allExpenses_table[[#This Row],[Date]],"mmmm"))</f>
        <v/>
      </c>
    </row>
    <row r="697" spans="1:4" x14ac:dyDescent="0.3">
      <c r="A697" s="2"/>
      <c r="B697" s="158"/>
      <c r="C697" s="234"/>
      <c r="D697" t="str">
        <f>IF(allExpenses_table[[#This Row],[Date]]="","",TEXT(allExpenses_table[[#This Row],[Date]],"mmmm"))</f>
        <v/>
      </c>
    </row>
    <row r="698" spans="1:4" x14ac:dyDescent="0.3">
      <c r="A698" s="2"/>
      <c r="B698" s="158"/>
      <c r="C698" s="234"/>
      <c r="D698" t="str">
        <f>IF(allExpenses_table[[#This Row],[Date]]="","",TEXT(allExpenses_table[[#This Row],[Date]],"mmmm"))</f>
        <v/>
      </c>
    </row>
    <row r="699" spans="1:4" x14ac:dyDescent="0.3">
      <c r="A699" s="2"/>
      <c r="B699" s="158"/>
      <c r="C699" s="234"/>
      <c r="D699" t="str">
        <f>IF(allExpenses_table[[#This Row],[Date]]="","",TEXT(allExpenses_table[[#This Row],[Date]],"mmmm"))</f>
        <v/>
      </c>
    </row>
    <row r="700" spans="1:4" x14ac:dyDescent="0.3">
      <c r="A700" s="2"/>
      <c r="B700" s="158"/>
      <c r="C700" s="234"/>
      <c r="D700" t="str">
        <f>IF(allExpenses_table[[#This Row],[Date]]="","",TEXT(allExpenses_table[[#This Row],[Date]],"mmmm"))</f>
        <v/>
      </c>
    </row>
    <row r="701" spans="1:4" x14ac:dyDescent="0.3">
      <c r="A701" s="2"/>
      <c r="B701" s="158"/>
      <c r="C701" s="234"/>
      <c r="D701" t="str">
        <f>IF(allExpenses_table[[#This Row],[Date]]="","",TEXT(allExpenses_table[[#This Row],[Date]],"mmmm"))</f>
        <v/>
      </c>
    </row>
    <row r="702" spans="1:4" x14ac:dyDescent="0.3">
      <c r="A702" s="2"/>
      <c r="B702" s="158"/>
      <c r="C702" s="234"/>
      <c r="D702" t="str">
        <f>IF(allExpenses_table[[#This Row],[Date]]="","",TEXT(allExpenses_table[[#This Row],[Date]],"mmmm"))</f>
        <v/>
      </c>
    </row>
    <row r="703" spans="1:4" x14ac:dyDescent="0.3">
      <c r="A703" s="2"/>
      <c r="B703" s="158"/>
      <c r="C703" s="234"/>
      <c r="D703" t="str">
        <f>IF(allExpenses_table[[#This Row],[Date]]="","",TEXT(allExpenses_table[[#This Row],[Date]],"mmmm"))</f>
        <v/>
      </c>
    </row>
    <row r="704" spans="1:4" x14ac:dyDescent="0.3">
      <c r="A704" s="2"/>
      <c r="B704" s="158"/>
      <c r="C704" s="234"/>
      <c r="D704" t="str">
        <f>IF(allExpenses_table[[#This Row],[Date]]="","",TEXT(allExpenses_table[[#This Row],[Date]],"mmmm"))</f>
        <v/>
      </c>
    </row>
    <row r="705" spans="1:4" x14ac:dyDescent="0.3">
      <c r="A705" s="2"/>
      <c r="B705" s="158"/>
      <c r="C705" s="234"/>
      <c r="D705" t="str">
        <f>IF(allExpenses_table[[#This Row],[Date]]="","",TEXT(allExpenses_table[[#This Row],[Date]],"mmmm"))</f>
        <v/>
      </c>
    </row>
    <row r="706" spans="1:4" x14ac:dyDescent="0.3">
      <c r="A706" s="2"/>
      <c r="B706" s="158"/>
      <c r="C706" s="234"/>
      <c r="D706" t="str">
        <f>IF(allExpenses_table[[#This Row],[Date]]="","",TEXT(allExpenses_table[[#This Row],[Date]],"mmmm"))</f>
        <v/>
      </c>
    </row>
    <row r="707" spans="1:4" x14ac:dyDescent="0.3">
      <c r="A707" s="2"/>
      <c r="B707" s="158"/>
      <c r="C707" s="234"/>
      <c r="D707" t="str">
        <f>IF(allExpenses_table[[#This Row],[Date]]="","",TEXT(allExpenses_table[[#This Row],[Date]],"mmmm"))</f>
        <v/>
      </c>
    </row>
    <row r="708" spans="1:4" x14ac:dyDescent="0.3">
      <c r="A708" s="2"/>
      <c r="B708" s="158"/>
      <c r="C708" s="234"/>
      <c r="D708" t="str">
        <f>IF(allExpenses_table[[#This Row],[Date]]="","",TEXT(allExpenses_table[[#This Row],[Date]],"mmmm"))</f>
        <v/>
      </c>
    </row>
    <row r="709" spans="1:4" x14ac:dyDescent="0.3">
      <c r="A709" s="2"/>
      <c r="B709" s="158"/>
      <c r="C709" s="234"/>
      <c r="D709" t="str">
        <f>IF(allExpenses_table[[#This Row],[Date]]="","",TEXT(allExpenses_table[[#This Row],[Date]],"mmmm"))</f>
        <v/>
      </c>
    </row>
    <row r="710" spans="1:4" x14ac:dyDescent="0.3">
      <c r="A710" s="2"/>
      <c r="B710" s="158"/>
      <c r="C710" s="234"/>
      <c r="D710" t="str">
        <f>IF(allExpenses_table[[#This Row],[Date]]="","",TEXT(allExpenses_table[[#This Row],[Date]],"mmmm"))</f>
        <v/>
      </c>
    </row>
    <row r="711" spans="1:4" x14ac:dyDescent="0.3">
      <c r="A711" s="2"/>
      <c r="B711" s="158"/>
      <c r="C711" s="234"/>
      <c r="D711" t="str">
        <f>IF(allExpenses_table[[#This Row],[Date]]="","",TEXT(allExpenses_table[[#This Row],[Date]],"mmmm"))</f>
        <v/>
      </c>
    </row>
    <row r="712" spans="1:4" x14ac:dyDescent="0.3">
      <c r="A712" s="2"/>
      <c r="B712" s="158"/>
      <c r="C712" s="234"/>
      <c r="D712" t="str">
        <f>IF(allExpenses_table[[#This Row],[Date]]="","",TEXT(allExpenses_table[[#This Row],[Date]],"mmmm"))</f>
        <v/>
      </c>
    </row>
    <row r="713" spans="1:4" x14ac:dyDescent="0.3">
      <c r="A713" s="2"/>
      <c r="B713" s="158"/>
      <c r="C713" s="234"/>
      <c r="D713" t="str">
        <f>IF(allExpenses_table[[#This Row],[Date]]="","",TEXT(allExpenses_table[[#This Row],[Date]],"mmmm"))</f>
        <v/>
      </c>
    </row>
    <row r="714" spans="1:4" x14ac:dyDescent="0.3">
      <c r="A714" s="2"/>
      <c r="B714" s="158"/>
      <c r="C714" s="234"/>
      <c r="D714" t="str">
        <f>IF(allExpenses_table[[#This Row],[Date]]="","",TEXT(allExpenses_table[[#This Row],[Date]],"mmmm"))</f>
        <v/>
      </c>
    </row>
    <row r="715" spans="1:4" x14ac:dyDescent="0.3">
      <c r="A715" s="2"/>
      <c r="B715" s="158"/>
      <c r="C715" s="234"/>
      <c r="D715" t="str">
        <f>IF(allExpenses_table[[#This Row],[Date]]="","",TEXT(allExpenses_table[[#This Row],[Date]],"mmmm"))</f>
        <v/>
      </c>
    </row>
    <row r="716" spans="1:4" x14ac:dyDescent="0.3">
      <c r="A716" s="2"/>
      <c r="B716" s="158"/>
      <c r="C716" s="234"/>
      <c r="D716" t="str">
        <f>IF(allExpenses_table[[#This Row],[Date]]="","",TEXT(allExpenses_table[[#This Row],[Date]],"mmmm"))</f>
        <v/>
      </c>
    </row>
    <row r="717" spans="1:4" x14ac:dyDescent="0.3">
      <c r="A717" s="2"/>
      <c r="B717" s="158"/>
      <c r="C717" s="234"/>
      <c r="D717" t="str">
        <f>IF(allExpenses_table[[#This Row],[Date]]="","",TEXT(allExpenses_table[[#This Row],[Date]],"mmmm"))</f>
        <v/>
      </c>
    </row>
    <row r="718" spans="1:4" x14ac:dyDescent="0.3">
      <c r="A718" s="2"/>
      <c r="B718" s="158"/>
      <c r="C718" s="234"/>
      <c r="D718" t="str">
        <f>IF(allExpenses_table[[#This Row],[Date]]="","",TEXT(allExpenses_table[[#This Row],[Date]],"mmmm"))</f>
        <v/>
      </c>
    </row>
    <row r="719" spans="1:4" x14ac:dyDescent="0.3">
      <c r="A719" s="2"/>
      <c r="B719" s="158"/>
      <c r="C719" s="234"/>
      <c r="D719" t="str">
        <f>IF(allExpenses_table[[#This Row],[Date]]="","",TEXT(allExpenses_table[[#This Row],[Date]],"mmmm"))</f>
        <v/>
      </c>
    </row>
    <row r="720" spans="1:4" x14ac:dyDescent="0.3">
      <c r="A720" s="2"/>
      <c r="B720" s="158"/>
      <c r="C720" s="234"/>
      <c r="D720" t="str">
        <f>IF(allExpenses_table[[#This Row],[Date]]="","",TEXT(allExpenses_table[[#This Row],[Date]],"mmmm"))</f>
        <v/>
      </c>
    </row>
    <row r="721" spans="1:4" x14ac:dyDescent="0.3">
      <c r="A721" s="2"/>
      <c r="B721" s="158"/>
      <c r="C721" s="234"/>
      <c r="D721" t="str">
        <f>IF(allExpenses_table[[#This Row],[Date]]="","",TEXT(allExpenses_table[[#This Row],[Date]],"mmmm"))</f>
        <v/>
      </c>
    </row>
    <row r="722" spans="1:4" x14ac:dyDescent="0.3">
      <c r="A722" s="2"/>
      <c r="B722" s="158"/>
      <c r="C722" s="234"/>
      <c r="D722" t="str">
        <f>IF(allExpenses_table[[#This Row],[Date]]="","",TEXT(allExpenses_table[[#This Row],[Date]],"mmmm"))</f>
        <v/>
      </c>
    </row>
    <row r="723" spans="1:4" x14ac:dyDescent="0.3">
      <c r="A723" s="2"/>
      <c r="B723" s="158"/>
      <c r="C723" s="234"/>
      <c r="D723" t="str">
        <f>IF(allExpenses_table[[#This Row],[Date]]="","",TEXT(allExpenses_table[[#This Row],[Date]],"mmmm"))</f>
        <v/>
      </c>
    </row>
    <row r="724" spans="1:4" x14ac:dyDescent="0.3">
      <c r="A724" s="2"/>
      <c r="B724" s="158"/>
      <c r="C724" s="234"/>
      <c r="D724" t="str">
        <f>IF(allExpenses_table[[#This Row],[Date]]="","",TEXT(allExpenses_table[[#This Row],[Date]],"mmmm"))</f>
        <v/>
      </c>
    </row>
    <row r="725" spans="1:4" x14ac:dyDescent="0.3">
      <c r="A725" s="2"/>
      <c r="B725" s="158"/>
      <c r="C725" s="234"/>
      <c r="D725" t="str">
        <f>IF(allExpenses_table[[#This Row],[Date]]="","",TEXT(allExpenses_table[[#This Row],[Date]],"mmmm"))</f>
        <v/>
      </c>
    </row>
    <row r="726" spans="1:4" x14ac:dyDescent="0.3">
      <c r="A726" s="2"/>
      <c r="B726" s="158"/>
      <c r="C726" s="234"/>
      <c r="D726" t="str">
        <f>IF(allExpenses_table[[#This Row],[Date]]="","",TEXT(allExpenses_table[[#This Row],[Date]],"mmmm"))</f>
        <v/>
      </c>
    </row>
    <row r="727" spans="1:4" x14ac:dyDescent="0.3">
      <c r="A727" s="2"/>
      <c r="B727" s="158"/>
      <c r="C727" s="234"/>
      <c r="D727" t="str">
        <f>IF(allExpenses_table[[#This Row],[Date]]="","",TEXT(allExpenses_table[[#This Row],[Date]],"mmmm"))</f>
        <v/>
      </c>
    </row>
    <row r="728" spans="1:4" x14ac:dyDescent="0.3">
      <c r="A728" s="2"/>
      <c r="B728" s="158"/>
      <c r="C728" s="234"/>
      <c r="D728" t="str">
        <f>IF(allExpenses_table[[#This Row],[Date]]="","",TEXT(allExpenses_table[[#This Row],[Date]],"mmmm"))</f>
        <v/>
      </c>
    </row>
    <row r="729" spans="1:4" x14ac:dyDescent="0.3">
      <c r="A729" s="2"/>
      <c r="B729" s="158"/>
      <c r="C729" s="234"/>
      <c r="D729" t="str">
        <f>IF(allExpenses_table[[#This Row],[Date]]="","",TEXT(allExpenses_table[[#This Row],[Date]],"mmmm"))</f>
        <v/>
      </c>
    </row>
    <row r="730" spans="1:4" x14ac:dyDescent="0.3">
      <c r="A730" s="2"/>
      <c r="B730" s="158"/>
      <c r="C730" s="234"/>
      <c r="D730" t="str">
        <f>IF(allExpenses_table[[#This Row],[Date]]="","",TEXT(allExpenses_table[[#This Row],[Date]],"mmmm"))</f>
        <v/>
      </c>
    </row>
    <row r="731" spans="1:4" x14ac:dyDescent="0.3">
      <c r="A731" s="2"/>
      <c r="B731" s="158"/>
      <c r="C731" s="234"/>
      <c r="D731" t="str">
        <f>IF(allExpenses_table[[#This Row],[Date]]="","",TEXT(allExpenses_table[[#This Row],[Date]],"mmmm"))</f>
        <v/>
      </c>
    </row>
    <row r="732" spans="1:4" x14ac:dyDescent="0.3">
      <c r="A732" s="2"/>
      <c r="B732" s="158"/>
      <c r="C732" s="234"/>
      <c r="D732" t="str">
        <f>IF(allExpenses_table[[#This Row],[Date]]="","",TEXT(allExpenses_table[[#This Row],[Date]],"mmmm"))</f>
        <v/>
      </c>
    </row>
    <row r="733" spans="1:4" x14ac:dyDescent="0.3">
      <c r="A733" s="2"/>
      <c r="B733" s="158"/>
      <c r="C733" s="234"/>
      <c r="D733" t="str">
        <f>IF(allExpenses_table[[#This Row],[Date]]="","",TEXT(allExpenses_table[[#This Row],[Date]],"mmmm"))</f>
        <v/>
      </c>
    </row>
    <row r="734" spans="1:4" x14ac:dyDescent="0.3">
      <c r="A734" s="2"/>
      <c r="B734" s="158"/>
      <c r="C734" s="234"/>
      <c r="D734" t="str">
        <f>IF(allExpenses_table[[#This Row],[Date]]="","",TEXT(allExpenses_table[[#This Row],[Date]],"mmmm"))</f>
        <v/>
      </c>
    </row>
    <row r="735" spans="1:4" x14ac:dyDescent="0.3">
      <c r="A735" s="2"/>
      <c r="B735" s="158"/>
      <c r="C735" s="234"/>
      <c r="D735" t="str">
        <f>IF(allExpenses_table[[#This Row],[Date]]="","",TEXT(allExpenses_table[[#This Row],[Date]],"mmmm"))</f>
        <v/>
      </c>
    </row>
    <row r="736" spans="1:4" x14ac:dyDescent="0.3">
      <c r="A736" s="2"/>
      <c r="B736" s="158"/>
      <c r="C736" s="234"/>
      <c r="D736" t="str">
        <f>IF(allExpenses_table[[#This Row],[Date]]="","",TEXT(allExpenses_table[[#This Row],[Date]],"mmmm"))</f>
        <v/>
      </c>
    </row>
    <row r="737" spans="1:4" x14ac:dyDescent="0.3">
      <c r="A737" s="2"/>
      <c r="B737" s="158"/>
      <c r="C737" s="234"/>
      <c r="D737" t="str">
        <f>IF(allExpenses_table[[#This Row],[Date]]="","",TEXT(allExpenses_table[[#This Row],[Date]],"mmmm"))</f>
        <v/>
      </c>
    </row>
    <row r="738" spans="1:4" x14ac:dyDescent="0.3">
      <c r="A738" s="2"/>
      <c r="B738" s="158"/>
      <c r="C738" s="234"/>
      <c r="D738" t="str">
        <f>IF(allExpenses_table[[#This Row],[Date]]="","",TEXT(allExpenses_table[[#This Row],[Date]],"mmmm"))</f>
        <v/>
      </c>
    </row>
    <row r="739" spans="1:4" x14ac:dyDescent="0.3">
      <c r="A739" s="2"/>
      <c r="B739" s="158"/>
      <c r="C739" s="234"/>
      <c r="D739" t="str">
        <f>IF(allExpenses_table[[#This Row],[Date]]="","",TEXT(allExpenses_table[[#This Row],[Date]],"mmmm"))</f>
        <v/>
      </c>
    </row>
    <row r="740" spans="1:4" x14ac:dyDescent="0.3">
      <c r="A740" s="2"/>
      <c r="B740" s="158"/>
      <c r="C740" s="234"/>
      <c r="D740" t="str">
        <f>IF(allExpenses_table[[#This Row],[Date]]="","",TEXT(allExpenses_table[[#This Row],[Date]],"mmmm"))</f>
        <v/>
      </c>
    </row>
    <row r="741" spans="1:4" x14ac:dyDescent="0.3">
      <c r="A741" s="2"/>
      <c r="B741" s="158"/>
      <c r="C741" s="234"/>
      <c r="D741" t="str">
        <f>IF(allExpenses_table[[#This Row],[Date]]="","",TEXT(allExpenses_table[[#This Row],[Date]],"mmmm"))</f>
        <v/>
      </c>
    </row>
    <row r="742" spans="1:4" x14ac:dyDescent="0.3">
      <c r="A742" s="2"/>
      <c r="B742" s="158"/>
      <c r="C742" s="234"/>
      <c r="D742" t="str">
        <f>IF(allExpenses_table[[#This Row],[Date]]="","",TEXT(allExpenses_table[[#This Row],[Date]],"mmmm"))</f>
        <v/>
      </c>
    </row>
    <row r="743" spans="1:4" x14ac:dyDescent="0.3">
      <c r="A743" s="2"/>
      <c r="B743" s="158"/>
      <c r="C743" s="234"/>
      <c r="D743" t="str">
        <f>IF(allExpenses_table[[#This Row],[Date]]="","",TEXT(allExpenses_table[[#This Row],[Date]],"mmmm"))</f>
        <v/>
      </c>
    </row>
    <row r="744" spans="1:4" x14ac:dyDescent="0.3">
      <c r="A744" s="2"/>
      <c r="B744" s="158"/>
      <c r="C744" s="234"/>
      <c r="D744" t="str">
        <f>IF(allExpenses_table[[#This Row],[Date]]="","",TEXT(allExpenses_table[[#This Row],[Date]],"mmmm"))</f>
        <v/>
      </c>
    </row>
    <row r="745" spans="1:4" x14ac:dyDescent="0.3">
      <c r="A745" s="2"/>
      <c r="B745" s="158"/>
      <c r="C745" s="234"/>
      <c r="D745" t="str">
        <f>IF(allExpenses_table[[#This Row],[Date]]="","",TEXT(allExpenses_table[[#This Row],[Date]],"mmmm"))</f>
        <v/>
      </c>
    </row>
    <row r="746" spans="1:4" x14ac:dyDescent="0.3">
      <c r="A746" s="2"/>
      <c r="B746" s="158"/>
      <c r="C746" s="234"/>
      <c r="D746" t="str">
        <f>IF(allExpenses_table[[#This Row],[Date]]="","",TEXT(allExpenses_table[[#This Row],[Date]],"mmmm"))</f>
        <v/>
      </c>
    </row>
    <row r="747" spans="1:4" x14ac:dyDescent="0.3">
      <c r="A747" s="2"/>
      <c r="B747" s="158"/>
      <c r="C747" s="234"/>
      <c r="D747" t="str">
        <f>IF(allExpenses_table[[#This Row],[Date]]="","",TEXT(allExpenses_table[[#This Row],[Date]],"mmmm"))</f>
        <v/>
      </c>
    </row>
    <row r="748" spans="1:4" x14ac:dyDescent="0.3">
      <c r="A748" s="2"/>
      <c r="B748" s="158"/>
      <c r="C748" s="234"/>
      <c r="D748" t="str">
        <f>IF(allExpenses_table[[#This Row],[Date]]="","",TEXT(allExpenses_table[[#This Row],[Date]],"mmmm"))</f>
        <v/>
      </c>
    </row>
    <row r="749" spans="1:4" x14ac:dyDescent="0.3">
      <c r="A749" s="2"/>
      <c r="B749" s="158"/>
      <c r="C749" s="234"/>
      <c r="D749" t="str">
        <f>IF(allExpenses_table[[#This Row],[Date]]="","",TEXT(allExpenses_table[[#This Row],[Date]],"mmmm"))</f>
        <v/>
      </c>
    </row>
    <row r="750" spans="1:4" x14ac:dyDescent="0.3">
      <c r="A750" s="2"/>
      <c r="B750" s="158"/>
      <c r="C750" s="234"/>
      <c r="D750" t="str">
        <f>IF(allExpenses_table[[#This Row],[Date]]="","",TEXT(allExpenses_table[[#This Row],[Date]],"mmmm"))</f>
        <v/>
      </c>
    </row>
    <row r="751" spans="1:4" x14ac:dyDescent="0.3">
      <c r="A751" s="2"/>
      <c r="B751" s="158"/>
      <c r="C751" s="234"/>
      <c r="D751" t="str">
        <f>IF(allExpenses_table[[#This Row],[Date]]="","",TEXT(allExpenses_table[[#This Row],[Date]],"mmmm"))</f>
        <v/>
      </c>
    </row>
    <row r="752" spans="1:4" x14ac:dyDescent="0.3">
      <c r="A752" s="2"/>
      <c r="B752" s="158"/>
      <c r="C752" s="234"/>
      <c r="D752" t="str">
        <f>IF(allExpenses_table[[#This Row],[Date]]="","",TEXT(allExpenses_table[[#This Row],[Date]],"mmmm"))</f>
        <v/>
      </c>
    </row>
    <row r="753" spans="1:4" x14ac:dyDescent="0.3">
      <c r="A753" s="2"/>
      <c r="B753" s="158"/>
      <c r="C753" s="234"/>
      <c r="D753" t="str">
        <f>IF(allExpenses_table[[#This Row],[Date]]="","",TEXT(allExpenses_table[[#This Row],[Date]],"mmmm"))</f>
        <v/>
      </c>
    </row>
    <row r="754" spans="1:4" x14ac:dyDescent="0.3">
      <c r="A754" s="2"/>
      <c r="B754" s="158"/>
      <c r="C754" s="234"/>
      <c r="D754" t="str">
        <f>IF(allExpenses_table[[#This Row],[Date]]="","",TEXT(allExpenses_table[[#This Row],[Date]],"mmmm"))</f>
        <v/>
      </c>
    </row>
    <row r="755" spans="1:4" x14ac:dyDescent="0.3">
      <c r="A755" s="2"/>
      <c r="B755" s="158"/>
      <c r="C755" s="234"/>
      <c r="D755" t="str">
        <f>IF(allExpenses_table[[#This Row],[Date]]="","",TEXT(allExpenses_table[[#This Row],[Date]],"mmmm"))</f>
        <v/>
      </c>
    </row>
    <row r="756" spans="1:4" x14ac:dyDescent="0.3">
      <c r="A756" s="2"/>
      <c r="B756" s="158"/>
      <c r="C756" s="234"/>
      <c r="D756" t="str">
        <f>IF(allExpenses_table[[#This Row],[Date]]="","",TEXT(allExpenses_table[[#This Row],[Date]],"mmmm"))</f>
        <v/>
      </c>
    </row>
    <row r="757" spans="1:4" x14ac:dyDescent="0.3">
      <c r="A757" s="2"/>
      <c r="B757" s="158"/>
      <c r="C757" s="234"/>
      <c r="D757" t="str">
        <f>IF(allExpenses_table[[#This Row],[Date]]="","",TEXT(allExpenses_table[[#This Row],[Date]],"mmmm"))</f>
        <v/>
      </c>
    </row>
    <row r="758" spans="1:4" x14ac:dyDescent="0.3">
      <c r="A758" s="2"/>
      <c r="B758" s="158"/>
      <c r="C758" s="234"/>
      <c r="D758" t="str">
        <f>IF(allExpenses_table[[#This Row],[Date]]="","",TEXT(allExpenses_table[[#This Row],[Date]],"mmmm"))</f>
        <v/>
      </c>
    </row>
    <row r="759" spans="1:4" x14ac:dyDescent="0.3">
      <c r="A759" s="2"/>
      <c r="B759" s="158"/>
      <c r="C759" s="234"/>
      <c r="D759" t="str">
        <f>IF(allExpenses_table[[#This Row],[Date]]="","",TEXT(allExpenses_table[[#This Row],[Date]],"mmmm"))</f>
        <v/>
      </c>
    </row>
    <row r="760" spans="1:4" x14ac:dyDescent="0.3">
      <c r="A760" s="2"/>
      <c r="B760" s="158"/>
      <c r="C760" s="234"/>
      <c r="D760" t="str">
        <f>IF(allExpenses_table[[#This Row],[Date]]="","",TEXT(allExpenses_table[[#This Row],[Date]],"mmmm"))</f>
        <v/>
      </c>
    </row>
    <row r="761" spans="1:4" x14ac:dyDescent="0.3">
      <c r="A761" s="2"/>
      <c r="B761" s="158"/>
      <c r="C761" s="234"/>
      <c r="D761" t="str">
        <f>IF(allExpenses_table[[#This Row],[Date]]="","",TEXT(allExpenses_table[[#This Row],[Date]],"mmmm"))</f>
        <v/>
      </c>
    </row>
    <row r="762" spans="1:4" x14ac:dyDescent="0.3">
      <c r="A762" s="2"/>
      <c r="B762" s="158"/>
      <c r="C762" s="234"/>
      <c r="D762" t="str">
        <f>IF(allExpenses_table[[#This Row],[Date]]="","",TEXT(allExpenses_table[[#This Row],[Date]],"mmmm"))</f>
        <v/>
      </c>
    </row>
    <row r="763" spans="1:4" x14ac:dyDescent="0.3">
      <c r="A763" s="2"/>
      <c r="B763" s="158"/>
      <c r="C763" s="234"/>
      <c r="D763" t="str">
        <f>IF(allExpenses_table[[#This Row],[Date]]="","",TEXT(allExpenses_table[[#This Row],[Date]],"mmmm"))</f>
        <v/>
      </c>
    </row>
    <row r="764" spans="1:4" x14ac:dyDescent="0.3">
      <c r="A764" s="2"/>
      <c r="B764" s="158"/>
      <c r="C764" s="234"/>
      <c r="D764" t="str">
        <f>IF(allExpenses_table[[#This Row],[Date]]="","",TEXT(allExpenses_table[[#This Row],[Date]],"mmmm"))</f>
        <v/>
      </c>
    </row>
    <row r="765" spans="1:4" x14ac:dyDescent="0.3">
      <c r="A765" s="2"/>
      <c r="B765" s="158"/>
      <c r="C765" s="234"/>
      <c r="D765" t="str">
        <f>IF(allExpenses_table[[#This Row],[Date]]="","",TEXT(allExpenses_table[[#This Row],[Date]],"mmmm"))</f>
        <v/>
      </c>
    </row>
    <row r="766" spans="1:4" x14ac:dyDescent="0.3">
      <c r="A766" s="2"/>
      <c r="B766" s="158"/>
      <c r="C766" s="234"/>
      <c r="D766" t="str">
        <f>IF(allExpenses_table[[#This Row],[Date]]="","",TEXT(allExpenses_table[[#This Row],[Date]],"mmmm"))</f>
        <v/>
      </c>
    </row>
    <row r="767" spans="1:4" x14ac:dyDescent="0.3">
      <c r="A767" s="2"/>
      <c r="B767" s="158"/>
      <c r="C767" s="234"/>
      <c r="D767" t="str">
        <f>IF(allExpenses_table[[#This Row],[Date]]="","",TEXT(allExpenses_table[[#This Row],[Date]],"mmmm"))</f>
        <v/>
      </c>
    </row>
    <row r="768" spans="1:4" x14ac:dyDescent="0.3">
      <c r="A768" s="2"/>
      <c r="B768" s="158"/>
      <c r="C768" s="234"/>
      <c r="D768" t="str">
        <f>IF(allExpenses_table[[#This Row],[Date]]="","",TEXT(allExpenses_table[[#This Row],[Date]],"mmmm"))</f>
        <v/>
      </c>
    </row>
    <row r="769" spans="1:4" x14ac:dyDescent="0.3">
      <c r="A769" s="2"/>
      <c r="B769" s="158"/>
      <c r="C769" s="234"/>
      <c r="D769" t="str">
        <f>IF(allExpenses_table[[#This Row],[Date]]="","",TEXT(allExpenses_table[[#This Row],[Date]],"mmmm"))</f>
        <v/>
      </c>
    </row>
    <row r="770" spans="1:4" x14ac:dyDescent="0.3">
      <c r="A770" s="2"/>
      <c r="B770" s="158"/>
      <c r="C770" s="234"/>
      <c r="D770" t="str">
        <f>IF(allExpenses_table[[#This Row],[Date]]="","",TEXT(allExpenses_table[[#This Row],[Date]],"mmmm"))</f>
        <v/>
      </c>
    </row>
    <row r="771" spans="1:4" x14ac:dyDescent="0.3">
      <c r="A771" s="2"/>
      <c r="B771" s="158"/>
      <c r="C771" s="234"/>
      <c r="D771" t="str">
        <f>IF(allExpenses_table[[#This Row],[Date]]="","",TEXT(allExpenses_table[[#This Row],[Date]],"mmmm"))</f>
        <v/>
      </c>
    </row>
    <row r="772" spans="1:4" x14ac:dyDescent="0.3">
      <c r="A772" s="2"/>
      <c r="B772" s="158"/>
      <c r="C772" s="234"/>
      <c r="D772" t="str">
        <f>IF(allExpenses_table[[#This Row],[Date]]="","",TEXT(allExpenses_table[[#This Row],[Date]],"mmmm"))</f>
        <v/>
      </c>
    </row>
    <row r="773" spans="1:4" x14ac:dyDescent="0.3">
      <c r="A773" s="2"/>
      <c r="B773" s="158"/>
      <c r="C773" s="234"/>
      <c r="D773" t="str">
        <f>IF(allExpenses_table[[#This Row],[Date]]="","",TEXT(allExpenses_table[[#This Row],[Date]],"mmmm"))</f>
        <v/>
      </c>
    </row>
    <row r="774" spans="1:4" x14ac:dyDescent="0.3">
      <c r="A774" s="2"/>
      <c r="B774" s="158"/>
      <c r="C774" s="234"/>
      <c r="D774" t="str">
        <f>IF(allExpenses_table[[#This Row],[Date]]="","",TEXT(allExpenses_table[[#This Row],[Date]],"mmmm"))</f>
        <v/>
      </c>
    </row>
    <row r="775" spans="1:4" x14ac:dyDescent="0.3">
      <c r="A775" s="2"/>
      <c r="B775" s="158"/>
      <c r="C775" s="234"/>
      <c r="D775" t="str">
        <f>IF(allExpenses_table[[#This Row],[Date]]="","",TEXT(allExpenses_table[[#This Row],[Date]],"mmmm"))</f>
        <v/>
      </c>
    </row>
    <row r="776" spans="1:4" x14ac:dyDescent="0.3">
      <c r="A776" s="2"/>
      <c r="B776" s="158"/>
      <c r="C776" s="234"/>
      <c r="D776" t="str">
        <f>IF(allExpenses_table[[#This Row],[Date]]="","",TEXT(allExpenses_table[[#This Row],[Date]],"mmmm"))</f>
        <v/>
      </c>
    </row>
    <row r="777" spans="1:4" x14ac:dyDescent="0.3">
      <c r="A777" s="2"/>
      <c r="B777" s="158"/>
      <c r="C777" s="234"/>
      <c r="D777" t="str">
        <f>IF(allExpenses_table[[#This Row],[Date]]="","",TEXT(allExpenses_table[[#This Row],[Date]],"mmmm"))</f>
        <v/>
      </c>
    </row>
    <row r="778" spans="1:4" x14ac:dyDescent="0.3">
      <c r="A778" s="2"/>
      <c r="B778" s="158"/>
      <c r="C778" s="234"/>
      <c r="D778" t="str">
        <f>IF(allExpenses_table[[#This Row],[Date]]="","",TEXT(allExpenses_table[[#This Row],[Date]],"mmmm"))</f>
        <v/>
      </c>
    </row>
    <row r="779" spans="1:4" x14ac:dyDescent="0.3">
      <c r="A779" s="2"/>
      <c r="B779" s="158"/>
      <c r="C779" s="234"/>
      <c r="D779" t="str">
        <f>IF(allExpenses_table[[#This Row],[Date]]="","",TEXT(allExpenses_table[[#This Row],[Date]],"mmmm"))</f>
        <v/>
      </c>
    </row>
    <row r="780" spans="1:4" x14ac:dyDescent="0.3">
      <c r="A780" s="2"/>
      <c r="B780" s="158"/>
      <c r="C780" s="234"/>
      <c r="D780" t="str">
        <f>IF(allExpenses_table[[#This Row],[Date]]="","",TEXT(allExpenses_table[[#This Row],[Date]],"mmmm"))</f>
        <v/>
      </c>
    </row>
    <row r="781" spans="1:4" x14ac:dyDescent="0.3">
      <c r="A781" s="2"/>
      <c r="B781" s="158"/>
      <c r="C781" s="234"/>
      <c r="D781" t="str">
        <f>IF(allExpenses_table[[#This Row],[Date]]="","",TEXT(allExpenses_table[[#This Row],[Date]],"mmmm"))</f>
        <v/>
      </c>
    </row>
    <row r="782" spans="1:4" x14ac:dyDescent="0.3">
      <c r="A782" s="2"/>
      <c r="B782" s="158"/>
      <c r="C782" s="234"/>
      <c r="D782" t="str">
        <f>IF(allExpenses_table[[#This Row],[Date]]="","",TEXT(allExpenses_table[[#This Row],[Date]],"mmmm"))</f>
        <v/>
      </c>
    </row>
    <row r="783" spans="1:4" x14ac:dyDescent="0.3">
      <c r="A783" s="2"/>
      <c r="B783" s="158"/>
      <c r="C783" s="234"/>
      <c r="D783" t="str">
        <f>IF(allExpenses_table[[#This Row],[Date]]="","",TEXT(allExpenses_table[[#This Row],[Date]],"mmmm"))</f>
        <v/>
      </c>
    </row>
    <row r="784" spans="1:4" x14ac:dyDescent="0.3">
      <c r="A784" s="2"/>
      <c r="B784" s="158"/>
      <c r="C784" s="234"/>
      <c r="D784" t="str">
        <f>IF(allExpenses_table[[#This Row],[Date]]="","",TEXT(allExpenses_table[[#This Row],[Date]],"mmmm"))</f>
        <v/>
      </c>
    </row>
    <row r="785" spans="1:4" x14ac:dyDescent="0.3">
      <c r="A785" s="2"/>
      <c r="B785" s="158"/>
      <c r="C785" s="234"/>
      <c r="D785" t="str">
        <f>IF(allExpenses_table[[#This Row],[Date]]="","",TEXT(allExpenses_table[[#This Row],[Date]],"mmmm"))</f>
        <v/>
      </c>
    </row>
    <row r="786" spans="1:4" x14ac:dyDescent="0.3">
      <c r="A786" s="2"/>
      <c r="B786" s="158"/>
      <c r="C786" s="234"/>
      <c r="D786" t="str">
        <f>IF(allExpenses_table[[#This Row],[Date]]="","",TEXT(allExpenses_table[[#This Row],[Date]],"mmmm"))</f>
        <v/>
      </c>
    </row>
    <row r="787" spans="1:4" x14ac:dyDescent="0.3">
      <c r="A787" s="2"/>
      <c r="B787" s="158"/>
      <c r="C787" s="234"/>
      <c r="D787" t="str">
        <f>IF(allExpenses_table[[#This Row],[Date]]="","",TEXT(allExpenses_table[[#This Row],[Date]],"mmmm"))</f>
        <v/>
      </c>
    </row>
    <row r="788" spans="1:4" x14ac:dyDescent="0.3">
      <c r="A788" s="2"/>
      <c r="B788" s="158"/>
      <c r="C788" s="234"/>
      <c r="D788" t="str">
        <f>IF(allExpenses_table[[#This Row],[Date]]="","",TEXT(allExpenses_table[[#This Row],[Date]],"mmmm"))</f>
        <v/>
      </c>
    </row>
    <row r="789" spans="1:4" x14ac:dyDescent="0.3">
      <c r="A789" s="2"/>
      <c r="B789" s="158"/>
      <c r="C789" s="234"/>
      <c r="D789" t="str">
        <f>IF(allExpenses_table[[#This Row],[Date]]="","",TEXT(allExpenses_table[[#This Row],[Date]],"mmmm"))</f>
        <v/>
      </c>
    </row>
    <row r="790" spans="1:4" x14ac:dyDescent="0.3">
      <c r="A790" s="2"/>
      <c r="B790" s="158"/>
      <c r="C790" s="234"/>
      <c r="D790" t="str">
        <f>IF(allExpenses_table[[#This Row],[Date]]="","",TEXT(allExpenses_table[[#This Row],[Date]],"mmmm"))</f>
        <v/>
      </c>
    </row>
    <row r="791" spans="1:4" x14ac:dyDescent="0.3">
      <c r="A791" s="2"/>
      <c r="B791" s="158"/>
      <c r="C791" s="234"/>
      <c r="D791" t="str">
        <f>IF(allExpenses_table[[#This Row],[Date]]="","",TEXT(allExpenses_table[[#This Row],[Date]],"mmmm"))</f>
        <v/>
      </c>
    </row>
    <row r="792" spans="1:4" x14ac:dyDescent="0.3">
      <c r="A792" s="2"/>
      <c r="B792" s="158"/>
      <c r="C792" s="234"/>
      <c r="D792" t="str">
        <f>IF(allExpenses_table[[#This Row],[Date]]="","",TEXT(allExpenses_table[[#This Row],[Date]],"mmmm"))</f>
        <v/>
      </c>
    </row>
    <row r="793" spans="1:4" x14ac:dyDescent="0.3">
      <c r="A793" s="2"/>
      <c r="B793" s="158"/>
      <c r="C793" s="234"/>
      <c r="D793" t="str">
        <f>IF(allExpenses_table[[#This Row],[Date]]="","",TEXT(allExpenses_table[[#This Row],[Date]],"mmmm"))</f>
        <v/>
      </c>
    </row>
    <row r="794" spans="1:4" x14ac:dyDescent="0.3">
      <c r="A794" s="2"/>
      <c r="B794" s="158"/>
      <c r="C794" s="234"/>
      <c r="D794" t="str">
        <f>IF(allExpenses_table[[#This Row],[Date]]="","",TEXT(allExpenses_table[[#This Row],[Date]],"mmmm"))</f>
        <v/>
      </c>
    </row>
    <row r="795" spans="1:4" x14ac:dyDescent="0.3">
      <c r="A795" s="2"/>
      <c r="B795" s="158"/>
      <c r="C795" s="234"/>
      <c r="D795" t="str">
        <f>IF(allExpenses_table[[#This Row],[Date]]="","",TEXT(allExpenses_table[[#This Row],[Date]],"mmmm"))</f>
        <v/>
      </c>
    </row>
    <row r="796" spans="1:4" x14ac:dyDescent="0.3">
      <c r="A796" s="2"/>
      <c r="B796" s="158"/>
      <c r="C796" s="234"/>
      <c r="D796" t="str">
        <f>IF(allExpenses_table[[#This Row],[Date]]="","",TEXT(allExpenses_table[[#This Row],[Date]],"mmmm"))</f>
        <v/>
      </c>
    </row>
    <row r="797" spans="1:4" x14ac:dyDescent="0.3">
      <c r="A797" s="2"/>
      <c r="B797" s="158"/>
      <c r="C797" s="234"/>
      <c r="D797" t="str">
        <f>IF(allExpenses_table[[#This Row],[Date]]="","",TEXT(allExpenses_table[[#This Row],[Date]],"mmmm"))</f>
        <v/>
      </c>
    </row>
    <row r="798" spans="1:4" x14ac:dyDescent="0.3">
      <c r="A798" s="2"/>
      <c r="B798" s="158"/>
      <c r="C798" s="234"/>
      <c r="D798" t="str">
        <f>IF(allExpenses_table[[#This Row],[Date]]="","",TEXT(allExpenses_table[[#This Row],[Date]],"mmmm"))</f>
        <v/>
      </c>
    </row>
    <row r="799" spans="1:4" x14ac:dyDescent="0.3">
      <c r="A799" s="2"/>
      <c r="B799" s="158"/>
      <c r="C799" s="234"/>
      <c r="D799" t="str">
        <f>IF(allExpenses_table[[#This Row],[Date]]="","",TEXT(allExpenses_table[[#This Row],[Date]],"mmmm"))</f>
        <v/>
      </c>
    </row>
    <row r="800" spans="1:4" x14ac:dyDescent="0.3">
      <c r="A800" s="2"/>
      <c r="B800" s="158"/>
      <c r="C800" s="234"/>
      <c r="D800" t="str">
        <f>IF(allExpenses_table[[#This Row],[Date]]="","",TEXT(allExpenses_table[[#This Row],[Date]],"mmmm"))</f>
        <v/>
      </c>
    </row>
    <row r="801" spans="1:4" x14ac:dyDescent="0.3">
      <c r="A801" s="2"/>
      <c r="B801" s="158"/>
      <c r="C801" s="234"/>
      <c r="D801" t="str">
        <f>IF(allExpenses_table[[#This Row],[Date]]="","",TEXT(allExpenses_table[[#This Row],[Date]],"mmmm"))</f>
        <v/>
      </c>
    </row>
    <row r="802" spans="1:4" x14ac:dyDescent="0.3">
      <c r="A802" s="2"/>
      <c r="B802" s="158"/>
      <c r="C802" s="234"/>
      <c r="D802" t="str">
        <f>IF(allExpenses_table[[#This Row],[Date]]="","",TEXT(allExpenses_table[[#This Row],[Date]],"mmmm"))</f>
        <v/>
      </c>
    </row>
    <row r="803" spans="1:4" x14ac:dyDescent="0.3">
      <c r="A803" s="2"/>
      <c r="B803" s="158"/>
      <c r="C803" s="234"/>
      <c r="D803" t="str">
        <f>IF(allExpenses_table[[#This Row],[Date]]="","",TEXT(allExpenses_table[[#This Row],[Date]],"mmmm"))</f>
        <v/>
      </c>
    </row>
    <row r="804" spans="1:4" x14ac:dyDescent="0.3">
      <c r="A804" s="2"/>
      <c r="B804" s="158"/>
      <c r="C804" s="234"/>
      <c r="D804" t="str">
        <f>IF(allExpenses_table[[#This Row],[Date]]="","",TEXT(allExpenses_table[[#This Row],[Date]],"mmmm"))</f>
        <v/>
      </c>
    </row>
    <row r="805" spans="1:4" x14ac:dyDescent="0.3">
      <c r="A805" s="2"/>
      <c r="B805" s="158"/>
      <c r="C805" s="234"/>
      <c r="D805" t="str">
        <f>IF(allExpenses_table[[#This Row],[Date]]="","",TEXT(allExpenses_table[[#This Row],[Date]],"mmmm"))</f>
        <v/>
      </c>
    </row>
    <row r="806" spans="1:4" x14ac:dyDescent="0.3">
      <c r="A806" s="2"/>
      <c r="B806" s="158"/>
      <c r="C806" s="234"/>
      <c r="D806" t="str">
        <f>IF(allExpenses_table[[#This Row],[Date]]="","",TEXT(allExpenses_table[[#This Row],[Date]],"mmmm"))</f>
        <v/>
      </c>
    </row>
    <row r="807" spans="1:4" x14ac:dyDescent="0.3">
      <c r="A807" s="2"/>
      <c r="B807" s="158"/>
      <c r="C807" s="234"/>
      <c r="D807" t="str">
        <f>IF(allExpenses_table[[#This Row],[Date]]="","",TEXT(allExpenses_table[[#This Row],[Date]],"mmmm"))</f>
        <v/>
      </c>
    </row>
    <row r="808" spans="1:4" x14ac:dyDescent="0.3">
      <c r="A808" s="2"/>
      <c r="B808" s="158"/>
      <c r="C808" s="234"/>
      <c r="D808" t="str">
        <f>IF(allExpenses_table[[#This Row],[Date]]="","",TEXT(allExpenses_table[[#This Row],[Date]],"mmmm"))</f>
        <v/>
      </c>
    </row>
    <row r="809" spans="1:4" x14ac:dyDescent="0.3">
      <c r="A809" s="2"/>
      <c r="B809" s="158"/>
      <c r="C809" s="234"/>
      <c r="D809" t="str">
        <f>IF(allExpenses_table[[#This Row],[Date]]="","",TEXT(allExpenses_table[[#This Row],[Date]],"mmmm"))</f>
        <v/>
      </c>
    </row>
    <row r="810" spans="1:4" x14ac:dyDescent="0.3">
      <c r="A810" s="2"/>
      <c r="B810" s="158"/>
      <c r="C810" s="234"/>
      <c r="D810" t="str">
        <f>IF(allExpenses_table[[#This Row],[Date]]="","",TEXT(allExpenses_table[[#This Row],[Date]],"mmmm"))</f>
        <v/>
      </c>
    </row>
    <row r="811" spans="1:4" x14ac:dyDescent="0.3">
      <c r="A811" s="2"/>
      <c r="B811" s="158"/>
      <c r="C811" s="234"/>
      <c r="D811" t="str">
        <f>IF(allExpenses_table[[#This Row],[Date]]="","",TEXT(allExpenses_table[[#This Row],[Date]],"mmmm"))</f>
        <v/>
      </c>
    </row>
    <row r="812" spans="1:4" x14ac:dyDescent="0.3">
      <c r="A812" s="2"/>
      <c r="B812" s="158"/>
      <c r="C812" s="234"/>
      <c r="D812" t="str">
        <f>IF(allExpenses_table[[#This Row],[Date]]="","",TEXT(allExpenses_table[[#This Row],[Date]],"mmmm"))</f>
        <v/>
      </c>
    </row>
    <row r="813" spans="1:4" x14ac:dyDescent="0.3">
      <c r="A813" s="2"/>
      <c r="B813" s="158"/>
      <c r="C813" s="234"/>
      <c r="D813" t="str">
        <f>IF(allExpenses_table[[#This Row],[Date]]="","",TEXT(allExpenses_table[[#This Row],[Date]],"mmmm"))</f>
        <v/>
      </c>
    </row>
    <row r="814" spans="1:4" x14ac:dyDescent="0.3">
      <c r="A814" s="2"/>
      <c r="B814" s="158"/>
      <c r="C814" s="234"/>
      <c r="D814" t="str">
        <f>IF(allExpenses_table[[#This Row],[Date]]="","",TEXT(allExpenses_table[[#This Row],[Date]],"mmmm"))</f>
        <v/>
      </c>
    </row>
    <row r="815" spans="1:4" x14ac:dyDescent="0.3">
      <c r="A815" s="2"/>
      <c r="B815" s="158"/>
      <c r="C815" s="234"/>
      <c r="D815" t="str">
        <f>IF(allExpenses_table[[#This Row],[Date]]="","",TEXT(allExpenses_table[[#This Row],[Date]],"mmmm"))</f>
        <v/>
      </c>
    </row>
    <row r="816" spans="1:4" x14ac:dyDescent="0.3">
      <c r="A816" s="2"/>
      <c r="B816" s="158"/>
      <c r="C816" s="234"/>
      <c r="D816" t="str">
        <f>IF(allExpenses_table[[#This Row],[Date]]="","",TEXT(allExpenses_table[[#This Row],[Date]],"mmmm"))</f>
        <v/>
      </c>
    </row>
    <row r="817" spans="1:4" x14ac:dyDescent="0.3">
      <c r="A817" s="2"/>
      <c r="B817" s="158"/>
      <c r="C817" s="234"/>
      <c r="D817" t="str">
        <f>IF(allExpenses_table[[#This Row],[Date]]="","",TEXT(allExpenses_table[[#This Row],[Date]],"mmmm"))</f>
        <v/>
      </c>
    </row>
    <row r="818" spans="1:4" x14ac:dyDescent="0.3">
      <c r="A818" s="2"/>
      <c r="B818" s="158"/>
      <c r="C818" s="234"/>
      <c r="D818" t="str">
        <f>IF(allExpenses_table[[#This Row],[Date]]="","",TEXT(allExpenses_table[[#This Row],[Date]],"mmmm"))</f>
        <v/>
      </c>
    </row>
    <row r="819" spans="1:4" x14ac:dyDescent="0.3">
      <c r="A819" s="2"/>
      <c r="B819" s="158"/>
      <c r="C819" s="234"/>
      <c r="D819" t="str">
        <f>IF(allExpenses_table[[#This Row],[Date]]="","",TEXT(allExpenses_table[[#This Row],[Date]],"mmmm"))</f>
        <v/>
      </c>
    </row>
    <row r="820" spans="1:4" x14ac:dyDescent="0.3">
      <c r="A820" s="2"/>
      <c r="B820" s="158"/>
      <c r="C820" s="234"/>
      <c r="D820" t="str">
        <f>IF(allExpenses_table[[#This Row],[Date]]="","",TEXT(allExpenses_table[[#This Row],[Date]],"mmmm"))</f>
        <v/>
      </c>
    </row>
    <row r="821" spans="1:4" x14ac:dyDescent="0.3">
      <c r="A821" s="2"/>
      <c r="B821" s="158"/>
      <c r="C821" s="234"/>
      <c r="D821" t="str">
        <f>IF(allExpenses_table[[#This Row],[Date]]="","",TEXT(allExpenses_table[[#This Row],[Date]],"mmmm"))</f>
        <v/>
      </c>
    </row>
    <row r="822" spans="1:4" x14ac:dyDescent="0.3">
      <c r="A822" s="2"/>
      <c r="B822" s="158"/>
      <c r="C822" s="234"/>
      <c r="D822" t="str">
        <f>IF(allExpenses_table[[#This Row],[Date]]="","",TEXT(allExpenses_table[[#This Row],[Date]],"mmmm"))</f>
        <v/>
      </c>
    </row>
    <row r="823" spans="1:4" x14ac:dyDescent="0.3">
      <c r="A823" s="2"/>
      <c r="B823" s="158"/>
      <c r="C823" s="234"/>
      <c r="D823" t="str">
        <f>IF(allExpenses_table[[#This Row],[Date]]="","",TEXT(allExpenses_table[[#This Row],[Date]],"mmmm"))</f>
        <v/>
      </c>
    </row>
    <row r="824" spans="1:4" x14ac:dyDescent="0.3">
      <c r="A824" s="2"/>
      <c r="B824" s="158"/>
      <c r="C824" s="234"/>
      <c r="D824" t="str">
        <f>IF(allExpenses_table[[#This Row],[Date]]="","",TEXT(allExpenses_table[[#This Row],[Date]],"mmmm"))</f>
        <v/>
      </c>
    </row>
    <row r="825" spans="1:4" x14ac:dyDescent="0.3">
      <c r="A825" s="2"/>
      <c r="B825" s="158"/>
      <c r="C825" s="234"/>
      <c r="D825" t="str">
        <f>IF(allExpenses_table[[#This Row],[Date]]="","",TEXT(allExpenses_table[[#This Row],[Date]],"mmmm"))</f>
        <v/>
      </c>
    </row>
    <row r="826" spans="1:4" x14ac:dyDescent="0.3">
      <c r="A826" s="2"/>
      <c r="B826" s="158"/>
      <c r="C826" s="234"/>
      <c r="D826" t="str">
        <f>IF(allExpenses_table[[#This Row],[Date]]="","",TEXT(allExpenses_table[[#This Row],[Date]],"mmmm"))</f>
        <v/>
      </c>
    </row>
    <row r="827" spans="1:4" x14ac:dyDescent="0.3">
      <c r="A827" s="2"/>
      <c r="B827" s="158"/>
      <c r="C827" s="234"/>
      <c r="D827" t="str">
        <f>IF(allExpenses_table[[#This Row],[Date]]="","",TEXT(allExpenses_table[[#This Row],[Date]],"mmmm"))</f>
        <v/>
      </c>
    </row>
    <row r="828" spans="1:4" x14ac:dyDescent="0.3">
      <c r="A828" s="2"/>
      <c r="B828" s="158"/>
      <c r="C828" s="234"/>
      <c r="D828" t="str">
        <f>IF(allExpenses_table[[#This Row],[Date]]="","",TEXT(allExpenses_table[[#This Row],[Date]],"mmmm"))</f>
        <v/>
      </c>
    </row>
    <row r="829" spans="1:4" x14ac:dyDescent="0.3">
      <c r="A829" s="2"/>
      <c r="B829" s="158"/>
      <c r="C829" s="234"/>
      <c r="D829" t="str">
        <f>IF(allExpenses_table[[#This Row],[Date]]="","",TEXT(allExpenses_table[[#This Row],[Date]],"mmmm"))</f>
        <v/>
      </c>
    </row>
    <row r="830" spans="1:4" x14ac:dyDescent="0.3">
      <c r="A830" s="2"/>
      <c r="B830" s="158"/>
      <c r="C830" s="234"/>
      <c r="D830" t="str">
        <f>IF(allExpenses_table[[#This Row],[Date]]="","",TEXT(allExpenses_table[[#This Row],[Date]],"mmmm"))</f>
        <v/>
      </c>
    </row>
    <row r="831" spans="1:4" x14ac:dyDescent="0.3">
      <c r="A831" s="2"/>
      <c r="B831" s="158"/>
      <c r="C831" s="234"/>
      <c r="D831" t="str">
        <f>IF(allExpenses_table[[#This Row],[Date]]="","",TEXT(allExpenses_table[[#This Row],[Date]],"mmmm"))</f>
        <v/>
      </c>
    </row>
    <row r="832" spans="1:4" x14ac:dyDescent="0.3">
      <c r="A832" s="2"/>
      <c r="B832" s="158"/>
      <c r="C832" s="234"/>
      <c r="D832" t="str">
        <f>IF(allExpenses_table[[#This Row],[Date]]="","",TEXT(allExpenses_table[[#This Row],[Date]],"mmmm"))</f>
        <v/>
      </c>
    </row>
    <row r="833" spans="1:4" x14ac:dyDescent="0.3">
      <c r="A833" s="2"/>
      <c r="B833" s="158"/>
      <c r="C833" s="234"/>
      <c r="D833" t="str">
        <f>IF(allExpenses_table[[#This Row],[Date]]="","",TEXT(allExpenses_table[[#This Row],[Date]],"mmmm"))</f>
        <v/>
      </c>
    </row>
    <row r="834" spans="1:4" x14ac:dyDescent="0.3">
      <c r="A834" s="2"/>
      <c r="B834" s="158"/>
      <c r="C834" s="234"/>
      <c r="D834" t="str">
        <f>IF(allExpenses_table[[#This Row],[Date]]="","",TEXT(allExpenses_table[[#This Row],[Date]],"mmmm"))</f>
        <v/>
      </c>
    </row>
    <row r="835" spans="1:4" x14ac:dyDescent="0.3">
      <c r="A835" s="2"/>
      <c r="B835" s="158"/>
      <c r="C835" s="234"/>
      <c r="D835" t="str">
        <f>IF(allExpenses_table[[#This Row],[Date]]="","",TEXT(allExpenses_table[[#This Row],[Date]],"mmmm"))</f>
        <v/>
      </c>
    </row>
    <row r="836" spans="1:4" x14ac:dyDescent="0.3">
      <c r="A836" s="2"/>
      <c r="B836" s="158"/>
      <c r="C836" s="234"/>
      <c r="D836" t="str">
        <f>IF(allExpenses_table[[#This Row],[Date]]="","",TEXT(allExpenses_table[[#This Row],[Date]],"mmmm"))</f>
        <v/>
      </c>
    </row>
    <row r="837" spans="1:4" x14ac:dyDescent="0.3">
      <c r="A837" s="2"/>
      <c r="B837" s="158"/>
      <c r="C837" s="234"/>
      <c r="D837" t="str">
        <f>IF(allExpenses_table[[#This Row],[Date]]="","",TEXT(allExpenses_table[[#This Row],[Date]],"mmmm"))</f>
        <v/>
      </c>
    </row>
    <row r="838" spans="1:4" x14ac:dyDescent="0.3">
      <c r="A838" s="2"/>
      <c r="B838" s="158"/>
      <c r="C838" s="234"/>
      <c r="D838" t="str">
        <f>IF(allExpenses_table[[#This Row],[Date]]="","",TEXT(allExpenses_table[[#This Row],[Date]],"mmmm"))</f>
        <v/>
      </c>
    </row>
    <row r="839" spans="1:4" x14ac:dyDescent="0.3">
      <c r="A839" s="2"/>
      <c r="B839" s="158"/>
      <c r="C839" s="234"/>
      <c r="D839" t="str">
        <f>IF(allExpenses_table[[#This Row],[Date]]="","",TEXT(allExpenses_table[[#This Row],[Date]],"mmmm"))</f>
        <v/>
      </c>
    </row>
    <row r="840" spans="1:4" x14ac:dyDescent="0.3">
      <c r="A840" s="2"/>
      <c r="B840" s="158"/>
      <c r="C840" s="234"/>
      <c r="D840" t="str">
        <f>IF(allExpenses_table[[#This Row],[Date]]="","",TEXT(allExpenses_table[[#This Row],[Date]],"mmmm"))</f>
        <v/>
      </c>
    </row>
    <row r="841" spans="1:4" x14ac:dyDescent="0.3">
      <c r="A841" s="2"/>
      <c r="B841" s="158"/>
      <c r="C841" s="234"/>
      <c r="D841" t="str">
        <f>IF(allExpenses_table[[#This Row],[Date]]="","",TEXT(allExpenses_table[[#This Row],[Date]],"mmmm"))</f>
        <v/>
      </c>
    </row>
    <row r="842" spans="1:4" x14ac:dyDescent="0.3">
      <c r="A842" s="2"/>
      <c r="B842" s="158"/>
      <c r="C842" s="234"/>
      <c r="D842" t="str">
        <f>IF(allExpenses_table[[#This Row],[Date]]="","",TEXT(allExpenses_table[[#This Row],[Date]],"mmmm"))</f>
        <v/>
      </c>
    </row>
    <row r="843" spans="1:4" x14ac:dyDescent="0.3">
      <c r="A843" s="2"/>
      <c r="B843" s="158"/>
      <c r="C843" s="234"/>
      <c r="D843" t="str">
        <f>IF(allExpenses_table[[#This Row],[Date]]="","",TEXT(allExpenses_table[[#This Row],[Date]],"mmmm"))</f>
        <v/>
      </c>
    </row>
    <row r="844" spans="1:4" x14ac:dyDescent="0.3">
      <c r="A844" s="2"/>
      <c r="B844" s="158"/>
      <c r="C844" s="234"/>
      <c r="D844" t="str">
        <f>IF(allExpenses_table[[#This Row],[Date]]="","",TEXT(allExpenses_table[[#This Row],[Date]],"mmmm"))</f>
        <v/>
      </c>
    </row>
    <row r="845" spans="1:4" x14ac:dyDescent="0.3">
      <c r="A845" s="2"/>
      <c r="B845" s="158"/>
      <c r="C845" s="234"/>
      <c r="D845" t="str">
        <f>IF(allExpenses_table[[#This Row],[Date]]="","",TEXT(allExpenses_table[[#This Row],[Date]],"mmmm"))</f>
        <v/>
      </c>
    </row>
    <row r="846" spans="1:4" x14ac:dyDescent="0.3">
      <c r="A846" s="2"/>
      <c r="B846" s="158"/>
      <c r="C846" s="234"/>
      <c r="D846" t="str">
        <f>IF(allExpenses_table[[#This Row],[Date]]="","",TEXT(allExpenses_table[[#This Row],[Date]],"mmmm"))</f>
        <v/>
      </c>
    </row>
    <row r="847" spans="1:4" x14ac:dyDescent="0.3">
      <c r="A847" s="2"/>
      <c r="B847" s="158"/>
      <c r="C847" s="234"/>
      <c r="D847" t="str">
        <f>IF(allExpenses_table[[#This Row],[Date]]="","",TEXT(allExpenses_table[[#This Row],[Date]],"mmmm"))</f>
        <v/>
      </c>
    </row>
    <row r="848" spans="1:4" x14ac:dyDescent="0.3">
      <c r="A848" s="2"/>
      <c r="B848" s="158"/>
      <c r="C848" s="234"/>
      <c r="D848" t="str">
        <f>IF(allExpenses_table[[#This Row],[Date]]="","",TEXT(allExpenses_table[[#This Row],[Date]],"mmmm"))</f>
        <v/>
      </c>
    </row>
    <row r="849" spans="1:4" x14ac:dyDescent="0.3">
      <c r="A849" s="2"/>
      <c r="B849" s="158"/>
      <c r="C849" s="234"/>
      <c r="D849" t="str">
        <f>IF(allExpenses_table[[#This Row],[Date]]="","",TEXT(allExpenses_table[[#This Row],[Date]],"mmmm"))</f>
        <v/>
      </c>
    </row>
    <row r="850" spans="1:4" x14ac:dyDescent="0.3">
      <c r="A850" s="2"/>
      <c r="B850" s="158"/>
      <c r="C850" s="234"/>
      <c r="D850" t="str">
        <f>IF(allExpenses_table[[#This Row],[Date]]="","",TEXT(allExpenses_table[[#This Row],[Date]],"mmmm"))</f>
        <v/>
      </c>
    </row>
    <row r="851" spans="1:4" x14ac:dyDescent="0.3">
      <c r="A851" s="2"/>
      <c r="B851" s="158"/>
      <c r="C851" s="234"/>
      <c r="D851" t="str">
        <f>IF(allExpenses_table[[#This Row],[Date]]="","",TEXT(allExpenses_table[[#This Row],[Date]],"mmmm"))</f>
        <v/>
      </c>
    </row>
    <row r="852" spans="1:4" x14ac:dyDescent="0.3">
      <c r="A852" s="2"/>
      <c r="B852" s="158"/>
      <c r="C852" s="234"/>
      <c r="D852" t="str">
        <f>IF(allExpenses_table[[#This Row],[Date]]="","",TEXT(allExpenses_table[[#This Row],[Date]],"mmmm"))</f>
        <v/>
      </c>
    </row>
    <row r="853" spans="1:4" x14ac:dyDescent="0.3">
      <c r="A853" s="2"/>
      <c r="B853" s="158"/>
      <c r="C853" s="234"/>
      <c r="D853" t="str">
        <f>IF(allExpenses_table[[#This Row],[Date]]="","",TEXT(allExpenses_table[[#This Row],[Date]],"mmmm"))</f>
        <v/>
      </c>
    </row>
    <row r="854" spans="1:4" x14ac:dyDescent="0.3">
      <c r="A854" s="2"/>
      <c r="B854" s="158"/>
      <c r="C854" s="234"/>
      <c r="D854" t="str">
        <f>IF(allExpenses_table[[#This Row],[Date]]="","",TEXT(allExpenses_table[[#This Row],[Date]],"mmmm"))</f>
        <v/>
      </c>
    </row>
    <row r="855" spans="1:4" x14ac:dyDescent="0.3">
      <c r="A855" s="2"/>
      <c r="B855" s="158"/>
      <c r="C855" s="234"/>
      <c r="D855" t="str">
        <f>IF(allExpenses_table[[#This Row],[Date]]="","",TEXT(allExpenses_table[[#This Row],[Date]],"mmmm"))</f>
        <v/>
      </c>
    </row>
    <row r="856" spans="1:4" x14ac:dyDescent="0.3">
      <c r="A856" s="2"/>
      <c r="B856" s="158"/>
      <c r="C856" s="234"/>
      <c r="D856" t="str">
        <f>IF(allExpenses_table[[#This Row],[Date]]="","",TEXT(allExpenses_table[[#This Row],[Date]],"mmmm"))</f>
        <v/>
      </c>
    </row>
    <row r="857" spans="1:4" x14ac:dyDescent="0.3">
      <c r="A857" s="2"/>
      <c r="B857" s="158"/>
      <c r="C857" s="234"/>
      <c r="D857" t="str">
        <f>IF(allExpenses_table[[#This Row],[Date]]="","",TEXT(allExpenses_table[[#This Row],[Date]],"mmmm"))</f>
        <v/>
      </c>
    </row>
    <row r="858" spans="1:4" x14ac:dyDescent="0.3">
      <c r="A858" s="2"/>
      <c r="B858" s="158"/>
      <c r="C858" s="234"/>
      <c r="D858" t="str">
        <f>IF(allExpenses_table[[#This Row],[Date]]="","",TEXT(allExpenses_table[[#This Row],[Date]],"mmmm"))</f>
        <v/>
      </c>
    </row>
    <row r="859" spans="1:4" x14ac:dyDescent="0.3">
      <c r="A859" s="2"/>
      <c r="B859" s="158"/>
      <c r="C859" s="234"/>
      <c r="D859" t="str">
        <f>IF(allExpenses_table[[#This Row],[Date]]="","",TEXT(allExpenses_table[[#This Row],[Date]],"mmmm"))</f>
        <v/>
      </c>
    </row>
    <row r="860" spans="1:4" x14ac:dyDescent="0.3">
      <c r="A860" s="2"/>
      <c r="B860" s="158"/>
      <c r="C860" s="234"/>
      <c r="D860" t="str">
        <f>IF(allExpenses_table[[#This Row],[Date]]="","",TEXT(allExpenses_table[[#This Row],[Date]],"mmmm"))</f>
        <v/>
      </c>
    </row>
    <row r="861" spans="1:4" x14ac:dyDescent="0.3">
      <c r="A861" s="2"/>
      <c r="B861" s="158"/>
      <c r="C861" s="234"/>
      <c r="D861" t="str">
        <f>IF(allExpenses_table[[#This Row],[Date]]="","",TEXT(allExpenses_table[[#This Row],[Date]],"mmmm"))</f>
        <v/>
      </c>
    </row>
    <row r="862" spans="1:4" x14ac:dyDescent="0.3">
      <c r="A862" s="2"/>
      <c r="B862" s="158"/>
      <c r="C862" s="234"/>
      <c r="D862" t="str">
        <f>IF(allExpenses_table[[#This Row],[Date]]="","",TEXT(allExpenses_table[[#This Row],[Date]],"mmmm"))</f>
        <v/>
      </c>
    </row>
    <row r="863" spans="1:4" x14ac:dyDescent="0.3">
      <c r="A863" s="2"/>
      <c r="B863" s="158"/>
      <c r="C863" s="234"/>
      <c r="D863" t="str">
        <f>IF(allExpenses_table[[#This Row],[Date]]="","",TEXT(allExpenses_table[[#This Row],[Date]],"mmmm"))</f>
        <v/>
      </c>
    </row>
    <row r="864" spans="1:4" x14ac:dyDescent="0.3">
      <c r="A864" s="2"/>
      <c r="B864" s="158"/>
      <c r="C864" s="234"/>
      <c r="D864" t="str">
        <f>IF(allExpenses_table[[#This Row],[Date]]="","",TEXT(allExpenses_table[[#This Row],[Date]],"mmmm"))</f>
        <v/>
      </c>
    </row>
    <row r="865" spans="1:4" x14ac:dyDescent="0.3">
      <c r="A865" s="2"/>
      <c r="B865" s="158"/>
      <c r="C865" s="234"/>
      <c r="D865" t="str">
        <f>IF(allExpenses_table[[#This Row],[Date]]="","",TEXT(allExpenses_table[[#This Row],[Date]],"mmmm"))</f>
        <v/>
      </c>
    </row>
    <row r="866" spans="1:4" x14ac:dyDescent="0.3">
      <c r="A866" s="2"/>
      <c r="B866" s="158"/>
      <c r="C866" s="234"/>
      <c r="D866" t="str">
        <f>IF(allExpenses_table[[#This Row],[Date]]="","",TEXT(allExpenses_table[[#This Row],[Date]],"mmmm"))</f>
        <v/>
      </c>
    </row>
    <row r="867" spans="1:4" x14ac:dyDescent="0.3">
      <c r="A867" s="2"/>
      <c r="B867" s="158"/>
      <c r="C867" s="234"/>
      <c r="D867" t="str">
        <f>IF(allExpenses_table[[#This Row],[Date]]="","",TEXT(allExpenses_table[[#This Row],[Date]],"mmmm"))</f>
        <v/>
      </c>
    </row>
    <row r="868" spans="1:4" x14ac:dyDescent="0.3">
      <c r="A868" s="2"/>
      <c r="B868" s="158"/>
      <c r="C868" s="234"/>
      <c r="D868" t="str">
        <f>IF(allExpenses_table[[#This Row],[Date]]="","",TEXT(allExpenses_table[[#This Row],[Date]],"mmmm"))</f>
        <v/>
      </c>
    </row>
    <row r="869" spans="1:4" x14ac:dyDescent="0.3">
      <c r="A869" s="2"/>
      <c r="B869" s="158"/>
      <c r="C869" s="234"/>
      <c r="D869" t="str">
        <f>IF(allExpenses_table[[#This Row],[Date]]="","",TEXT(allExpenses_table[[#This Row],[Date]],"mmmm"))</f>
        <v/>
      </c>
    </row>
    <row r="870" spans="1:4" x14ac:dyDescent="0.3">
      <c r="A870" s="2"/>
      <c r="B870" s="158"/>
      <c r="C870" s="234"/>
      <c r="D870" t="str">
        <f>IF(allExpenses_table[[#This Row],[Date]]="","",TEXT(allExpenses_table[[#This Row],[Date]],"mmmm"))</f>
        <v/>
      </c>
    </row>
    <row r="871" spans="1:4" x14ac:dyDescent="0.3">
      <c r="A871" s="2"/>
      <c r="B871" s="158"/>
      <c r="C871" s="234"/>
      <c r="D871" t="str">
        <f>IF(allExpenses_table[[#This Row],[Date]]="","",TEXT(allExpenses_table[[#This Row],[Date]],"mmmm"))</f>
        <v/>
      </c>
    </row>
    <row r="872" spans="1:4" x14ac:dyDescent="0.3">
      <c r="A872" s="2"/>
      <c r="B872" s="158"/>
      <c r="C872" s="234"/>
      <c r="D872" t="str">
        <f>IF(allExpenses_table[[#This Row],[Date]]="","",TEXT(allExpenses_table[[#This Row],[Date]],"mmmm"))</f>
        <v/>
      </c>
    </row>
    <row r="873" spans="1:4" x14ac:dyDescent="0.3">
      <c r="A873" s="2"/>
      <c r="B873" s="158"/>
      <c r="C873" s="234"/>
      <c r="D873" t="str">
        <f>IF(allExpenses_table[[#This Row],[Date]]="","",TEXT(allExpenses_table[[#This Row],[Date]],"mmmm"))</f>
        <v/>
      </c>
    </row>
    <row r="874" spans="1:4" x14ac:dyDescent="0.3">
      <c r="A874" s="2"/>
      <c r="B874" s="158"/>
      <c r="C874" s="234"/>
      <c r="D874" t="str">
        <f>IF(allExpenses_table[[#This Row],[Date]]="","",TEXT(allExpenses_table[[#This Row],[Date]],"mmmm"))</f>
        <v/>
      </c>
    </row>
    <row r="875" spans="1:4" x14ac:dyDescent="0.3">
      <c r="A875" s="2"/>
      <c r="B875" s="158"/>
      <c r="C875" s="234"/>
      <c r="D875" t="str">
        <f>IF(allExpenses_table[[#This Row],[Date]]="","",TEXT(allExpenses_table[[#This Row],[Date]],"mmmm"))</f>
        <v/>
      </c>
    </row>
    <row r="876" spans="1:4" x14ac:dyDescent="0.3">
      <c r="A876" s="2"/>
      <c r="B876" s="158"/>
      <c r="C876" s="234"/>
      <c r="D876" t="str">
        <f>IF(allExpenses_table[[#This Row],[Date]]="","",TEXT(allExpenses_table[[#This Row],[Date]],"mmmm"))</f>
        <v/>
      </c>
    </row>
    <row r="877" spans="1:4" x14ac:dyDescent="0.3">
      <c r="A877" s="2"/>
      <c r="B877" s="158"/>
      <c r="C877" s="234"/>
      <c r="D877" t="str">
        <f>IF(allExpenses_table[[#This Row],[Date]]="","",TEXT(allExpenses_table[[#This Row],[Date]],"mmmm"))</f>
        <v/>
      </c>
    </row>
    <row r="878" spans="1:4" x14ac:dyDescent="0.3">
      <c r="A878" s="2"/>
      <c r="B878" s="158"/>
      <c r="C878" s="234"/>
      <c r="D878" t="str">
        <f>IF(allExpenses_table[[#This Row],[Date]]="","",TEXT(allExpenses_table[[#This Row],[Date]],"mmmm"))</f>
        <v/>
      </c>
    </row>
    <row r="879" spans="1:4" x14ac:dyDescent="0.3">
      <c r="A879" s="2"/>
      <c r="B879" s="158"/>
      <c r="C879" s="234"/>
      <c r="D879" t="str">
        <f>IF(allExpenses_table[[#This Row],[Date]]="","",TEXT(allExpenses_table[[#This Row],[Date]],"mmmm"))</f>
        <v/>
      </c>
    </row>
    <row r="880" spans="1:4" x14ac:dyDescent="0.3">
      <c r="A880" s="2"/>
      <c r="B880" s="158"/>
      <c r="C880" s="234"/>
      <c r="D880" t="str">
        <f>IF(allExpenses_table[[#This Row],[Date]]="","",TEXT(allExpenses_table[[#This Row],[Date]],"mmmm"))</f>
        <v/>
      </c>
    </row>
    <row r="881" spans="1:4" x14ac:dyDescent="0.3">
      <c r="A881" s="2"/>
      <c r="B881" s="158"/>
      <c r="C881" s="234"/>
      <c r="D881" t="str">
        <f>IF(allExpenses_table[[#This Row],[Date]]="","",TEXT(allExpenses_table[[#This Row],[Date]],"mmmm"))</f>
        <v/>
      </c>
    </row>
    <row r="882" spans="1:4" x14ac:dyDescent="0.3">
      <c r="A882" s="2"/>
      <c r="B882" s="158"/>
      <c r="C882" s="234"/>
      <c r="D882" t="str">
        <f>IF(allExpenses_table[[#This Row],[Date]]="","",TEXT(allExpenses_table[[#This Row],[Date]],"mmmm"))</f>
        <v/>
      </c>
    </row>
    <row r="883" spans="1:4" x14ac:dyDescent="0.3">
      <c r="A883" s="2"/>
      <c r="B883" s="158"/>
      <c r="C883" s="234"/>
      <c r="D883" t="str">
        <f>IF(allExpenses_table[[#This Row],[Date]]="","",TEXT(allExpenses_table[[#This Row],[Date]],"mmmm"))</f>
        <v/>
      </c>
    </row>
    <row r="884" spans="1:4" x14ac:dyDescent="0.3">
      <c r="A884" s="2"/>
      <c r="B884" s="158"/>
      <c r="C884" s="234"/>
      <c r="D884" t="str">
        <f>IF(allExpenses_table[[#This Row],[Date]]="","",TEXT(allExpenses_table[[#This Row],[Date]],"mmmm"))</f>
        <v/>
      </c>
    </row>
    <row r="885" spans="1:4" x14ac:dyDescent="0.3">
      <c r="A885" s="2"/>
      <c r="B885" s="158"/>
      <c r="C885" s="234"/>
      <c r="D885" t="str">
        <f>IF(allExpenses_table[[#This Row],[Date]]="","",TEXT(allExpenses_table[[#This Row],[Date]],"mmmm"))</f>
        <v/>
      </c>
    </row>
    <row r="886" spans="1:4" x14ac:dyDescent="0.3">
      <c r="A886" s="2"/>
      <c r="B886" s="158"/>
      <c r="C886" s="234"/>
      <c r="D886" t="str">
        <f>IF(allExpenses_table[[#This Row],[Date]]="","",TEXT(allExpenses_table[[#This Row],[Date]],"mmmm"))</f>
        <v/>
      </c>
    </row>
    <row r="887" spans="1:4" x14ac:dyDescent="0.3">
      <c r="A887" s="2"/>
      <c r="B887" s="158"/>
      <c r="C887" s="234"/>
      <c r="D887" t="str">
        <f>IF(allExpenses_table[[#This Row],[Date]]="","",TEXT(allExpenses_table[[#This Row],[Date]],"mmmm"))</f>
        <v/>
      </c>
    </row>
    <row r="888" spans="1:4" x14ac:dyDescent="0.3">
      <c r="A888" s="2"/>
      <c r="B888" s="158"/>
      <c r="C888" s="234"/>
      <c r="D888" t="str">
        <f>IF(allExpenses_table[[#This Row],[Date]]="","",TEXT(allExpenses_table[[#This Row],[Date]],"mmmm"))</f>
        <v/>
      </c>
    </row>
    <row r="889" spans="1:4" x14ac:dyDescent="0.3">
      <c r="A889" s="2"/>
      <c r="B889" s="158"/>
      <c r="C889" s="234"/>
      <c r="D889" t="str">
        <f>IF(allExpenses_table[[#This Row],[Date]]="","",TEXT(allExpenses_table[[#This Row],[Date]],"mmmm"))</f>
        <v/>
      </c>
    </row>
    <row r="890" spans="1:4" x14ac:dyDescent="0.3">
      <c r="A890" s="2"/>
      <c r="B890" s="158"/>
      <c r="C890" s="234"/>
      <c r="D890" t="str">
        <f>IF(allExpenses_table[[#This Row],[Date]]="","",TEXT(allExpenses_table[[#This Row],[Date]],"mmmm"))</f>
        <v/>
      </c>
    </row>
    <row r="891" spans="1:4" x14ac:dyDescent="0.3">
      <c r="A891" s="2"/>
      <c r="B891" s="158"/>
      <c r="C891" s="234"/>
      <c r="D891" t="str">
        <f>IF(allExpenses_table[[#This Row],[Date]]="","",TEXT(allExpenses_table[[#This Row],[Date]],"mmmm"))</f>
        <v/>
      </c>
    </row>
    <row r="892" spans="1:4" x14ac:dyDescent="0.3">
      <c r="A892" s="2"/>
      <c r="B892" s="158"/>
      <c r="C892" s="234"/>
      <c r="D892" t="str">
        <f>IF(allExpenses_table[[#This Row],[Date]]="","",TEXT(allExpenses_table[[#This Row],[Date]],"mmmm"))</f>
        <v/>
      </c>
    </row>
    <row r="893" spans="1:4" x14ac:dyDescent="0.3">
      <c r="A893" s="2"/>
      <c r="B893" s="158"/>
      <c r="C893" s="234"/>
      <c r="D893" t="str">
        <f>IF(allExpenses_table[[#This Row],[Date]]="","",TEXT(allExpenses_table[[#This Row],[Date]],"mmmm"))</f>
        <v/>
      </c>
    </row>
    <row r="894" spans="1:4" x14ac:dyDescent="0.3">
      <c r="A894" s="2"/>
      <c r="B894" s="158"/>
      <c r="C894" s="234"/>
      <c r="D894" t="str">
        <f>IF(allExpenses_table[[#This Row],[Date]]="","",TEXT(allExpenses_table[[#This Row],[Date]],"mmmm"))</f>
        <v/>
      </c>
    </row>
    <row r="895" spans="1:4" x14ac:dyDescent="0.3">
      <c r="A895" s="2"/>
      <c r="B895" s="158"/>
      <c r="C895" s="234"/>
      <c r="D895" t="str">
        <f>IF(allExpenses_table[[#This Row],[Date]]="","",TEXT(allExpenses_table[[#This Row],[Date]],"mmmm"))</f>
        <v/>
      </c>
    </row>
    <row r="896" spans="1:4" x14ac:dyDescent="0.3">
      <c r="A896" s="2"/>
      <c r="B896" s="158"/>
      <c r="C896" s="234"/>
      <c r="D896" t="str">
        <f>IF(allExpenses_table[[#This Row],[Date]]="","",TEXT(allExpenses_table[[#This Row],[Date]],"mmmm"))</f>
        <v/>
      </c>
    </row>
    <row r="897" spans="1:4" x14ac:dyDescent="0.3">
      <c r="A897" s="2"/>
      <c r="B897" s="158"/>
      <c r="C897" s="234"/>
      <c r="D897" t="str">
        <f>IF(allExpenses_table[[#This Row],[Date]]="","",TEXT(allExpenses_table[[#This Row],[Date]],"mmmm"))</f>
        <v/>
      </c>
    </row>
    <row r="898" spans="1:4" x14ac:dyDescent="0.3">
      <c r="A898" s="2"/>
      <c r="B898" s="158"/>
      <c r="C898" s="234"/>
      <c r="D898" t="str">
        <f>IF(allExpenses_table[[#This Row],[Date]]="","",TEXT(allExpenses_table[[#This Row],[Date]],"mmmm"))</f>
        <v/>
      </c>
    </row>
    <row r="899" spans="1:4" x14ac:dyDescent="0.3">
      <c r="A899" s="2"/>
      <c r="B899" s="158"/>
      <c r="C899" s="234"/>
      <c r="D899" t="str">
        <f>IF(allExpenses_table[[#This Row],[Date]]="","",TEXT(allExpenses_table[[#This Row],[Date]],"mmmm"))</f>
        <v/>
      </c>
    </row>
    <row r="900" spans="1:4" x14ac:dyDescent="0.3">
      <c r="A900" s="2"/>
      <c r="B900" s="158"/>
      <c r="C900" s="234"/>
      <c r="D900" t="str">
        <f>IF(allExpenses_table[[#This Row],[Date]]="","",TEXT(allExpenses_table[[#This Row],[Date]],"mmmm"))</f>
        <v/>
      </c>
    </row>
    <row r="901" spans="1:4" x14ac:dyDescent="0.3">
      <c r="A901" s="2"/>
      <c r="B901" s="158"/>
      <c r="C901" s="234"/>
      <c r="D901" t="str">
        <f>IF(allExpenses_table[[#This Row],[Date]]="","",TEXT(allExpenses_table[[#This Row],[Date]],"mmmm"))</f>
        <v/>
      </c>
    </row>
    <row r="902" spans="1:4" x14ac:dyDescent="0.3">
      <c r="A902" s="2"/>
      <c r="B902" s="158"/>
      <c r="C902" s="234"/>
      <c r="D902" t="str">
        <f>IF(allExpenses_table[[#This Row],[Date]]="","",TEXT(allExpenses_table[[#This Row],[Date]],"mmmm"))</f>
        <v/>
      </c>
    </row>
    <row r="903" spans="1:4" x14ac:dyDescent="0.3">
      <c r="A903" s="2"/>
      <c r="B903" s="158"/>
      <c r="C903" s="234"/>
      <c r="D903" t="str">
        <f>IF(allExpenses_table[[#This Row],[Date]]="","",TEXT(allExpenses_table[[#This Row],[Date]],"mmmm"))</f>
        <v/>
      </c>
    </row>
    <row r="904" spans="1:4" x14ac:dyDescent="0.3">
      <c r="A904" s="2"/>
      <c r="B904" s="158"/>
      <c r="C904" s="234"/>
      <c r="D904" t="str">
        <f>IF(allExpenses_table[[#This Row],[Date]]="","",TEXT(allExpenses_table[[#This Row],[Date]],"mmmm"))</f>
        <v/>
      </c>
    </row>
    <row r="905" spans="1:4" x14ac:dyDescent="0.3">
      <c r="A905" s="2"/>
      <c r="B905" s="158"/>
      <c r="C905" s="234"/>
      <c r="D905" t="str">
        <f>IF(allExpenses_table[[#This Row],[Date]]="","",TEXT(allExpenses_table[[#This Row],[Date]],"mmmm"))</f>
        <v/>
      </c>
    </row>
    <row r="906" spans="1:4" x14ac:dyDescent="0.3">
      <c r="A906" s="2"/>
      <c r="B906" s="158"/>
      <c r="C906" s="234"/>
      <c r="D906" t="str">
        <f>IF(allExpenses_table[[#This Row],[Date]]="","",TEXT(allExpenses_table[[#This Row],[Date]],"mmmm"))</f>
        <v/>
      </c>
    </row>
    <row r="907" spans="1:4" x14ac:dyDescent="0.3">
      <c r="A907" s="2"/>
      <c r="B907" s="158"/>
      <c r="C907" s="234"/>
      <c r="D907" t="str">
        <f>IF(allExpenses_table[[#This Row],[Date]]="","",TEXT(allExpenses_table[[#This Row],[Date]],"mmmm"))</f>
        <v/>
      </c>
    </row>
    <row r="908" spans="1:4" x14ac:dyDescent="0.3">
      <c r="A908" s="2"/>
      <c r="B908" s="158"/>
      <c r="C908" s="234"/>
      <c r="D908" t="str">
        <f>IF(allExpenses_table[[#This Row],[Date]]="","",TEXT(allExpenses_table[[#This Row],[Date]],"mmmm"))</f>
        <v/>
      </c>
    </row>
    <row r="909" spans="1:4" x14ac:dyDescent="0.3">
      <c r="A909" s="2"/>
      <c r="B909" s="158"/>
      <c r="C909" s="234"/>
      <c r="D909" t="str">
        <f>IF(allExpenses_table[[#This Row],[Date]]="","",TEXT(allExpenses_table[[#This Row],[Date]],"mmmm"))</f>
        <v/>
      </c>
    </row>
    <row r="910" spans="1:4" x14ac:dyDescent="0.3">
      <c r="A910" s="2"/>
      <c r="B910" s="158"/>
      <c r="C910" s="234"/>
      <c r="D910" t="str">
        <f>IF(allExpenses_table[[#This Row],[Date]]="","",TEXT(allExpenses_table[[#This Row],[Date]],"mmmm"))</f>
        <v/>
      </c>
    </row>
    <row r="911" spans="1:4" x14ac:dyDescent="0.3">
      <c r="A911" s="2"/>
      <c r="B911" s="158"/>
      <c r="C911" s="234"/>
      <c r="D911" t="str">
        <f>IF(allExpenses_table[[#This Row],[Date]]="","",TEXT(allExpenses_table[[#This Row],[Date]],"mmmm"))</f>
        <v/>
      </c>
    </row>
    <row r="912" spans="1:4" x14ac:dyDescent="0.3">
      <c r="A912" s="2"/>
      <c r="B912" s="158"/>
      <c r="C912" s="234"/>
      <c r="D912" t="str">
        <f>IF(allExpenses_table[[#This Row],[Date]]="","",TEXT(allExpenses_table[[#This Row],[Date]],"mmmm"))</f>
        <v/>
      </c>
    </row>
    <row r="913" spans="1:4" x14ac:dyDescent="0.3">
      <c r="A913" s="2"/>
      <c r="B913" s="158"/>
      <c r="C913" s="234"/>
      <c r="D913" t="str">
        <f>IF(allExpenses_table[[#This Row],[Date]]="","",TEXT(allExpenses_table[[#This Row],[Date]],"mmmm"))</f>
        <v/>
      </c>
    </row>
    <row r="914" spans="1:4" x14ac:dyDescent="0.3">
      <c r="A914" s="2"/>
      <c r="B914" s="158"/>
      <c r="C914" s="234"/>
      <c r="D914" t="str">
        <f>IF(allExpenses_table[[#This Row],[Date]]="","",TEXT(allExpenses_table[[#This Row],[Date]],"mmmm"))</f>
        <v/>
      </c>
    </row>
    <row r="915" spans="1:4" x14ac:dyDescent="0.3">
      <c r="A915" s="2"/>
      <c r="B915" s="158"/>
      <c r="C915" s="234"/>
      <c r="D915" t="str">
        <f>IF(allExpenses_table[[#This Row],[Date]]="","",TEXT(allExpenses_table[[#This Row],[Date]],"mmmm"))</f>
        <v/>
      </c>
    </row>
    <row r="916" spans="1:4" x14ac:dyDescent="0.3">
      <c r="A916" s="2"/>
      <c r="B916" s="158"/>
      <c r="C916" s="234"/>
      <c r="D916" t="str">
        <f>IF(allExpenses_table[[#This Row],[Date]]="","",TEXT(allExpenses_table[[#This Row],[Date]],"mmmm"))</f>
        <v/>
      </c>
    </row>
    <row r="917" spans="1:4" x14ac:dyDescent="0.3">
      <c r="A917" s="2"/>
      <c r="B917" s="158"/>
      <c r="C917" s="234"/>
      <c r="D917" t="str">
        <f>IF(allExpenses_table[[#This Row],[Date]]="","",TEXT(allExpenses_table[[#This Row],[Date]],"mmmm"))</f>
        <v/>
      </c>
    </row>
    <row r="918" spans="1:4" x14ac:dyDescent="0.3">
      <c r="A918" s="2"/>
      <c r="B918" s="158"/>
      <c r="C918" s="234"/>
      <c r="D918" t="str">
        <f>IF(allExpenses_table[[#This Row],[Date]]="","",TEXT(allExpenses_table[[#This Row],[Date]],"mmmm"))</f>
        <v/>
      </c>
    </row>
    <row r="919" spans="1:4" x14ac:dyDescent="0.3">
      <c r="A919" s="2"/>
      <c r="B919" s="158"/>
      <c r="C919" s="234"/>
      <c r="D919" t="str">
        <f>IF(allExpenses_table[[#This Row],[Date]]="","",TEXT(allExpenses_table[[#This Row],[Date]],"mmmm"))</f>
        <v/>
      </c>
    </row>
    <row r="920" spans="1:4" x14ac:dyDescent="0.3">
      <c r="A920" s="2"/>
      <c r="B920" s="158"/>
      <c r="C920" s="234"/>
      <c r="D920" t="str">
        <f>IF(allExpenses_table[[#This Row],[Date]]="","",TEXT(allExpenses_table[[#This Row],[Date]],"mmmm"))</f>
        <v/>
      </c>
    </row>
    <row r="921" spans="1:4" x14ac:dyDescent="0.3">
      <c r="A921" s="2"/>
      <c r="B921" s="158"/>
      <c r="C921" s="234"/>
      <c r="D921" t="str">
        <f>IF(allExpenses_table[[#This Row],[Date]]="","",TEXT(allExpenses_table[[#This Row],[Date]],"mmmm"))</f>
        <v/>
      </c>
    </row>
    <row r="922" spans="1:4" x14ac:dyDescent="0.3">
      <c r="A922" s="2"/>
      <c r="B922" s="158"/>
      <c r="C922" s="234"/>
      <c r="D922" t="str">
        <f>IF(allExpenses_table[[#This Row],[Date]]="","",TEXT(allExpenses_table[[#This Row],[Date]],"mmmm"))</f>
        <v/>
      </c>
    </row>
    <row r="923" spans="1:4" x14ac:dyDescent="0.3">
      <c r="A923" s="2"/>
      <c r="B923" s="158"/>
      <c r="C923" s="234"/>
      <c r="D923" t="str">
        <f>IF(allExpenses_table[[#This Row],[Date]]="","",TEXT(allExpenses_table[[#This Row],[Date]],"mmmm"))</f>
        <v/>
      </c>
    </row>
    <row r="924" spans="1:4" x14ac:dyDescent="0.3">
      <c r="A924" s="2"/>
      <c r="B924" s="158"/>
      <c r="C924" s="234"/>
      <c r="D924" t="str">
        <f>IF(allExpenses_table[[#This Row],[Date]]="","",TEXT(allExpenses_table[[#This Row],[Date]],"mmmm"))</f>
        <v/>
      </c>
    </row>
    <row r="925" spans="1:4" x14ac:dyDescent="0.3">
      <c r="A925" s="2"/>
      <c r="B925" s="158"/>
      <c r="C925" s="234"/>
      <c r="D925" t="str">
        <f>IF(allExpenses_table[[#This Row],[Date]]="","",TEXT(allExpenses_table[[#This Row],[Date]],"mmmm"))</f>
        <v/>
      </c>
    </row>
    <row r="926" spans="1:4" x14ac:dyDescent="0.3">
      <c r="A926" s="2"/>
      <c r="B926" s="158"/>
      <c r="C926" s="234"/>
      <c r="D926" t="str">
        <f>IF(allExpenses_table[[#This Row],[Date]]="","",TEXT(allExpenses_table[[#This Row],[Date]],"mmmm"))</f>
        <v/>
      </c>
    </row>
    <row r="927" spans="1:4" x14ac:dyDescent="0.3">
      <c r="A927" s="2"/>
      <c r="B927" s="158"/>
      <c r="C927" s="234"/>
      <c r="D927" t="str">
        <f>IF(allExpenses_table[[#This Row],[Date]]="","",TEXT(allExpenses_table[[#This Row],[Date]],"mmmm"))</f>
        <v/>
      </c>
    </row>
    <row r="928" spans="1:4" x14ac:dyDescent="0.3">
      <c r="A928" s="2"/>
      <c r="B928" s="158"/>
      <c r="C928" s="234"/>
      <c r="D928" t="str">
        <f>IF(allExpenses_table[[#This Row],[Date]]="","",TEXT(allExpenses_table[[#This Row],[Date]],"mmmm"))</f>
        <v/>
      </c>
    </row>
    <row r="929" spans="1:4" x14ac:dyDescent="0.3">
      <c r="A929" s="2"/>
      <c r="B929" s="158"/>
      <c r="C929" s="234"/>
      <c r="D929" t="str">
        <f>IF(allExpenses_table[[#This Row],[Date]]="","",TEXT(allExpenses_table[[#This Row],[Date]],"mmmm"))</f>
        <v/>
      </c>
    </row>
    <row r="930" spans="1:4" x14ac:dyDescent="0.3">
      <c r="A930" s="2"/>
      <c r="B930" s="158"/>
      <c r="C930" s="234"/>
      <c r="D930" t="str">
        <f>IF(allExpenses_table[[#This Row],[Date]]="","",TEXT(allExpenses_table[[#This Row],[Date]],"mmmm"))</f>
        <v/>
      </c>
    </row>
    <row r="931" spans="1:4" x14ac:dyDescent="0.3">
      <c r="A931" s="2"/>
      <c r="B931" s="158"/>
      <c r="C931" s="234"/>
      <c r="D931" t="str">
        <f>IF(allExpenses_table[[#This Row],[Date]]="","",TEXT(allExpenses_table[[#This Row],[Date]],"mmmm"))</f>
        <v/>
      </c>
    </row>
    <row r="932" spans="1:4" x14ac:dyDescent="0.3">
      <c r="A932" s="2"/>
      <c r="B932" s="158"/>
      <c r="C932" s="234"/>
      <c r="D932" t="str">
        <f>IF(allExpenses_table[[#This Row],[Date]]="","",TEXT(allExpenses_table[[#This Row],[Date]],"mmmm"))</f>
        <v/>
      </c>
    </row>
    <row r="933" spans="1:4" x14ac:dyDescent="0.3">
      <c r="A933" s="2"/>
      <c r="B933" s="158"/>
      <c r="C933" s="234"/>
      <c r="D933" t="str">
        <f>IF(allExpenses_table[[#This Row],[Date]]="","",TEXT(allExpenses_table[[#This Row],[Date]],"mmmm"))</f>
        <v/>
      </c>
    </row>
    <row r="934" spans="1:4" x14ac:dyDescent="0.3">
      <c r="A934" s="2"/>
      <c r="B934" s="158"/>
      <c r="C934" s="234"/>
      <c r="D934" t="str">
        <f>IF(allExpenses_table[[#This Row],[Date]]="","",TEXT(allExpenses_table[[#This Row],[Date]],"mmmm"))</f>
        <v/>
      </c>
    </row>
    <row r="935" spans="1:4" x14ac:dyDescent="0.3">
      <c r="A935" s="2"/>
      <c r="B935" s="158"/>
      <c r="C935" s="234"/>
      <c r="D935" t="str">
        <f>IF(allExpenses_table[[#This Row],[Date]]="","",TEXT(allExpenses_table[[#This Row],[Date]],"mmmm"))</f>
        <v/>
      </c>
    </row>
    <row r="936" spans="1:4" x14ac:dyDescent="0.3">
      <c r="A936" s="2"/>
      <c r="B936" s="158"/>
      <c r="C936" s="234"/>
      <c r="D936" t="str">
        <f>IF(allExpenses_table[[#This Row],[Date]]="","",TEXT(allExpenses_table[[#This Row],[Date]],"mmmm"))</f>
        <v/>
      </c>
    </row>
    <row r="937" spans="1:4" x14ac:dyDescent="0.3">
      <c r="A937" s="2"/>
      <c r="B937" s="158"/>
      <c r="C937" s="234"/>
      <c r="D937" t="str">
        <f>IF(allExpenses_table[[#This Row],[Date]]="","",TEXT(allExpenses_table[[#This Row],[Date]],"mmmm"))</f>
        <v/>
      </c>
    </row>
    <row r="938" spans="1:4" x14ac:dyDescent="0.3">
      <c r="A938" s="2"/>
      <c r="B938" s="158"/>
      <c r="C938" s="234"/>
      <c r="D938" t="str">
        <f>IF(allExpenses_table[[#This Row],[Date]]="","",TEXT(allExpenses_table[[#This Row],[Date]],"mmmm"))</f>
        <v/>
      </c>
    </row>
    <row r="939" spans="1:4" x14ac:dyDescent="0.3">
      <c r="A939" s="2"/>
      <c r="B939" s="158"/>
      <c r="C939" s="234"/>
      <c r="D939" t="str">
        <f>IF(allExpenses_table[[#This Row],[Date]]="","",TEXT(allExpenses_table[[#This Row],[Date]],"mmmm"))</f>
        <v/>
      </c>
    </row>
    <row r="940" spans="1:4" x14ac:dyDescent="0.3">
      <c r="A940" s="2"/>
      <c r="B940" s="158"/>
      <c r="C940" s="234"/>
      <c r="D940" t="str">
        <f>IF(allExpenses_table[[#This Row],[Date]]="","",TEXT(allExpenses_table[[#This Row],[Date]],"mmmm"))</f>
        <v/>
      </c>
    </row>
    <row r="941" spans="1:4" x14ac:dyDescent="0.3">
      <c r="A941" s="2"/>
      <c r="B941" s="158"/>
      <c r="C941" s="234"/>
      <c r="D941" t="str">
        <f>IF(allExpenses_table[[#This Row],[Date]]="","",TEXT(allExpenses_table[[#This Row],[Date]],"mmmm"))</f>
        <v/>
      </c>
    </row>
    <row r="942" spans="1:4" x14ac:dyDescent="0.3">
      <c r="A942" s="2"/>
      <c r="B942" s="158"/>
      <c r="C942" s="234"/>
      <c r="D942" t="str">
        <f>IF(allExpenses_table[[#This Row],[Date]]="","",TEXT(allExpenses_table[[#This Row],[Date]],"mmmm"))</f>
        <v/>
      </c>
    </row>
    <row r="943" spans="1:4" x14ac:dyDescent="0.3">
      <c r="A943" s="2"/>
      <c r="B943" s="158"/>
      <c r="C943" s="234"/>
      <c r="D943" t="str">
        <f>IF(allExpenses_table[[#This Row],[Date]]="","",TEXT(allExpenses_table[[#This Row],[Date]],"mmmm"))</f>
        <v/>
      </c>
    </row>
    <row r="944" spans="1:4" x14ac:dyDescent="0.3">
      <c r="A944" s="2"/>
      <c r="B944" s="158"/>
      <c r="C944" s="234"/>
      <c r="D944" t="str">
        <f>IF(allExpenses_table[[#This Row],[Date]]="","",TEXT(allExpenses_table[[#This Row],[Date]],"mmmm"))</f>
        <v/>
      </c>
    </row>
    <row r="945" spans="1:4" x14ac:dyDescent="0.3">
      <c r="A945" s="2"/>
      <c r="B945" s="158"/>
      <c r="C945" s="234"/>
      <c r="D945" t="str">
        <f>IF(allExpenses_table[[#This Row],[Date]]="","",TEXT(allExpenses_table[[#This Row],[Date]],"mmmm"))</f>
        <v/>
      </c>
    </row>
    <row r="946" spans="1:4" x14ac:dyDescent="0.3">
      <c r="A946" s="2"/>
      <c r="B946" s="158"/>
      <c r="C946" s="234"/>
      <c r="D946" t="str">
        <f>IF(allExpenses_table[[#This Row],[Date]]="","",TEXT(allExpenses_table[[#This Row],[Date]],"mmmm"))</f>
        <v/>
      </c>
    </row>
    <row r="947" spans="1:4" x14ac:dyDescent="0.3">
      <c r="A947" s="2"/>
      <c r="B947" s="158"/>
      <c r="C947" s="234"/>
      <c r="D947" t="str">
        <f>IF(allExpenses_table[[#This Row],[Date]]="","",TEXT(allExpenses_table[[#This Row],[Date]],"mmmm"))</f>
        <v/>
      </c>
    </row>
    <row r="948" spans="1:4" x14ac:dyDescent="0.3">
      <c r="A948" s="2"/>
      <c r="B948" s="158"/>
      <c r="C948" s="234"/>
      <c r="D948" t="str">
        <f>IF(allExpenses_table[[#This Row],[Date]]="","",TEXT(allExpenses_table[[#This Row],[Date]],"mmmm"))</f>
        <v/>
      </c>
    </row>
    <row r="949" spans="1:4" x14ac:dyDescent="0.3">
      <c r="A949" s="2"/>
      <c r="B949" s="158"/>
      <c r="C949" s="234"/>
      <c r="D949" t="str">
        <f>IF(allExpenses_table[[#This Row],[Date]]="","",TEXT(allExpenses_table[[#This Row],[Date]],"mmmm"))</f>
        <v/>
      </c>
    </row>
    <row r="950" spans="1:4" x14ac:dyDescent="0.3">
      <c r="A950" s="2"/>
      <c r="B950" s="158"/>
      <c r="C950" s="234"/>
      <c r="D950" t="str">
        <f>IF(allExpenses_table[[#This Row],[Date]]="","",TEXT(allExpenses_table[[#This Row],[Date]],"mmmm"))</f>
        <v/>
      </c>
    </row>
    <row r="951" spans="1:4" x14ac:dyDescent="0.3">
      <c r="A951" s="2"/>
      <c r="B951" s="158"/>
      <c r="C951" s="234"/>
      <c r="D951" t="str">
        <f>IF(allExpenses_table[[#This Row],[Date]]="","",TEXT(allExpenses_table[[#This Row],[Date]],"mmmm"))</f>
        <v/>
      </c>
    </row>
    <row r="952" spans="1:4" x14ac:dyDescent="0.3">
      <c r="A952" s="2"/>
      <c r="B952" s="158"/>
      <c r="C952" s="234"/>
      <c r="D952" t="str">
        <f>IF(allExpenses_table[[#This Row],[Date]]="","",TEXT(allExpenses_table[[#This Row],[Date]],"mmmm"))</f>
        <v/>
      </c>
    </row>
    <row r="953" spans="1:4" x14ac:dyDescent="0.3">
      <c r="A953" s="2"/>
      <c r="B953" s="158"/>
      <c r="C953" s="234"/>
      <c r="D953" t="str">
        <f>IF(allExpenses_table[[#This Row],[Date]]="","",TEXT(allExpenses_table[[#This Row],[Date]],"mmmm"))</f>
        <v/>
      </c>
    </row>
    <row r="954" spans="1:4" x14ac:dyDescent="0.3">
      <c r="A954" s="2"/>
      <c r="B954" s="158"/>
      <c r="C954" s="234"/>
      <c r="D954" t="str">
        <f>IF(allExpenses_table[[#This Row],[Date]]="","",TEXT(allExpenses_table[[#This Row],[Date]],"mmmm"))</f>
        <v/>
      </c>
    </row>
    <row r="955" spans="1:4" x14ac:dyDescent="0.3">
      <c r="A955" s="2"/>
      <c r="B955" s="158"/>
      <c r="C955" s="234"/>
      <c r="D955" t="str">
        <f>IF(allExpenses_table[[#This Row],[Date]]="","",TEXT(allExpenses_table[[#This Row],[Date]],"mmmm"))</f>
        <v/>
      </c>
    </row>
    <row r="956" spans="1:4" x14ac:dyDescent="0.3">
      <c r="A956" s="2"/>
      <c r="B956" s="158"/>
      <c r="C956" s="234"/>
      <c r="D956" t="str">
        <f>IF(allExpenses_table[[#This Row],[Date]]="","",TEXT(allExpenses_table[[#This Row],[Date]],"mmmm"))</f>
        <v/>
      </c>
    </row>
    <row r="957" spans="1:4" x14ac:dyDescent="0.3">
      <c r="A957" s="2"/>
      <c r="B957" s="158"/>
      <c r="C957" s="234"/>
      <c r="D957" t="str">
        <f>IF(allExpenses_table[[#This Row],[Date]]="","",TEXT(allExpenses_table[[#This Row],[Date]],"mmmm"))</f>
        <v/>
      </c>
    </row>
    <row r="958" spans="1:4" x14ac:dyDescent="0.3">
      <c r="A958" s="2"/>
      <c r="B958" s="158"/>
      <c r="C958" s="234"/>
      <c r="D958" t="str">
        <f>IF(allExpenses_table[[#This Row],[Date]]="","",TEXT(allExpenses_table[[#This Row],[Date]],"mmmm"))</f>
        <v/>
      </c>
    </row>
    <row r="959" spans="1:4" x14ac:dyDescent="0.3">
      <c r="A959" s="2"/>
      <c r="B959" s="158"/>
      <c r="C959" s="234"/>
      <c r="D959" t="str">
        <f>IF(allExpenses_table[[#This Row],[Date]]="","",TEXT(allExpenses_table[[#This Row],[Date]],"mmmm"))</f>
        <v/>
      </c>
    </row>
    <row r="960" spans="1:4" x14ac:dyDescent="0.3">
      <c r="A960" s="2"/>
      <c r="B960" s="158"/>
      <c r="C960" s="234"/>
      <c r="D960" t="str">
        <f>IF(allExpenses_table[[#This Row],[Date]]="","",TEXT(allExpenses_table[[#This Row],[Date]],"mmmm"))</f>
        <v/>
      </c>
    </row>
    <row r="961" spans="1:4" x14ac:dyDescent="0.3">
      <c r="A961" s="2"/>
      <c r="B961" s="158"/>
      <c r="C961" s="234"/>
      <c r="D961" t="str">
        <f>IF(allExpenses_table[[#This Row],[Date]]="","",TEXT(allExpenses_table[[#This Row],[Date]],"mmmm"))</f>
        <v/>
      </c>
    </row>
    <row r="962" spans="1:4" x14ac:dyDescent="0.3">
      <c r="A962" s="2"/>
      <c r="B962" s="158"/>
      <c r="C962" s="234"/>
      <c r="D962" t="str">
        <f>IF(allExpenses_table[[#This Row],[Date]]="","",TEXT(allExpenses_table[[#This Row],[Date]],"mmmm"))</f>
        <v/>
      </c>
    </row>
    <row r="963" spans="1:4" x14ac:dyDescent="0.3">
      <c r="A963" s="2"/>
      <c r="B963" s="158"/>
      <c r="C963" s="234"/>
      <c r="D963" t="str">
        <f>IF(allExpenses_table[[#This Row],[Date]]="","",TEXT(allExpenses_table[[#This Row],[Date]],"mmmm"))</f>
        <v/>
      </c>
    </row>
    <row r="964" spans="1:4" x14ac:dyDescent="0.3">
      <c r="A964" s="2"/>
      <c r="B964" s="158"/>
      <c r="C964" s="234"/>
      <c r="D964" t="str">
        <f>IF(allExpenses_table[[#This Row],[Date]]="","",TEXT(allExpenses_table[[#This Row],[Date]],"mmmm"))</f>
        <v/>
      </c>
    </row>
    <row r="965" spans="1:4" x14ac:dyDescent="0.3">
      <c r="A965" s="2"/>
      <c r="B965" s="158"/>
      <c r="C965" s="234"/>
      <c r="D965" t="str">
        <f>IF(allExpenses_table[[#This Row],[Date]]="","",TEXT(allExpenses_table[[#This Row],[Date]],"mmmm"))</f>
        <v/>
      </c>
    </row>
    <row r="966" spans="1:4" x14ac:dyDescent="0.3">
      <c r="A966" s="2"/>
      <c r="B966" s="158"/>
      <c r="C966" s="234"/>
      <c r="D966" t="str">
        <f>IF(allExpenses_table[[#This Row],[Date]]="","",TEXT(allExpenses_table[[#This Row],[Date]],"mmmm"))</f>
        <v/>
      </c>
    </row>
    <row r="967" spans="1:4" x14ac:dyDescent="0.3">
      <c r="A967" s="2"/>
      <c r="B967" s="158"/>
      <c r="C967" s="234"/>
      <c r="D967" t="str">
        <f>IF(allExpenses_table[[#This Row],[Date]]="","",TEXT(allExpenses_table[[#This Row],[Date]],"mmmm"))</f>
        <v/>
      </c>
    </row>
    <row r="968" spans="1:4" x14ac:dyDescent="0.3">
      <c r="A968" s="2"/>
      <c r="B968" s="158"/>
      <c r="C968" s="234"/>
      <c r="D968" t="str">
        <f>IF(allExpenses_table[[#This Row],[Date]]="","",TEXT(allExpenses_table[[#This Row],[Date]],"mmmm"))</f>
        <v/>
      </c>
    </row>
    <row r="969" spans="1:4" x14ac:dyDescent="0.3">
      <c r="A969" s="2"/>
      <c r="B969" s="158"/>
      <c r="C969" s="234"/>
      <c r="D969" t="str">
        <f>IF(allExpenses_table[[#This Row],[Date]]="","",TEXT(allExpenses_table[[#This Row],[Date]],"mmmm"))</f>
        <v/>
      </c>
    </row>
    <row r="970" spans="1:4" x14ac:dyDescent="0.3">
      <c r="A970" s="2"/>
      <c r="B970" s="158"/>
      <c r="C970" s="234"/>
      <c r="D970" t="str">
        <f>IF(allExpenses_table[[#This Row],[Date]]="","",TEXT(allExpenses_table[[#This Row],[Date]],"mmmm"))</f>
        <v/>
      </c>
    </row>
    <row r="971" spans="1:4" x14ac:dyDescent="0.3">
      <c r="A971" s="2"/>
      <c r="B971" s="158"/>
      <c r="C971" s="234"/>
      <c r="D971" t="str">
        <f>IF(allExpenses_table[[#This Row],[Date]]="","",TEXT(allExpenses_table[[#This Row],[Date]],"mmmm"))</f>
        <v/>
      </c>
    </row>
    <row r="972" spans="1:4" x14ac:dyDescent="0.3">
      <c r="A972" s="2"/>
      <c r="B972" s="158"/>
      <c r="C972" s="234"/>
      <c r="D972" t="str">
        <f>IF(allExpenses_table[[#This Row],[Date]]="","",TEXT(allExpenses_table[[#This Row],[Date]],"mmmm"))</f>
        <v/>
      </c>
    </row>
    <row r="973" spans="1:4" x14ac:dyDescent="0.3">
      <c r="A973" s="2"/>
      <c r="B973" s="158"/>
      <c r="C973" s="234"/>
      <c r="D973" t="str">
        <f>IF(allExpenses_table[[#This Row],[Date]]="","",TEXT(allExpenses_table[[#This Row],[Date]],"mmmm"))</f>
        <v/>
      </c>
    </row>
    <row r="974" spans="1:4" x14ac:dyDescent="0.3">
      <c r="A974" s="2"/>
      <c r="B974" s="158"/>
      <c r="C974" s="234"/>
      <c r="D974" t="str">
        <f>IF(allExpenses_table[[#This Row],[Date]]="","",TEXT(allExpenses_table[[#This Row],[Date]],"mmmm"))</f>
        <v/>
      </c>
    </row>
    <row r="975" spans="1:4" x14ac:dyDescent="0.3">
      <c r="A975" s="2"/>
      <c r="B975" s="158"/>
      <c r="C975" s="234"/>
      <c r="D975" t="str">
        <f>IF(allExpenses_table[[#This Row],[Date]]="","",TEXT(allExpenses_table[[#This Row],[Date]],"mmmm"))</f>
        <v/>
      </c>
    </row>
    <row r="976" spans="1:4" x14ac:dyDescent="0.3">
      <c r="A976" s="2"/>
      <c r="B976" s="158"/>
      <c r="C976" s="234"/>
      <c r="D976" t="str">
        <f>IF(allExpenses_table[[#This Row],[Date]]="","",TEXT(allExpenses_table[[#This Row],[Date]],"mmmm"))</f>
        <v/>
      </c>
    </row>
    <row r="977" spans="1:4" x14ac:dyDescent="0.3">
      <c r="A977" s="2"/>
      <c r="B977" s="158"/>
      <c r="C977" s="234"/>
      <c r="D977" t="str">
        <f>IF(allExpenses_table[[#This Row],[Date]]="","",TEXT(allExpenses_table[[#This Row],[Date]],"mmmm"))</f>
        <v/>
      </c>
    </row>
    <row r="978" spans="1:4" x14ac:dyDescent="0.3">
      <c r="A978" s="2"/>
      <c r="B978" s="158"/>
      <c r="C978" s="234"/>
      <c r="D978" t="str">
        <f>IF(allExpenses_table[[#This Row],[Date]]="","",TEXT(allExpenses_table[[#This Row],[Date]],"mmmm"))</f>
        <v/>
      </c>
    </row>
    <row r="979" spans="1:4" x14ac:dyDescent="0.3">
      <c r="A979" s="2"/>
      <c r="B979" s="158"/>
      <c r="C979" s="234"/>
      <c r="D979" t="str">
        <f>IF(allExpenses_table[[#This Row],[Date]]="","",TEXT(allExpenses_table[[#This Row],[Date]],"mmmm"))</f>
        <v/>
      </c>
    </row>
    <row r="980" spans="1:4" x14ac:dyDescent="0.3">
      <c r="A980" s="2"/>
      <c r="B980" s="158"/>
      <c r="C980" s="234"/>
      <c r="D980" t="str">
        <f>IF(allExpenses_table[[#This Row],[Date]]="","",TEXT(allExpenses_table[[#This Row],[Date]],"mmmm"))</f>
        <v/>
      </c>
    </row>
    <row r="981" spans="1:4" x14ac:dyDescent="0.3">
      <c r="A981" s="2"/>
      <c r="B981" s="158"/>
      <c r="C981" s="234"/>
      <c r="D981" t="str">
        <f>IF(allExpenses_table[[#This Row],[Date]]="","",TEXT(allExpenses_table[[#This Row],[Date]],"mmmm"))</f>
        <v/>
      </c>
    </row>
    <row r="982" spans="1:4" x14ac:dyDescent="0.3">
      <c r="A982" s="2"/>
      <c r="B982" s="158"/>
      <c r="C982" s="234"/>
      <c r="D982" t="str">
        <f>IF(allExpenses_table[[#This Row],[Date]]="","",TEXT(allExpenses_table[[#This Row],[Date]],"mmmm"))</f>
        <v/>
      </c>
    </row>
    <row r="983" spans="1:4" x14ac:dyDescent="0.3">
      <c r="A983" s="2"/>
      <c r="B983" s="158"/>
      <c r="C983" s="234"/>
      <c r="D983" t="str">
        <f>IF(allExpenses_table[[#This Row],[Date]]="","",TEXT(allExpenses_table[[#This Row],[Date]],"mmmm"))</f>
        <v/>
      </c>
    </row>
    <row r="984" spans="1:4" x14ac:dyDescent="0.3">
      <c r="A984" s="2"/>
      <c r="B984" s="158"/>
      <c r="C984" s="234"/>
      <c r="D984" t="str">
        <f>IF(allExpenses_table[[#This Row],[Date]]="","",TEXT(allExpenses_table[[#This Row],[Date]],"mmmm"))</f>
        <v/>
      </c>
    </row>
    <row r="985" spans="1:4" x14ac:dyDescent="0.3">
      <c r="A985" s="2"/>
      <c r="B985" s="158"/>
      <c r="C985" s="234"/>
      <c r="D985" t="str">
        <f>IF(allExpenses_table[[#This Row],[Date]]="","",TEXT(allExpenses_table[[#This Row],[Date]],"mmmm"))</f>
        <v/>
      </c>
    </row>
    <row r="986" spans="1:4" x14ac:dyDescent="0.3">
      <c r="A986" s="2"/>
      <c r="B986" s="158"/>
      <c r="C986" s="234"/>
      <c r="D986" t="str">
        <f>IF(allExpenses_table[[#This Row],[Date]]="","",TEXT(allExpenses_table[[#This Row],[Date]],"mmmm"))</f>
        <v/>
      </c>
    </row>
    <row r="987" spans="1:4" x14ac:dyDescent="0.3">
      <c r="A987" s="2"/>
      <c r="B987" s="158"/>
      <c r="C987" s="234"/>
      <c r="D987" t="str">
        <f>IF(allExpenses_table[[#This Row],[Date]]="","",TEXT(allExpenses_table[[#This Row],[Date]],"mmmm"))</f>
        <v/>
      </c>
    </row>
    <row r="988" spans="1:4" x14ac:dyDescent="0.3">
      <c r="A988" s="2"/>
      <c r="B988" s="158"/>
      <c r="C988" s="234"/>
      <c r="D988" t="str">
        <f>IF(allExpenses_table[[#This Row],[Date]]="","",TEXT(allExpenses_table[[#This Row],[Date]],"mmmm"))</f>
        <v/>
      </c>
    </row>
    <row r="989" spans="1:4" x14ac:dyDescent="0.3">
      <c r="A989" s="2"/>
      <c r="B989" s="158"/>
      <c r="C989" s="234"/>
      <c r="D989" t="str">
        <f>IF(allExpenses_table[[#This Row],[Date]]="","",TEXT(allExpenses_table[[#This Row],[Date]],"mmmm"))</f>
        <v/>
      </c>
    </row>
    <row r="990" spans="1:4" x14ac:dyDescent="0.3">
      <c r="A990" s="2"/>
      <c r="B990" s="158"/>
      <c r="C990" s="234"/>
      <c r="D990" t="str">
        <f>IF(allExpenses_table[[#This Row],[Date]]="","",TEXT(allExpenses_table[[#This Row],[Date]],"mmmm"))</f>
        <v/>
      </c>
    </row>
    <row r="991" spans="1:4" x14ac:dyDescent="0.3">
      <c r="A991" s="2"/>
      <c r="B991" s="158"/>
      <c r="C991" s="234"/>
      <c r="D991" t="str">
        <f>IF(allExpenses_table[[#This Row],[Date]]="","",TEXT(allExpenses_table[[#This Row],[Date]],"mmmm"))</f>
        <v/>
      </c>
    </row>
    <row r="992" spans="1:4" x14ac:dyDescent="0.3">
      <c r="A992" s="2"/>
      <c r="B992" s="158"/>
      <c r="C992" s="234"/>
      <c r="D992" t="str">
        <f>IF(allExpenses_table[[#This Row],[Date]]="","",TEXT(allExpenses_table[[#This Row],[Date]],"mmmm"))</f>
        <v/>
      </c>
    </row>
    <row r="993" spans="1:4" x14ac:dyDescent="0.3">
      <c r="A993" s="2"/>
      <c r="B993" s="158"/>
      <c r="C993" s="234"/>
      <c r="D993" t="str">
        <f>IF(allExpenses_table[[#This Row],[Date]]="","",TEXT(allExpenses_table[[#This Row],[Date]],"mmmm"))</f>
        <v/>
      </c>
    </row>
    <row r="994" spans="1:4" x14ac:dyDescent="0.3">
      <c r="A994" s="2"/>
      <c r="B994" s="158"/>
      <c r="C994" s="234"/>
      <c r="D994" t="str">
        <f>IF(allExpenses_table[[#This Row],[Date]]="","",TEXT(allExpenses_table[[#This Row],[Date]],"mmmm"))</f>
        <v/>
      </c>
    </row>
    <row r="995" spans="1:4" x14ac:dyDescent="0.3">
      <c r="A995" s="2"/>
      <c r="B995" s="158"/>
      <c r="C995" s="234"/>
      <c r="D995" t="str">
        <f>IF(allExpenses_table[[#This Row],[Date]]="","",TEXT(allExpenses_table[[#This Row],[Date]],"mmmm"))</f>
        <v/>
      </c>
    </row>
    <row r="996" spans="1:4" x14ac:dyDescent="0.3">
      <c r="A996" s="2"/>
      <c r="B996" s="158"/>
      <c r="C996" s="234"/>
      <c r="D996" t="str">
        <f>IF(allExpenses_table[[#This Row],[Date]]="","",TEXT(allExpenses_table[[#This Row],[Date]],"mmmm"))</f>
        <v/>
      </c>
    </row>
    <row r="997" spans="1:4" x14ac:dyDescent="0.3">
      <c r="A997" s="2"/>
      <c r="B997" s="158"/>
      <c r="C997" s="234"/>
      <c r="D997" t="str">
        <f>IF(allExpenses_table[[#This Row],[Date]]="","",TEXT(allExpenses_table[[#This Row],[Date]],"mmmm"))</f>
        <v/>
      </c>
    </row>
    <row r="998" spans="1:4" x14ac:dyDescent="0.3">
      <c r="A998" s="2"/>
      <c r="B998" s="158"/>
      <c r="C998" s="234"/>
      <c r="D998" t="str">
        <f>IF(allExpenses_table[[#This Row],[Date]]="","",TEXT(allExpenses_table[[#This Row],[Date]],"mmmm"))</f>
        <v/>
      </c>
    </row>
    <row r="999" spans="1:4" x14ac:dyDescent="0.3">
      <c r="A999" s="2"/>
      <c r="B999" s="158"/>
      <c r="C999" s="234"/>
      <c r="D999" t="str">
        <f>IF(allExpenses_table[[#This Row],[Date]]="","",TEXT(allExpenses_table[[#This Row],[Date]],"mmmm"))</f>
        <v/>
      </c>
    </row>
    <row r="1000" spans="1:4" x14ac:dyDescent="0.3">
      <c r="A1000" s="2"/>
      <c r="B1000" s="158"/>
      <c r="C1000" s="234"/>
      <c r="D1000" t="str">
        <f>IF(allExpenses_table[[#This Row],[Date]]="","",TEXT(allExpenses_table[[#This Row],[Date]],"mmmm"))</f>
        <v/>
      </c>
    </row>
  </sheetData>
  <mergeCells count="2">
    <mergeCell ref="H2:I2"/>
    <mergeCell ref="H1:J1"/>
  </mergeCells>
  <phoneticPr fontId="5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6BB7-225D-4B09-AC90-05B8F21D8B52}">
  <sheetPr codeName="Sheet25"/>
  <dimension ref="A1:I498"/>
  <sheetViews>
    <sheetView workbookViewId="0">
      <pane xSplit="2" ySplit="1" topLeftCell="C2" activePane="bottomRight" state="frozen"/>
      <selection activeCell="N20" sqref="N20"/>
      <selection pane="topRight" activeCell="N20" sqref="N20"/>
      <selection pane="bottomLeft" activeCell="N20" sqref="N20"/>
      <selection pane="bottomRight" activeCell="N20" sqref="N20"/>
    </sheetView>
  </sheetViews>
  <sheetFormatPr defaultRowHeight="14.4" x14ac:dyDescent="0.3"/>
  <cols>
    <col min="1" max="1" width="14.77734375" customWidth="1"/>
    <col min="2" max="2" width="16.88671875" customWidth="1"/>
    <col min="4" max="4" width="20" customWidth="1"/>
    <col min="5" max="5" width="15.44140625" customWidth="1"/>
    <col min="6" max="6" width="19" customWidth="1"/>
    <col min="7" max="7" width="15.6640625" customWidth="1"/>
    <col min="8" max="8" width="16.109375" customWidth="1"/>
    <col min="9" max="9" width="32.33203125" customWidth="1"/>
  </cols>
  <sheetData>
    <row r="1" spans="1:9" ht="18" customHeight="1" x14ac:dyDescent="0.3">
      <c r="A1" s="310" t="s">
        <v>247</v>
      </c>
      <c r="B1" s="311"/>
      <c r="D1" s="196" t="s">
        <v>49</v>
      </c>
      <c r="E1" s="197" t="s">
        <v>50</v>
      </c>
      <c r="F1" s="197" t="s">
        <v>47</v>
      </c>
      <c r="G1" s="197" t="s">
        <v>42</v>
      </c>
      <c r="H1" s="197" t="s">
        <v>48</v>
      </c>
      <c r="I1" s="198" t="s">
        <v>7</v>
      </c>
    </row>
    <row r="2" spans="1:9" x14ac:dyDescent="0.3">
      <c r="A2" s="47" t="s">
        <v>157</v>
      </c>
      <c r="B2" s="24" t="s">
        <v>162</v>
      </c>
      <c r="D2" s="235" t="str" cm="1">
        <f t="array" ref="D2:I6">IF($B$2="All",_xlfn._xlws.FILTER(allExpenses_table[], allExpenses_table[*Item Name] &lt;&gt; "", ""),_xlfn._xlws.FILTER(allExpenses_table[],allExpenses_table[Month]=$B$2,"No items purchased this month"))</f>
        <v>rent</v>
      </c>
      <c r="E2" s="200">
        <v>1000</v>
      </c>
      <c r="F2" s="216">
        <v>46272</v>
      </c>
      <c r="G2" s="201" t="str">
        <v>September</v>
      </c>
      <c r="H2" s="201">
        <v>0</v>
      </c>
      <c r="I2" s="202">
        <v>0</v>
      </c>
    </row>
    <row r="3" spans="1:9" x14ac:dyDescent="0.3">
      <c r="A3" s="84" t="s">
        <v>235</v>
      </c>
      <c r="B3" s="280">
        <f>IF(D2 = "No items purchased this month", 0, COUNTA(D2:D500))</f>
        <v>5</v>
      </c>
      <c r="D3" s="203" t="str">
        <v>electricity</v>
      </c>
      <c r="E3" s="204">
        <v>200</v>
      </c>
      <c r="F3" s="217">
        <v>46272</v>
      </c>
      <c r="G3" s="192" t="str">
        <v>September</v>
      </c>
      <c r="H3" s="192">
        <v>0</v>
      </c>
      <c r="I3" s="52">
        <v>0</v>
      </c>
    </row>
    <row r="4" spans="1:9" x14ac:dyDescent="0.3">
      <c r="A4" s="47" t="s">
        <v>268</v>
      </c>
      <c r="B4" s="281">
        <f>SUM(E2:E500)</f>
        <v>2030</v>
      </c>
      <c r="D4" s="199" t="str">
        <v>water</v>
      </c>
      <c r="E4" s="200">
        <v>200</v>
      </c>
      <c r="F4" s="216">
        <v>46272</v>
      </c>
      <c r="G4" s="193" t="str">
        <v>September</v>
      </c>
      <c r="H4" s="193">
        <v>0</v>
      </c>
      <c r="I4" s="194">
        <v>0</v>
      </c>
    </row>
    <row r="5" spans="1:9" x14ac:dyDescent="0.3">
      <c r="D5" s="203" t="str">
        <v>ads</v>
      </c>
      <c r="E5" s="204">
        <v>30</v>
      </c>
      <c r="F5" s="217">
        <v>46272</v>
      </c>
      <c r="G5" s="192" t="str">
        <v>September</v>
      </c>
      <c r="H5" s="192">
        <v>0</v>
      </c>
      <c r="I5" s="52">
        <v>0</v>
      </c>
    </row>
    <row r="6" spans="1:9" x14ac:dyDescent="0.3">
      <c r="D6" s="199" t="str">
        <v>ads</v>
      </c>
      <c r="E6" s="200">
        <v>600</v>
      </c>
      <c r="F6" s="216">
        <v>46272</v>
      </c>
      <c r="G6" s="193" t="str">
        <v>September</v>
      </c>
      <c r="H6" s="193">
        <v>0</v>
      </c>
      <c r="I6" s="194">
        <v>0</v>
      </c>
    </row>
    <row r="7" spans="1:9" x14ac:dyDescent="0.3">
      <c r="D7" s="203"/>
      <c r="E7" s="204"/>
      <c r="F7" s="217"/>
      <c r="G7" s="192"/>
      <c r="H7" s="192"/>
      <c r="I7" s="52"/>
    </row>
    <row r="8" spans="1:9" x14ac:dyDescent="0.3">
      <c r="D8" s="199"/>
      <c r="E8" s="200"/>
      <c r="F8" s="216"/>
      <c r="G8" s="193"/>
      <c r="H8" s="193"/>
      <c r="I8" s="194"/>
    </row>
    <row r="9" spans="1:9" x14ac:dyDescent="0.3">
      <c r="D9" s="203"/>
      <c r="E9" s="204"/>
      <c r="F9" s="217"/>
      <c r="G9" s="192"/>
      <c r="H9" s="192"/>
      <c r="I9" s="52"/>
    </row>
    <row r="10" spans="1:9" x14ac:dyDescent="0.3">
      <c r="D10" s="199"/>
      <c r="E10" s="200"/>
      <c r="F10" s="216"/>
      <c r="G10" s="193"/>
      <c r="H10" s="193"/>
      <c r="I10" s="194"/>
    </row>
    <row r="11" spans="1:9" x14ac:dyDescent="0.3">
      <c r="D11" s="203"/>
      <c r="E11" s="204"/>
      <c r="F11" s="217"/>
      <c r="G11" s="192"/>
      <c r="H11" s="192"/>
      <c r="I11" s="52"/>
    </row>
    <row r="12" spans="1:9" x14ac:dyDescent="0.3">
      <c r="D12" s="199"/>
      <c r="E12" s="200"/>
      <c r="F12" s="216"/>
      <c r="G12" s="193"/>
      <c r="H12" s="193"/>
      <c r="I12" s="194"/>
    </row>
    <row r="13" spans="1:9" x14ac:dyDescent="0.3">
      <c r="D13" s="203"/>
      <c r="E13" s="204"/>
      <c r="F13" s="217"/>
      <c r="G13" s="192"/>
      <c r="H13" s="192"/>
      <c r="I13" s="52"/>
    </row>
    <row r="14" spans="1:9" x14ac:dyDescent="0.3">
      <c r="D14" s="199"/>
      <c r="E14" s="200"/>
      <c r="F14" s="216"/>
      <c r="G14" s="193"/>
      <c r="H14" s="193"/>
      <c r="I14" s="194"/>
    </row>
    <row r="15" spans="1:9" x14ac:dyDescent="0.3">
      <c r="D15" s="203"/>
      <c r="E15" s="204"/>
      <c r="F15" s="217"/>
      <c r="G15" s="192"/>
      <c r="H15" s="192"/>
      <c r="I15" s="52"/>
    </row>
    <row r="16" spans="1:9" x14ac:dyDescent="0.3">
      <c r="D16" s="199"/>
      <c r="E16" s="200"/>
      <c r="F16" s="216"/>
      <c r="G16" s="193"/>
      <c r="H16" s="193"/>
      <c r="I16" s="194"/>
    </row>
    <row r="17" spans="4:9" x14ac:dyDescent="0.3">
      <c r="D17" s="203"/>
      <c r="E17" s="204"/>
      <c r="F17" s="217"/>
      <c r="G17" s="192"/>
      <c r="H17" s="192"/>
      <c r="I17" s="52"/>
    </row>
    <row r="18" spans="4:9" x14ac:dyDescent="0.3">
      <c r="D18" s="199"/>
      <c r="E18" s="200"/>
      <c r="F18" s="216"/>
      <c r="G18" s="193"/>
      <c r="H18" s="193"/>
      <c r="I18" s="194"/>
    </row>
    <row r="19" spans="4:9" x14ac:dyDescent="0.3">
      <c r="D19" s="203"/>
      <c r="E19" s="204"/>
      <c r="F19" s="217"/>
      <c r="G19" s="192"/>
      <c r="H19" s="192"/>
      <c r="I19" s="52"/>
    </row>
    <row r="20" spans="4:9" x14ac:dyDescent="0.3">
      <c r="D20" s="199"/>
      <c r="E20" s="200"/>
      <c r="F20" s="216"/>
      <c r="G20" s="193"/>
      <c r="H20" s="193"/>
      <c r="I20" s="194"/>
    </row>
    <row r="21" spans="4:9" x14ac:dyDescent="0.3">
      <c r="D21" s="203"/>
      <c r="E21" s="204"/>
      <c r="F21" s="217"/>
      <c r="G21" s="192"/>
      <c r="H21" s="192"/>
      <c r="I21" s="52"/>
    </row>
    <row r="22" spans="4:9" x14ac:dyDescent="0.3">
      <c r="D22" s="199"/>
      <c r="E22" s="200"/>
      <c r="F22" s="216"/>
      <c r="G22" s="193"/>
      <c r="H22" s="193"/>
      <c r="I22" s="194"/>
    </row>
    <row r="23" spans="4:9" x14ac:dyDescent="0.3">
      <c r="D23" s="203"/>
      <c r="E23" s="204"/>
      <c r="F23" s="217"/>
      <c r="G23" s="192"/>
      <c r="H23" s="192"/>
      <c r="I23" s="52"/>
    </row>
    <row r="24" spans="4:9" x14ac:dyDescent="0.3">
      <c r="D24" s="199"/>
      <c r="E24" s="200"/>
      <c r="F24" s="216"/>
      <c r="G24" s="193"/>
      <c r="H24" s="193"/>
      <c r="I24" s="194"/>
    </row>
    <row r="25" spans="4:9" x14ac:dyDescent="0.3">
      <c r="D25" s="203"/>
      <c r="E25" s="204"/>
      <c r="F25" s="217"/>
      <c r="G25" s="192"/>
      <c r="H25" s="192"/>
      <c r="I25" s="52"/>
    </row>
    <row r="26" spans="4:9" x14ac:dyDescent="0.3">
      <c r="D26" s="199"/>
      <c r="E26" s="200"/>
      <c r="F26" s="216"/>
      <c r="G26" s="193"/>
      <c r="H26" s="193"/>
      <c r="I26" s="194"/>
    </row>
    <row r="27" spans="4:9" x14ac:dyDescent="0.3">
      <c r="D27" s="203"/>
      <c r="E27" s="204"/>
      <c r="F27" s="217"/>
      <c r="G27" s="192"/>
      <c r="H27" s="192"/>
      <c r="I27" s="52"/>
    </row>
    <row r="28" spans="4:9" x14ac:dyDescent="0.3">
      <c r="D28" s="199"/>
      <c r="E28" s="200"/>
      <c r="F28" s="216"/>
      <c r="G28" s="193"/>
      <c r="H28" s="193"/>
      <c r="I28" s="194"/>
    </row>
    <row r="29" spans="4:9" x14ac:dyDescent="0.3">
      <c r="D29" s="203"/>
      <c r="E29" s="204"/>
      <c r="F29" s="217"/>
      <c r="G29" s="192"/>
      <c r="H29" s="192"/>
      <c r="I29" s="52"/>
    </row>
    <row r="30" spans="4:9" x14ac:dyDescent="0.3">
      <c r="D30" s="199"/>
      <c r="E30" s="200"/>
      <c r="F30" s="216"/>
      <c r="G30" s="193"/>
      <c r="H30" s="193"/>
      <c r="I30" s="194"/>
    </row>
    <row r="31" spans="4:9" x14ac:dyDescent="0.3">
      <c r="D31" s="203"/>
      <c r="E31" s="204"/>
      <c r="F31" s="217"/>
      <c r="G31" s="192"/>
      <c r="H31" s="192"/>
      <c r="I31" s="52"/>
    </row>
    <row r="32" spans="4:9" x14ac:dyDescent="0.3">
      <c r="D32" s="199"/>
      <c r="E32" s="200"/>
      <c r="F32" s="216"/>
      <c r="G32" s="193"/>
      <c r="H32" s="193"/>
      <c r="I32" s="194"/>
    </row>
    <row r="33" spans="4:9" x14ac:dyDescent="0.3">
      <c r="D33" s="203"/>
      <c r="E33" s="204"/>
      <c r="F33" s="217"/>
      <c r="G33" s="192"/>
      <c r="H33" s="192"/>
      <c r="I33" s="52"/>
    </row>
    <row r="34" spans="4:9" x14ac:dyDescent="0.3">
      <c r="D34" s="199"/>
      <c r="E34" s="200"/>
      <c r="F34" s="216"/>
      <c r="G34" s="193"/>
      <c r="H34" s="193"/>
      <c r="I34" s="194"/>
    </row>
    <row r="35" spans="4:9" x14ac:dyDescent="0.3">
      <c r="D35" s="203"/>
      <c r="E35" s="204"/>
      <c r="F35" s="217"/>
      <c r="G35" s="192"/>
      <c r="H35" s="192"/>
      <c r="I35" s="52"/>
    </row>
    <row r="36" spans="4:9" x14ac:dyDescent="0.3">
      <c r="D36" s="199"/>
      <c r="E36" s="200"/>
      <c r="F36" s="216"/>
      <c r="G36" s="193"/>
      <c r="H36" s="193"/>
      <c r="I36" s="194"/>
    </row>
    <row r="37" spans="4:9" x14ac:dyDescent="0.3">
      <c r="D37" s="203"/>
      <c r="E37" s="204"/>
      <c r="F37" s="217"/>
      <c r="G37" s="192"/>
      <c r="H37" s="192"/>
      <c r="I37" s="52"/>
    </row>
    <row r="38" spans="4:9" x14ac:dyDescent="0.3">
      <c r="D38" s="199"/>
      <c r="E38" s="200"/>
      <c r="F38" s="216"/>
      <c r="G38" s="193"/>
      <c r="H38" s="193"/>
      <c r="I38" s="194"/>
    </row>
    <row r="39" spans="4:9" x14ac:dyDescent="0.3">
      <c r="D39" s="203"/>
      <c r="E39" s="204"/>
      <c r="F39" s="217"/>
      <c r="G39" s="192"/>
      <c r="H39" s="192"/>
      <c r="I39" s="52"/>
    </row>
    <row r="40" spans="4:9" x14ac:dyDescent="0.3">
      <c r="D40" s="199"/>
      <c r="E40" s="200"/>
      <c r="F40" s="216"/>
      <c r="G40" s="193"/>
      <c r="H40" s="193"/>
      <c r="I40" s="194"/>
    </row>
    <row r="41" spans="4:9" x14ac:dyDescent="0.3">
      <c r="D41" s="203"/>
      <c r="E41" s="204"/>
      <c r="F41" s="217"/>
      <c r="G41" s="192"/>
      <c r="H41" s="192"/>
      <c r="I41" s="52"/>
    </row>
    <row r="42" spans="4:9" x14ac:dyDescent="0.3">
      <c r="D42" s="199"/>
      <c r="E42" s="200"/>
      <c r="F42" s="216"/>
      <c r="G42" s="193"/>
      <c r="H42" s="193"/>
      <c r="I42" s="194"/>
    </row>
    <row r="43" spans="4:9" x14ac:dyDescent="0.3">
      <c r="D43" s="203"/>
      <c r="E43" s="204"/>
      <c r="F43" s="217"/>
      <c r="G43" s="192"/>
      <c r="H43" s="192"/>
      <c r="I43" s="52"/>
    </row>
    <row r="44" spans="4:9" x14ac:dyDescent="0.3">
      <c r="D44" s="199"/>
      <c r="E44" s="200"/>
      <c r="F44" s="216"/>
      <c r="G44" s="193"/>
      <c r="H44" s="193"/>
      <c r="I44" s="194"/>
    </row>
    <row r="45" spans="4:9" x14ac:dyDescent="0.3">
      <c r="D45" s="203"/>
      <c r="E45" s="204"/>
      <c r="F45" s="217"/>
      <c r="G45" s="192"/>
      <c r="H45" s="192"/>
      <c r="I45" s="52"/>
    </row>
    <row r="46" spans="4:9" x14ac:dyDescent="0.3">
      <c r="D46" s="199"/>
      <c r="E46" s="200"/>
      <c r="F46" s="216"/>
      <c r="G46" s="193"/>
      <c r="H46" s="193"/>
      <c r="I46" s="194"/>
    </row>
    <row r="47" spans="4:9" x14ac:dyDescent="0.3">
      <c r="D47" s="203"/>
      <c r="E47" s="204"/>
      <c r="F47" s="217"/>
      <c r="G47" s="192"/>
      <c r="H47" s="192"/>
      <c r="I47" s="52"/>
    </row>
    <row r="48" spans="4:9" x14ac:dyDescent="0.3">
      <c r="D48" s="199"/>
      <c r="E48" s="200"/>
      <c r="F48" s="216"/>
      <c r="G48" s="193"/>
      <c r="H48" s="193"/>
      <c r="I48" s="194"/>
    </row>
    <row r="49" spans="4:9" x14ac:dyDescent="0.3">
      <c r="D49" s="203"/>
      <c r="E49" s="204"/>
      <c r="F49" s="217"/>
      <c r="G49" s="192"/>
      <c r="H49" s="192"/>
      <c r="I49" s="52"/>
    </row>
    <row r="50" spans="4:9" x14ac:dyDescent="0.3">
      <c r="D50" s="199"/>
      <c r="E50" s="200"/>
      <c r="F50" s="216"/>
      <c r="G50" s="193"/>
      <c r="H50" s="193"/>
      <c r="I50" s="194"/>
    </row>
    <row r="51" spans="4:9" x14ac:dyDescent="0.3">
      <c r="D51" s="203"/>
      <c r="E51" s="204"/>
      <c r="F51" s="217"/>
      <c r="G51" s="192"/>
      <c r="H51" s="192"/>
      <c r="I51" s="52"/>
    </row>
    <row r="52" spans="4:9" x14ac:dyDescent="0.3">
      <c r="D52" s="199"/>
      <c r="E52" s="200"/>
      <c r="F52" s="216"/>
      <c r="G52" s="193"/>
      <c r="H52" s="193"/>
      <c r="I52" s="194"/>
    </row>
    <row r="53" spans="4:9" x14ac:dyDescent="0.3">
      <c r="D53" s="203"/>
      <c r="E53" s="204"/>
      <c r="F53" s="217"/>
      <c r="G53" s="192"/>
      <c r="H53" s="192"/>
      <c r="I53" s="52"/>
    </row>
    <row r="54" spans="4:9" x14ac:dyDescent="0.3">
      <c r="D54" s="199"/>
      <c r="E54" s="200"/>
      <c r="F54" s="216"/>
      <c r="G54" s="193"/>
      <c r="H54" s="193"/>
      <c r="I54" s="194"/>
    </row>
    <row r="55" spans="4:9" x14ac:dyDescent="0.3">
      <c r="D55" s="203"/>
      <c r="E55" s="204"/>
      <c r="F55" s="217"/>
      <c r="G55" s="192"/>
      <c r="H55" s="192"/>
      <c r="I55" s="52"/>
    </row>
    <row r="56" spans="4:9" x14ac:dyDescent="0.3">
      <c r="D56" s="199"/>
      <c r="E56" s="200"/>
      <c r="F56" s="216"/>
      <c r="G56" s="193"/>
      <c r="H56" s="193"/>
      <c r="I56" s="194"/>
    </row>
    <row r="57" spans="4:9" x14ac:dyDescent="0.3">
      <c r="D57" s="203"/>
      <c r="E57" s="204"/>
      <c r="F57" s="217"/>
      <c r="G57" s="192"/>
      <c r="H57" s="192"/>
      <c r="I57" s="52"/>
    </row>
    <row r="58" spans="4:9" x14ac:dyDescent="0.3">
      <c r="D58" s="199"/>
      <c r="E58" s="200"/>
      <c r="F58" s="216"/>
      <c r="G58" s="193"/>
      <c r="H58" s="193"/>
      <c r="I58" s="194"/>
    </row>
    <row r="59" spans="4:9" x14ac:dyDescent="0.3">
      <c r="D59" s="203"/>
      <c r="E59" s="204"/>
      <c r="F59" s="217"/>
      <c r="G59" s="192"/>
      <c r="H59" s="192"/>
      <c r="I59" s="52"/>
    </row>
    <row r="60" spans="4:9" x14ac:dyDescent="0.3">
      <c r="D60" s="199"/>
      <c r="E60" s="200"/>
      <c r="F60" s="216"/>
      <c r="G60" s="193"/>
      <c r="H60" s="193"/>
      <c r="I60" s="194"/>
    </row>
    <row r="61" spans="4:9" x14ac:dyDescent="0.3">
      <c r="D61" s="203"/>
      <c r="E61" s="204"/>
      <c r="F61" s="217"/>
      <c r="G61" s="192"/>
      <c r="H61" s="192"/>
      <c r="I61" s="52"/>
    </row>
    <row r="62" spans="4:9" x14ac:dyDescent="0.3">
      <c r="D62" s="199"/>
      <c r="E62" s="200"/>
      <c r="F62" s="216"/>
      <c r="G62" s="193"/>
      <c r="H62" s="193"/>
      <c r="I62" s="194"/>
    </row>
    <row r="63" spans="4:9" x14ac:dyDescent="0.3">
      <c r="D63" s="203"/>
      <c r="E63" s="204"/>
      <c r="F63" s="217"/>
      <c r="G63" s="192"/>
      <c r="H63" s="192"/>
      <c r="I63" s="52"/>
    </row>
    <row r="64" spans="4:9" x14ac:dyDescent="0.3">
      <c r="D64" s="199"/>
      <c r="E64" s="200"/>
      <c r="F64" s="216"/>
      <c r="G64" s="193"/>
      <c r="H64" s="193"/>
      <c r="I64" s="194"/>
    </row>
    <row r="65" spans="4:9" x14ac:dyDescent="0.3">
      <c r="D65" s="203"/>
      <c r="E65" s="204"/>
      <c r="F65" s="217"/>
      <c r="G65" s="192"/>
      <c r="H65" s="192"/>
      <c r="I65" s="52"/>
    </row>
    <row r="66" spans="4:9" x14ac:dyDescent="0.3">
      <c r="D66" s="199"/>
      <c r="E66" s="200"/>
      <c r="F66" s="216"/>
      <c r="G66" s="193"/>
      <c r="H66" s="193"/>
      <c r="I66" s="194"/>
    </row>
    <row r="67" spans="4:9" x14ac:dyDescent="0.3">
      <c r="D67" s="203"/>
      <c r="E67" s="204"/>
      <c r="F67" s="217"/>
      <c r="G67" s="192"/>
      <c r="H67" s="192"/>
      <c r="I67" s="52"/>
    </row>
    <row r="68" spans="4:9" x14ac:dyDescent="0.3">
      <c r="D68" s="199"/>
      <c r="E68" s="200"/>
      <c r="F68" s="216"/>
      <c r="G68" s="193"/>
      <c r="H68" s="193"/>
      <c r="I68" s="194"/>
    </row>
    <row r="69" spans="4:9" x14ac:dyDescent="0.3">
      <c r="D69" s="203"/>
      <c r="E69" s="204"/>
      <c r="F69" s="217"/>
      <c r="G69" s="192"/>
      <c r="H69" s="192"/>
      <c r="I69" s="52"/>
    </row>
    <row r="70" spans="4:9" x14ac:dyDescent="0.3">
      <c r="D70" s="199"/>
      <c r="E70" s="200"/>
      <c r="F70" s="216"/>
      <c r="G70" s="193"/>
      <c r="H70" s="193"/>
      <c r="I70" s="194"/>
    </row>
    <row r="71" spans="4:9" x14ac:dyDescent="0.3">
      <c r="D71" s="203"/>
      <c r="E71" s="204"/>
      <c r="F71" s="217"/>
      <c r="G71" s="192"/>
      <c r="H71" s="192"/>
      <c r="I71" s="52"/>
    </row>
    <row r="72" spans="4:9" x14ac:dyDescent="0.3">
      <c r="D72" s="199"/>
      <c r="E72" s="200"/>
      <c r="F72" s="216"/>
      <c r="G72" s="193"/>
      <c r="H72" s="193"/>
      <c r="I72" s="194"/>
    </row>
    <row r="73" spans="4:9" x14ac:dyDescent="0.3">
      <c r="D73" s="203"/>
      <c r="E73" s="204"/>
      <c r="F73" s="217"/>
      <c r="G73" s="192"/>
      <c r="H73" s="192"/>
      <c r="I73" s="52"/>
    </row>
    <row r="74" spans="4:9" x14ac:dyDescent="0.3">
      <c r="D74" s="199"/>
      <c r="E74" s="200"/>
      <c r="F74" s="216"/>
      <c r="G74" s="193"/>
      <c r="H74" s="193"/>
      <c r="I74" s="194"/>
    </row>
    <row r="75" spans="4:9" x14ac:dyDescent="0.3">
      <c r="D75" s="203"/>
      <c r="E75" s="204"/>
      <c r="F75" s="217"/>
      <c r="G75" s="192"/>
      <c r="H75" s="192"/>
      <c r="I75" s="52"/>
    </row>
    <row r="76" spans="4:9" x14ac:dyDescent="0.3">
      <c r="D76" s="199"/>
      <c r="E76" s="200"/>
      <c r="F76" s="216"/>
      <c r="G76" s="193"/>
      <c r="H76" s="193"/>
      <c r="I76" s="194"/>
    </row>
    <row r="77" spans="4:9" x14ac:dyDescent="0.3">
      <c r="D77" s="203"/>
      <c r="E77" s="204"/>
      <c r="F77" s="217"/>
      <c r="G77" s="192"/>
      <c r="H77" s="192"/>
      <c r="I77" s="52"/>
    </row>
    <row r="78" spans="4:9" x14ac:dyDescent="0.3">
      <c r="D78" s="199"/>
      <c r="E78" s="200"/>
      <c r="F78" s="216"/>
      <c r="G78" s="193"/>
      <c r="H78" s="193"/>
      <c r="I78" s="194"/>
    </row>
    <row r="79" spans="4:9" x14ac:dyDescent="0.3">
      <c r="D79" s="203"/>
      <c r="E79" s="204"/>
      <c r="F79" s="217"/>
      <c r="G79" s="192"/>
      <c r="H79" s="192"/>
      <c r="I79" s="52"/>
    </row>
    <row r="80" spans="4:9" x14ac:dyDescent="0.3">
      <c r="D80" s="199"/>
      <c r="E80" s="200"/>
      <c r="F80" s="216"/>
      <c r="G80" s="193"/>
      <c r="H80" s="193"/>
      <c r="I80" s="194"/>
    </row>
    <row r="81" spans="4:9" x14ac:dyDescent="0.3">
      <c r="D81" s="203"/>
      <c r="E81" s="204"/>
      <c r="F81" s="217"/>
      <c r="G81" s="192"/>
      <c r="H81" s="192"/>
      <c r="I81" s="52"/>
    </row>
    <row r="82" spans="4:9" x14ac:dyDescent="0.3">
      <c r="D82" s="199"/>
      <c r="E82" s="200"/>
      <c r="F82" s="216"/>
      <c r="G82" s="193"/>
      <c r="H82" s="193"/>
      <c r="I82" s="194"/>
    </row>
    <row r="83" spans="4:9" x14ac:dyDescent="0.3">
      <c r="D83" s="203"/>
      <c r="E83" s="204"/>
      <c r="F83" s="217"/>
      <c r="G83" s="192"/>
      <c r="H83" s="192"/>
      <c r="I83" s="52"/>
    </row>
    <row r="84" spans="4:9" x14ac:dyDescent="0.3">
      <c r="D84" s="199"/>
      <c r="E84" s="200"/>
      <c r="F84" s="216"/>
      <c r="G84" s="193"/>
      <c r="H84" s="193"/>
      <c r="I84" s="194"/>
    </row>
    <row r="85" spans="4:9" x14ac:dyDescent="0.3">
      <c r="D85" s="203"/>
      <c r="E85" s="204"/>
      <c r="F85" s="217"/>
      <c r="G85" s="192"/>
      <c r="H85" s="192"/>
      <c r="I85" s="52"/>
    </row>
    <row r="86" spans="4:9" x14ac:dyDescent="0.3">
      <c r="D86" s="199"/>
      <c r="E86" s="200"/>
      <c r="F86" s="216"/>
      <c r="G86" s="193"/>
      <c r="H86" s="193"/>
      <c r="I86" s="194"/>
    </row>
    <row r="87" spans="4:9" x14ac:dyDescent="0.3">
      <c r="D87" s="203"/>
      <c r="E87" s="204"/>
      <c r="F87" s="217"/>
      <c r="G87" s="192"/>
      <c r="H87" s="192"/>
      <c r="I87" s="52"/>
    </row>
    <row r="88" spans="4:9" x14ac:dyDescent="0.3">
      <c r="D88" s="199"/>
      <c r="E88" s="200"/>
      <c r="F88" s="216"/>
      <c r="G88" s="193"/>
      <c r="H88" s="193"/>
      <c r="I88" s="194"/>
    </row>
    <row r="89" spans="4:9" x14ac:dyDescent="0.3">
      <c r="D89" s="203"/>
      <c r="E89" s="204"/>
      <c r="F89" s="217"/>
      <c r="G89" s="192"/>
      <c r="H89" s="192"/>
      <c r="I89" s="52"/>
    </row>
    <row r="90" spans="4:9" x14ac:dyDescent="0.3">
      <c r="D90" s="199"/>
      <c r="E90" s="200"/>
      <c r="F90" s="216"/>
      <c r="G90" s="193"/>
      <c r="H90" s="193"/>
      <c r="I90" s="194"/>
    </row>
    <row r="91" spans="4:9" x14ac:dyDescent="0.3">
      <c r="D91" s="203"/>
      <c r="E91" s="204"/>
      <c r="F91" s="217"/>
      <c r="G91" s="192"/>
      <c r="H91" s="192"/>
      <c r="I91" s="52"/>
    </row>
    <row r="92" spans="4:9" x14ac:dyDescent="0.3">
      <c r="D92" s="199"/>
      <c r="E92" s="200"/>
      <c r="F92" s="216"/>
      <c r="G92" s="193"/>
      <c r="H92" s="193"/>
      <c r="I92" s="194"/>
    </row>
    <row r="93" spans="4:9" x14ac:dyDescent="0.3">
      <c r="D93" s="203"/>
      <c r="E93" s="204"/>
      <c r="F93" s="217"/>
      <c r="G93" s="192"/>
      <c r="H93" s="192"/>
      <c r="I93" s="52"/>
    </row>
    <row r="94" spans="4:9" x14ac:dyDescent="0.3">
      <c r="D94" s="199"/>
      <c r="E94" s="200"/>
      <c r="F94" s="216"/>
      <c r="G94" s="193"/>
      <c r="H94" s="193"/>
      <c r="I94" s="194"/>
    </row>
    <row r="95" spans="4:9" x14ac:dyDescent="0.3">
      <c r="D95" s="203"/>
      <c r="E95" s="204"/>
      <c r="F95" s="217"/>
      <c r="G95" s="192"/>
      <c r="H95" s="192"/>
      <c r="I95" s="52"/>
    </row>
    <row r="96" spans="4:9" x14ac:dyDescent="0.3">
      <c r="D96" s="199"/>
      <c r="E96" s="200"/>
      <c r="F96" s="216"/>
      <c r="G96" s="193"/>
      <c r="H96" s="193"/>
      <c r="I96" s="194"/>
    </row>
    <row r="97" spans="4:9" x14ac:dyDescent="0.3">
      <c r="D97" s="203"/>
      <c r="E97" s="204"/>
      <c r="F97" s="217"/>
      <c r="G97" s="192"/>
      <c r="H97" s="192"/>
      <c r="I97" s="52"/>
    </row>
    <row r="98" spans="4:9" x14ac:dyDescent="0.3">
      <c r="D98" s="199"/>
      <c r="E98" s="200"/>
      <c r="F98" s="216"/>
      <c r="G98" s="193"/>
      <c r="H98" s="193"/>
      <c r="I98" s="194"/>
    </row>
    <row r="99" spans="4:9" x14ac:dyDescent="0.3">
      <c r="D99" s="203"/>
      <c r="E99" s="204"/>
      <c r="F99" s="217"/>
      <c r="G99" s="192"/>
      <c r="H99" s="192"/>
      <c r="I99" s="52"/>
    </row>
    <row r="100" spans="4:9" x14ac:dyDescent="0.3">
      <c r="D100" s="199"/>
      <c r="E100" s="200"/>
      <c r="F100" s="216"/>
      <c r="G100" s="193"/>
      <c r="H100" s="193"/>
      <c r="I100" s="194"/>
    </row>
    <row r="101" spans="4:9" x14ac:dyDescent="0.3">
      <c r="D101" s="203"/>
      <c r="E101" s="204"/>
      <c r="F101" s="217"/>
      <c r="G101" s="192"/>
      <c r="H101" s="192"/>
      <c r="I101" s="52"/>
    </row>
    <row r="102" spans="4:9" x14ac:dyDescent="0.3">
      <c r="D102" s="199"/>
      <c r="E102" s="200"/>
      <c r="F102" s="216"/>
      <c r="G102" s="193"/>
      <c r="H102" s="193"/>
      <c r="I102" s="194"/>
    </row>
    <row r="103" spans="4:9" x14ac:dyDescent="0.3">
      <c r="D103" s="203"/>
      <c r="E103" s="204"/>
      <c r="F103" s="217"/>
      <c r="G103" s="192"/>
      <c r="H103" s="192"/>
      <c r="I103" s="52"/>
    </row>
    <row r="104" spans="4:9" x14ac:dyDescent="0.3">
      <c r="D104" s="199"/>
      <c r="E104" s="200"/>
      <c r="F104" s="216"/>
      <c r="G104" s="193"/>
      <c r="H104" s="193"/>
      <c r="I104" s="194"/>
    </row>
    <row r="105" spans="4:9" x14ac:dyDescent="0.3">
      <c r="D105" s="203"/>
      <c r="E105" s="204"/>
      <c r="F105" s="217"/>
      <c r="G105" s="192"/>
      <c r="H105" s="192"/>
      <c r="I105" s="52"/>
    </row>
    <row r="106" spans="4:9" x14ac:dyDescent="0.3">
      <c r="D106" s="199"/>
      <c r="E106" s="200"/>
      <c r="F106" s="216"/>
      <c r="G106" s="193"/>
      <c r="H106" s="193"/>
      <c r="I106" s="194"/>
    </row>
    <row r="107" spans="4:9" x14ac:dyDescent="0.3">
      <c r="D107" s="203"/>
      <c r="E107" s="204"/>
      <c r="F107" s="217"/>
      <c r="G107" s="192"/>
      <c r="H107" s="192"/>
      <c r="I107" s="52"/>
    </row>
    <row r="108" spans="4:9" x14ac:dyDescent="0.3">
      <c r="D108" s="199"/>
      <c r="E108" s="200"/>
      <c r="F108" s="216"/>
      <c r="G108" s="193"/>
      <c r="H108" s="193"/>
      <c r="I108" s="194"/>
    </row>
    <row r="109" spans="4:9" x14ac:dyDescent="0.3">
      <c r="D109" s="203"/>
      <c r="E109" s="204"/>
      <c r="F109" s="217"/>
      <c r="G109" s="192"/>
      <c r="H109" s="192"/>
      <c r="I109" s="52"/>
    </row>
    <row r="110" spans="4:9" x14ac:dyDescent="0.3">
      <c r="D110" s="199"/>
      <c r="E110" s="200"/>
      <c r="F110" s="216"/>
      <c r="G110" s="193"/>
      <c r="H110" s="193"/>
      <c r="I110" s="194"/>
    </row>
    <row r="111" spans="4:9" x14ac:dyDescent="0.3">
      <c r="D111" s="203"/>
      <c r="E111" s="204"/>
      <c r="F111" s="217"/>
      <c r="G111" s="192"/>
      <c r="H111" s="192"/>
      <c r="I111" s="52"/>
    </row>
    <row r="112" spans="4:9" x14ac:dyDescent="0.3">
      <c r="D112" s="199"/>
      <c r="E112" s="200"/>
      <c r="F112" s="216"/>
      <c r="G112" s="193"/>
      <c r="H112" s="193"/>
      <c r="I112" s="194"/>
    </row>
    <row r="113" spans="4:9" x14ac:dyDescent="0.3">
      <c r="D113" s="203"/>
      <c r="E113" s="204"/>
      <c r="F113" s="217"/>
      <c r="G113" s="192"/>
      <c r="H113" s="192"/>
      <c r="I113" s="52"/>
    </row>
    <row r="114" spans="4:9" x14ac:dyDescent="0.3">
      <c r="D114" s="199"/>
      <c r="E114" s="200"/>
      <c r="F114" s="216"/>
      <c r="G114" s="193"/>
      <c r="H114" s="193"/>
      <c r="I114" s="194"/>
    </row>
    <row r="115" spans="4:9" x14ac:dyDescent="0.3">
      <c r="D115" s="203"/>
      <c r="E115" s="204"/>
      <c r="F115" s="217"/>
      <c r="G115" s="192"/>
      <c r="H115" s="192"/>
      <c r="I115" s="52"/>
    </row>
    <row r="116" spans="4:9" x14ac:dyDescent="0.3">
      <c r="D116" s="199"/>
      <c r="E116" s="200"/>
      <c r="F116" s="216"/>
      <c r="G116" s="193"/>
      <c r="H116" s="193"/>
      <c r="I116" s="194"/>
    </row>
    <row r="117" spans="4:9" x14ac:dyDescent="0.3">
      <c r="D117" s="203"/>
      <c r="E117" s="204"/>
      <c r="F117" s="217"/>
      <c r="G117" s="192"/>
      <c r="H117" s="192"/>
      <c r="I117" s="52"/>
    </row>
    <row r="118" spans="4:9" x14ac:dyDescent="0.3">
      <c r="D118" s="199"/>
      <c r="E118" s="200"/>
      <c r="F118" s="216"/>
      <c r="G118" s="193"/>
      <c r="H118" s="193"/>
      <c r="I118" s="194"/>
    </row>
    <row r="119" spans="4:9" x14ac:dyDescent="0.3">
      <c r="D119" s="203"/>
      <c r="E119" s="204"/>
      <c r="F119" s="217"/>
      <c r="G119" s="192"/>
      <c r="H119" s="192"/>
      <c r="I119" s="52"/>
    </row>
    <row r="120" spans="4:9" x14ac:dyDescent="0.3">
      <c r="D120" s="199"/>
      <c r="E120" s="200"/>
      <c r="F120" s="216"/>
      <c r="G120" s="193"/>
      <c r="H120" s="193"/>
      <c r="I120" s="194"/>
    </row>
    <row r="121" spans="4:9" x14ac:dyDescent="0.3">
      <c r="D121" s="203"/>
      <c r="E121" s="204"/>
      <c r="F121" s="217"/>
      <c r="G121" s="192"/>
      <c r="H121" s="192"/>
      <c r="I121" s="52"/>
    </row>
    <row r="122" spans="4:9" x14ac:dyDescent="0.3">
      <c r="D122" s="199"/>
      <c r="E122" s="200"/>
      <c r="F122" s="216"/>
      <c r="G122" s="193"/>
      <c r="H122" s="193"/>
      <c r="I122" s="194"/>
    </row>
    <row r="123" spans="4:9" x14ac:dyDescent="0.3">
      <c r="D123" s="203"/>
      <c r="E123" s="204"/>
      <c r="F123" s="217"/>
      <c r="G123" s="192"/>
      <c r="H123" s="192"/>
      <c r="I123" s="52"/>
    </row>
    <row r="124" spans="4:9" x14ac:dyDescent="0.3">
      <c r="D124" s="199"/>
      <c r="E124" s="200"/>
      <c r="F124" s="216"/>
      <c r="G124" s="193"/>
      <c r="H124" s="193"/>
      <c r="I124" s="194"/>
    </row>
    <row r="125" spans="4:9" x14ac:dyDescent="0.3">
      <c r="D125" s="203"/>
      <c r="E125" s="204"/>
      <c r="F125" s="217"/>
      <c r="G125" s="192"/>
      <c r="H125" s="192"/>
      <c r="I125" s="52"/>
    </row>
    <row r="126" spans="4:9" x14ac:dyDescent="0.3">
      <c r="D126" s="199"/>
      <c r="E126" s="200"/>
      <c r="F126" s="216"/>
      <c r="G126" s="193"/>
      <c r="H126" s="193"/>
      <c r="I126" s="194"/>
    </row>
    <row r="127" spans="4:9" x14ac:dyDescent="0.3">
      <c r="D127" s="203"/>
      <c r="E127" s="204"/>
      <c r="F127" s="217"/>
      <c r="G127" s="192"/>
      <c r="H127" s="192"/>
      <c r="I127" s="52"/>
    </row>
    <row r="128" spans="4:9" x14ac:dyDescent="0.3">
      <c r="D128" s="199"/>
      <c r="E128" s="200"/>
      <c r="F128" s="216"/>
      <c r="G128" s="193"/>
      <c r="H128" s="193"/>
      <c r="I128" s="194"/>
    </row>
    <row r="129" spans="4:9" x14ac:dyDescent="0.3">
      <c r="D129" s="203"/>
      <c r="E129" s="204"/>
      <c r="F129" s="217"/>
      <c r="G129" s="192"/>
      <c r="H129" s="192"/>
      <c r="I129" s="52"/>
    </row>
    <row r="130" spans="4:9" x14ac:dyDescent="0.3">
      <c r="D130" s="199"/>
      <c r="E130" s="200"/>
      <c r="F130" s="216"/>
      <c r="G130" s="193"/>
      <c r="H130" s="193"/>
      <c r="I130" s="194"/>
    </row>
    <row r="131" spans="4:9" x14ac:dyDescent="0.3">
      <c r="D131" s="203"/>
      <c r="E131" s="204"/>
      <c r="F131" s="217"/>
      <c r="G131" s="192"/>
      <c r="H131" s="192"/>
      <c r="I131" s="52"/>
    </row>
    <row r="132" spans="4:9" x14ac:dyDescent="0.3">
      <c r="D132" s="199"/>
      <c r="E132" s="200"/>
      <c r="F132" s="216"/>
      <c r="G132" s="193"/>
      <c r="H132" s="193"/>
      <c r="I132" s="194"/>
    </row>
    <row r="133" spans="4:9" x14ac:dyDescent="0.3">
      <c r="D133" s="203"/>
      <c r="E133" s="204"/>
      <c r="F133" s="217"/>
      <c r="G133" s="192"/>
      <c r="H133" s="192"/>
      <c r="I133" s="52"/>
    </row>
    <row r="134" spans="4:9" x14ac:dyDescent="0.3">
      <c r="D134" s="199"/>
      <c r="E134" s="200"/>
      <c r="F134" s="216"/>
      <c r="G134" s="193"/>
      <c r="H134" s="193"/>
      <c r="I134" s="194"/>
    </row>
    <row r="135" spans="4:9" x14ac:dyDescent="0.3">
      <c r="D135" s="203"/>
      <c r="E135" s="204"/>
      <c r="F135" s="217"/>
      <c r="G135" s="192"/>
      <c r="H135" s="192"/>
      <c r="I135" s="52"/>
    </row>
    <row r="136" spans="4:9" x14ac:dyDescent="0.3">
      <c r="D136" s="199"/>
      <c r="E136" s="200"/>
      <c r="F136" s="216"/>
      <c r="G136" s="193"/>
      <c r="H136" s="193"/>
      <c r="I136" s="194"/>
    </row>
    <row r="137" spans="4:9" x14ac:dyDescent="0.3">
      <c r="D137" s="203"/>
      <c r="E137" s="204"/>
      <c r="F137" s="217"/>
      <c r="G137" s="192"/>
      <c r="H137" s="192"/>
      <c r="I137" s="52"/>
    </row>
    <row r="138" spans="4:9" x14ac:dyDescent="0.3">
      <c r="D138" s="199"/>
      <c r="E138" s="200"/>
      <c r="F138" s="216"/>
      <c r="G138" s="193"/>
      <c r="H138" s="193"/>
      <c r="I138" s="194"/>
    </row>
    <row r="139" spans="4:9" x14ac:dyDescent="0.3">
      <c r="D139" s="203"/>
      <c r="E139" s="204"/>
      <c r="F139" s="217"/>
      <c r="G139" s="192"/>
      <c r="H139" s="192"/>
      <c r="I139" s="52"/>
    </row>
    <row r="140" spans="4:9" x14ac:dyDescent="0.3">
      <c r="D140" s="199"/>
      <c r="E140" s="200"/>
      <c r="F140" s="216"/>
      <c r="G140" s="193"/>
      <c r="H140" s="193"/>
      <c r="I140" s="194"/>
    </row>
    <row r="141" spans="4:9" x14ac:dyDescent="0.3">
      <c r="D141" s="203"/>
      <c r="E141" s="204"/>
      <c r="F141" s="217"/>
      <c r="G141" s="192"/>
      <c r="H141" s="192"/>
      <c r="I141" s="52"/>
    </row>
    <row r="142" spans="4:9" x14ac:dyDescent="0.3">
      <c r="D142" s="199"/>
      <c r="E142" s="200"/>
      <c r="F142" s="216"/>
      <c r="G142" s="193"/>
      <c r="H142" s="193"/>
      <c r="I142" s="194"/>
    </row>
    <row r="143" spans="4:9" x14ac:dyDescent="0.3">
      <c r="D143" s="203"/>
      <c r="E143" s="204"/>
      <c r="F143" s="217"/>
      <c r="G143" s="192"/>
      <c r="H143" s="192"/>
      <c r="I143" s="52"/>
    </row>
    <row r="144" spans="4:9" x14ac:dyDescent="0.3">
      <c r="D144" s="199"/>
      <c r="E144" s="200"/>
      <c r="F144" s="216"/>
      <c r="G144" s="193"/>
      <c r="H144" s="193"/>
      <c r="I144" s="194"/>
    </row>
    <row r="145" spans="4:9" x14ac:dyDescent="0.3">
      <c r="D145" s="203"/>
      <c r="E145" s="204"/>
      <c r="F145" s="217"/>
      <c r="G145" s="192"/>
      <c r="H145" s="192"/>
      <c r="I145" s="52"/>
    </row>
    <row r="146" spans="4:9" x14ac:dyDescent="0.3">
      <c r="D146" s="199"/>
      <c r="E146" s="200"/>
      <c r="F146" s="216"/>
      <c r="G146" s="193"/>
      <c r="H146" s="193"/>
      <c r="I146" s="194"/>
    </row>
    <row r="147" spans="4:9" x14ac:dyDescent="0.3">
      <c r="D147" s="203"/>
      <c r="E147" s="204"/>
      <c r="F147" s="217"/>
      <c r="G147" s="192"/>
      <c r="H147" s="192"/>
      <c r="I147" s="52"/>
    </row>
    <row r="148" spans="4:9" x14ac:dyDescent="0.3">
      <c r="D148" s="199"/>
      <c r="E148" s="200"/>
      <c r="F148" s="216"/>
      <c r="G148" s="193"/>
      <c r="H148" s="193"/>
      <c r="I148" s="194"/>
    </row>
    <row r="149" spans="4:9" x14ac:dyDescent="0.3">
      <c r="D149" s="203"/>
      <c r="E149" s="204"/>
      <c r="F149" s="217"/>
      <c r="G149" s="192"/>
      <c r="H149" s="192"/>
      <c r="I149" s="52"/>
    </row>
    <row r="150" spans="4:9" x14ac:dyDescent="0.3">
      <c r="D150" s="199"/>
      <c r="E150" s="200"/>
      <c r="F150" s="216"/>
      <c r="G150" s="193"/>
      <c r="H150" s="193"/>
      <c r="I150" s="194"/>
    </row>
    <row r="151" spans="4:9" x14ac:dyDescent="0.3">
      <c r="D151" s="203"/>
      <c r="E151" s="204"/>
      <c r="F151" s="217"/>
      <c r="G151" s="192"/>
      <c r="H151" s="192"/>
      <c r="I151" s="52"/>
    </row>
    <row r="152" spans="4:9" x14ac:dyDescent="0.3">
      <c r="D152" s="199"/>
      <c r="E152" s="200"/>
      <c r="F152" s="216"/>
      <c r="G152" s="193"/>
      <c r="H152" s="193"/>
      <c r="I152" s="194"/>
    </row>
    <row r="153" spans="4:9" x14ac:dyDescent="0.3">
      <c r="D153" s="203"/>
      <c r="E153" s="204"/>
      <c r="F153" s="217"/>
      <c r="G153" s="192"/>
      <c r="H153" s="192"/>
      <c r="I153" s="52"/>
    </row>
    <row r="154" spans="4:9" x14ac:dyDescent="0.3">
      <c r="D154" s="199"/>
      <c r="E154" s="200"/>
      <c r="F154" s="216"/>
      <c r="G154" s="193"/>
      <c r="H154" s="193"/>
      <c r="I154" s="194"/>
    </row>
    <row r="155" spans="4:9" x14ac:dyDescent="0.3">
      <c r="D155" s="203"/>
      <c r="E155" s="204"/>
      <c r="F155" s="217"/>
      <c r="G155" s="192"/>
      <c r="H155" s="192"/>
      <c r="I155" s="52"/>
    </row>
    <row r="156" spans="4:9" x14ac:dyDescent="0.3">
      <c r="D156" s="199"/>
      <c r="E156" s="200"/>
      <c r="F156" s="216"/>
      <c r="G156" s="193"/>
      <c r="H156" s="193"/>
      <c r="I156" s="194"/>
    </row>
    <row r="157" spans="4:9" x14ac:dyDescent="0.3">
      <c r="D157" s="203"/>
      <c r="E157" s="204"/>
      <c r="F157" s="217"/>
      <c r="G157" s="192"/>
      <c r="H157" s="192"/>
      <c r="I157" s="52"/>
    </row>
    <row r="158" spans="4:9" x14ac:dyDescent="0.3">
      <c r="D158" s="199"/>
      <c r="E158" s="200"/>
      <c r="F158" s="216"/>
      <c r="G158" s="193"/>
      <c r="H158" s="193"/>
      <c r="I158" s="194"/>
    </row>
    <row r="159" spans="4:9" x14ac:dyDescent="0.3">
      <c r="D159" s="203"/>
      <c r="E159" s="204"/>
      <c r="F159" s="217"/>
      <c r="G159" s="192"/>
      <c r="H159" s="192"/>
      <c r="I159" s="52"/>
    </row>
    <row r="160" spans="4:9" x14ac:dyDescent="0.3">
      <c r="D160" s="199"/>
      <c r="E160" s="200"/>
      <c r="F160" s="216"/>
      <c r="G160" s="193"/>
      <c r="H160" s="193"/>
      <c r="I160" s="194"/>
    </row>
    <row r="161" spans="4:9" x14ac:dyDescent="0.3">
      <c r="D161" s="203"/>
      <c r="E161" s="204"/>
      <c r="F161" s="217"/>
      <c r="G161" s="192"/>
      <c r="H161" s="192"/>
      <c r="I161" s="52"/>
    </row>
    <row r="162" spans="4:9" x14ac:dyDescent="0.3">
      <c r="D162" s="199"/>
      <c r="E162" s="200"/>
      <c r="F162" s="216"/>
      <c r="G162" s="193"/>
      <c r="H162" s="193"/>
      <c r="I162" s="194"/>
    </row>
    <row r="163" spans="4:9" x14ac:dyDescent="0.3">
      <c r="D163" s="203"/>
      <c r="E163" s="204"/>
      <c r="F163" s="217"/>
      <c r="G163" s="192"/>
      <c r="H163" s="192"/>
      <c r="I163" s="52"/>
    </row>
    <row r="164" spans="4:9" x14ac:dyDescent="0.3">
      <c r="D164" s="199"/>
      <c r="E164" s="200"/>
      <c r="F164" s="216"/>
      <c r="G164" s="193"/>
      <c r="H164" s="193"/>
      <c r="I164" s="194"/>
    </row>
    <row r="165" spans="4:9" x14ac:dyDescent="0.3">
      <c r="D165" s="203"/>
      <c r="E165" s="204"/>
      <c r="F165" s="217"/>
      <c r="G165" s="192"/>
      <c r="H165" s="192"/>
      <c r="I165" s="52"/>
    </row>
    <row r="166" spans="4:9" x14ac:dyDescent="0.3">
      <c r="D166" s="199"/>
      <c r="E166" s="200"/>
      <c r="F166" s="216"/>
      <c r="G166" s="193"/>
      <c r="H166" s="193"/>
      <c r="I166" s="194"/>
    </row>
    <row r="167" spans="4:9" x14ac:dyDescent="0.3">
      <c r="D167" s="203"/>
      <c r="E167" s="204"/>
      <c r="F167" s="217"/>
      <c r="G167" s="192"/>
      <c r="H167" s="192"/>
      <c r="I167" s="52"/>
    </row>
    <row r="168" spans="4:9" x14ac:dyDescent="0.3">
      <c r="D168" s="199"/>
      <c r="E168" s="200"/>
      <c r="F168" s="216"/>
      <c r="G168" s="193"/>
      <c r="H168" s="193"/>
      <c r="I168" s="194"/>
    </row>
    <row r="169" spans="4:9" x14ac:dyDescent="0.3">
      <c r="D169" s="203"/>
      <c r="E169" s="204"/>
      <c r="F169" s="217"/>
      <c r="G169" s="192"/>
      <c r="H169" s="192"/>
      <c r="I169" s="52"/>
    </row>
    <row r="170" spans="4:9" x14ac:dyDescent="0.3">
      <c r="D170" s="199"/>
      <c r="E170" s="200"/>
      <c r="F170" s="216"/>
      <c r="G170" s="193"/>
      <c r="H170" s="193"/>
      <c r="I170" s="194"/>
    </row>
    <row r="171" spans="4:9" x14ac:dyDescent="0.3">
      <c r="D171" s="203"/>
      <c r="E171" s="204"/>
      <c r="F171" s="217"/>
      <c r="G171" s="192"/>
      <c r="H171" s="192"/>
      <c r="I171" s="52"/>
    </row>
    <row r="172" spans="4:9" x14ac:dyDescent="0.3">
      <c r="D172" s="199"/>
      <c r="E172" s="200"/>
      <c r="F172" s="216"/>
      <c r="G172" s="193"/>
      <c r="H172" s="193"/>
      <c r="I172" s="194"/>
    </row>
    <row r="173" spans="4:9" x14ac:dyDescent="0.3">
      <c r="D173" s="203"/>
      <c r="E173" s="204"/>
      <c r="F173" s="217"/>
      <c r="G173" s="192"/>
      <c r="H173" s="192"/>
      <c r="I173" s="52"/>
    </row>
    <row r="174" spans="4:9" x14ac:dyDescent="0.3">
      <c r="D174" s="199"/>
      <c r="E174" s="200"/>
      <c r="F174" s="216"/>
      <c r="G174" s="193"/>
      <c r="H174" s="193"/>
      <c r="I174" s="194"/>
    </row>
    <row r="175" spans="4:9" x14ac:dyDescent="0.3">
      <c r="D175" s="203"/>
      <c r="E175" s="204"/>
      <c r="F175" s="217"/>
      <c r="G175" s="192"/>
      <c r="H175" s="192"/>
      <c r="I175" s="52"/>
    </row>
    <row r="176" spans="4:9" x14ac:dyDescent="0.3">
      <c r="D176" s="199"/>
      <c r="E176" s="200"/>
      <c r="F176" s="216"/>
      <c r="G176" s="193"/>
      <c r="H176" s="193"/>
      <c r="I176" s="194"/>
    </row>
    <row r="177" spans="4:9" x14ac:dyDescent="0.3">
      <c r="D177" s="203"/>
      <c r="E177" s="204"/>
      <c r="F177" s="217"/>
      <c r="G177" s="192"/>
      <c r="H177" s="192"/>
      <c r="I177" s="52"/>
    </row>
    <row r="178" spans="4:9" x14ac:dyDescent="0.3">
      <c r="D178" s="199"/>
      <c r="E178" s="200"/>
      <c r="F178" s="216"/>
      <c r="G178" s="193"/>
      <c r="H178" s="193"/>
      <c r="I178" s="194"/>
    </row>
    <row r="179" spans="4:9" x14ac:dyDescent="0.3">
      <c r="D179" s="203"/>
      <c r="E179" s="204"/>
      <c r="F179" s="217"/>
      <c r="G179" s="192"/>
      <c r="H179" s="192"/>
      <c r="I179" s="52"/>
    </row>
    <row r="180" spans="4:9" x14ac:dyDescent="0.3">
      <c r="D180" s="199"/>
      <c r="E180" s="200"/>
      <c r="F180" s="216"/>
      <c r="G180" s="193"/>
      <c r="H180" s="193"/>
      <c r="I180" s="194"/>
    </row>
    <row r="181" spans="4:9" x14ac:dyDescent="0.3">
      <c r="D181" s="203"/>
      <c r="E181" s="204"/>
      <c r="F181" s="217"/>
      <c r="G181" s="192"/>
      <c r="H181" s="192"/>
      <c r="I181" s="52"/>
    </row>
    <row r="182" spans="4:9" x14ac:dyDescent="0.3">
      <c r="D182" s="199"/>
      <c r="E182" s="200"/>
      <c r="F182" s="216"/>
      <c r="G182" s="193"/>
      <c r="H182" s="193"/>
      <c r="I182" s="194"/>
    </row>
    <row r="183" spans="4:9" x14ac:dyDescent="0.3">
      <c r="D183" s="203"/>
      <c r="E183" s="204"/>
      <c r="F183" s="217"/>
      <c r="G183" s="192"/>
      <c r="H183" s="192"/>
      <c r="I183" s="52"/>
    </row>
    <row r="184" spans="4:9" x14ac:dyDescent="0.3">
      <c r="D184" s="199"/>
      <c r="E184" s="200"/>
      <c r="F184" s="216"/>
      <c r="G184" s="193"/>
      <c r="H184" s="193"/>
      <c r="I184" s="194"/>
    </row>
    <row r="185" spans="4:9" x14ac:dyDescent="0.3">
      <c r="D185" s="203"/>
      <c r="E185" s="204"/>
      <c r="F185" s="217"/>
      <c r="G185" s="192"/>
      <c r="H185" s="192"/>
      <c r="I185" s="52"/>
    </row>
    <row r="186" spans="4:9" x14ac:dyDescent="0.3">
      <c r="D186" s="199"/>
      <c r="E186" s="200"/>
      <c r="F186" s="216"/>
      <c r="G186" s="193"/>
      <c r="H186" s="193"/>
      <c r="I186" s="194"/>
    </row>
    <row r="187" spans="4:9" x14ac:dyDescent="0.3">
      <c r="D187" s="203"/>
      <c r="E187" s="204"/>
      <c r="F187" s="217"/>
      <c r="G187" s="192"/>
      <c r="H187" s="192"/>
      <c r="I187" s="52"/>
    </row>
    <row r="188" spans="4:9" x14ac:dyDescent="0.3">
      <c r="D188" s="199"/>
      <c r="E188" s="200"/>
      <c r="F188" s="216"/>
      <c r="G188" s="193"/>
      <c r="H188" s="193"/>
      <c r="I188" s="194"/>
    </row>
    <row r="189" spans="4:9" x14ac:dyDescent="0.3">
      <c r="D189" s="203"/>
      <c r="E189" s="204"/>
      <c r="F189" s="217"/>
      <c r="G189" s="192"/>
      <c r="H189" s="192"/>
      <c r="I189" s="52"/>
    </row>
    <row r="190" spans="4:9" x14ac:dyDescent="0.3">
      <c r="D190" s="199"/>
      <c r="E190" s="200"/>
      <c r="F190" s="216"/>
      <c r="G190" s="193"/>
      <c r="H190" s="193"/>
      <c r="I190" s="194"/>
    </row>
    <row r="191" spans="4:9" x14ac:dyDescent="0.3">
      <c r="D191" s="203"/>
      <c r="E191" s="204"/>
      <c r="F191" s="217"/>
      <c r="G191" s="192"/>
      <c r="H191" s="192"/>
      <c r="I191" s="52"/>
    </row>
    <row r="192" spans="4:9" x14ac:dyDescent="0.3">
      <c r="D192" s="199"/>
      <c r="E192" s="200"/>
      <c r="F192" s="216"/>
      <c r="G192" s="193"/>
      <c r="H192" s="193"/>
      <c r="I192" s="194"/>
    </row>
    <row r="193" spans="4:9" x14ac:dyDescent="0.3">
      <c r="D193" s="203"/>
      <c r="E193" s="204"/>
      <c r="F193" s="217"/>
      <c r="G193" s="192"/>
      <c r="H193" s="192"/>
      <c r="I193" s="52"/>
    </row>
    <row r="194" spans="4:9" x14ac:dyDescent="0.3">
      <c r="D194" s="199"/>
      <c r="E194" s="200"/>
      <c r="F194" s="216"/>
      <c r="G194" s="193"/>
      <c r="H194" s="193"/>
      <c r="I194" s="194"/>
    </row>
    <row r="195" spans="4:9" x14ac:dyDescent="0.3">
      <c r="D195" s="203"/>
      <c r="E195" s="204"/>
      <c r="F195" s="217"/>
      <c r="G195" s="192"/>
      <c r="H195" s="192"/>
      <c r="I195" s="52"/>
    </row>
    <row r="196" spans="4:9" x14ac:dyDescent="0.3">
      <c r="D196" s="199"/>
      <c r="E196" s="200"/>
      <c r="F196" s="216"/>
      <c r="G196" s="193"/>
      <c r="H196" s="193"/>
      <c r="I196" s="194"/>
    </row>
    <row r="197" spans="4:9" x14ac:dyDescent="0.3">
      <c r="D197" s="203"/>
      <c r="E197" s="204"/>
      <c r="F197" s="217"/>
      <c r="G197" s="192"/>
      <c r="H197" s="192"/>
      <c r="I197" s="52"/>
    </row>
    <row r="198" spans="4:9" x14ac:dyDescent="0.3">
      <c r="D198" s="199"/>
      <c r="E198" s="200"/>
      <c r="F198" s="216"/>
      <c r="G198" s="193"/>
      <c r="H198" s="193"/>
      <c r="I198" s="194"/>
    </row>
    <row r="199" spans="4:9" x14ac:dyDescent="0.3">
      <c r="D199" s="203"/>
      <c r="E199" s="204"/>
      <c r="F199" s="217"/>
      <c r="G199" s="192"/>
      <c r="H199" s="192"/>
      <c r="I199" s="52"/>
    </row>
    <row r="200" spans="4:9" x14ac:dyDescent="0.3">
      <c r="D200" s="199"/>
      <c r="E200" s="200"/>
      <c r="F200" s="216"/>
      <c r="G200" s="193"/>
      <c r="H200" s="193"/>
      <c r="I200" s="194"/>
    </row>
    <row r="201" spans="4:9" x14ac:dyDescent="0.3">
      <c r="D201" s="203"/>
      <c r="E201" s="204"/>
      <c r="F201" s="217"/>
      <c r="G201" s="192"/>
      <c r="H201" s="192"/>
      <c r="I201" s="52"/>
    </row>
    <row r="202" spans="4:9" x14ac:dyDescent="0.3">
      <c r="D202" s="199"/>
      <c r="E202" s="200"/>
      <c r="F202" s="216"/>
      <c r="G202" s="193"/>
      <c r="H202" s="193"/>
      <c r="I202" s="194"/>
    </row>
    <row r="203" spans="4:9" x14ac:dyDescent="0.3">
      <c r="D203" s="203"/>
      <c r="E203" s="204"/>
      <c r="F203" s="217"/>
      <c r="G203" s="192"/>
      <c r="H203" s="192"/>
      <c r="I203" s="52"/>
    </row>
    <row r="204" spans="4:9" x14ac:dyDescent="0.3">
      <c r="D204" s="199"/>
      <c r="E204" s="200"/>
      <c r="F204" s="216"/>
      <c r="G204" s="193"/>
      <c r="H204" s="193"/>
      <c r="I204" s="194"/>
    </row>
    <row r="205" spans="4:9" x14ac:dyDescent="0.3">
      <c r="D205" s="203"/>
      <c r="E205" s="204"/>
      <c r="F205" s="217"/>
      <c r="G205" s="192"/>
      <c r="H205" s="192"/>
      <c r="I205" s="52"/>
    </row>
    <row r="206" spans="4:9" x14ac:dyDescent="0.3">
      <c r="D206" s="199"/>
      <c r="E206" s="200"/>
      <c r="F206" s="216"/>
      <c r="G206" s="193"/>
      <c r="H206" s="193"/>
      <c r="I206" s="194"/>
    </row>
    <row r="207" spans="4:9" x14ac:dyDescent="0.3">
      <c r="D207" s="203"/>
      <c r="E207" s="204"/>
      <c r="F207" s="217"/>
      <c r="G207" s="192"/>
      <c r="H207" s="192"/>
      <c r="I207" s="52"/>
    </row>
    <row r="208" spans="4:9" x14ac:dyDescent="0.3">
      <c r="D208" s="199"/>
      <c r="E208" s="200"/>
      <c r="F208" s="216"/>
      <c r="G208" s="193"/>
      <c r="H208" s="193"/>
      <c r="I208" s="194"/>
    </row>
    <row r="209" spans="4:9" x14ac:dyDescent="0.3">
      <c r="D209" s="203"/>
      <c r="E209" s="204"/>
      <c r="F209" s="217"/>
      <c r="G209" s="192"/>
      <c r="H209" s="192"/>
      <c r="I209" s="52"/>
    </row>
    <row r="210" spans="4:9" x14ac:dyDescent="0.3">
      <c r="D210" s="199"/>
      <c r="E210" s="200"/>
      <c r="F210" s="216"/>
      <c r="G210" s="193"/>
      <c r="H210" s="193"/>
      <c r="I210" s="194"/>
    </row>
    <row r="211" spans="4:9" x14ac:dyDescent="0.3">
      <c r="D211" s="203"/>
      <c r="E211" s="204"/>
      <c r="F211" s="217"/>
      <c r="G211" s="192"/>
      <c r="H211" s="192"/>
      <c r="I211" s="52"/>
    </row>
    <row r="212" spans="4:9" x14ac:dyDescent="0.3">
      <c r="D212" s="199"/>
      <c r="E212" s="200"/>
      <c r="F212" s="216"/>
      <c r="G212" s="193"/>
      <c r="H212" s="193"/>
      <c r="I212" s="194"/>
    </row>
    <row r="213" spans="4:9" x14ac:dyDescent="0.3">
      <c r="D213" s="203"/>
      <c r="E213" s="204"/>
      <c r="F213" s="217"/>
      <c r="G213" s="192"/>
      <c r="H213" s="192"/>
      <c r="I213" s="52"/>
    </row>
    <row r="214" spans="4:9" x14ac:dyDescent="0.3">
      <c r="D214" s="199"/>
      <c r="E214" s="200"/>
      <c r="F214" s="216"/>
      <c r="G214" s="193"/>
      <c r="H214" s="193"/>
      <c r="I214" s="194"/>
    </row>
    <row r="215" spans="4:9" x14ac:dyDescent="0.3">
      <c r="D215" s="203"/>
      <c r="E215" s="204"/>
      <c r="F215" s="217"/>
      <c r="G215" s="192"/>
      <c r="H215" s="192"/>
      <c r="I215" s="52"/>
    </row>
    <row r="216" spans="4:9" x14ac:dyDescent="0.3">
      <c r="D216" s="199"/>
      <c r="E216" s="200"/>
      <c r="F216" s="216"/>
      <c r="G216" s="193"/>
      <c r="H216" s="193"/>
      <c r="I216" s="194"/>
    </row>
    <row r="217" spans="4:9" x14ac:dyDescent="0.3">
      <c r="D217" s="203"/>
      <c r="E217" s="204"/>
      <c r="F217" s="217"/>
      <c r="G217" s="192"/>
      <c r="H217" s="192"/>
      <c r="I217" s="52"/>
    </row>
    <row r="218" spans="4:9" x14ac:dyDescent="0.3">
      <c r="D218" s="199"/>
      <c r="E218" s="200"/>
      <c r="F218" s="216"/>
      <c r="G218" s="193"/>
      <c r="H218" s="193"/>
      <c r="I218" s="194"/>
    </row>
    <row r="219" spans="4:9" x14ac:dyDescent="0.3">
      <c r="D219" s="203"/>
      <c r="E219" s="204"/>
      <c r="F219" s="217"/>
      <c r="G219" s="192"/>
      <c r="H219" s="192"/>
      <c r="I219" s="52"/>
    </row>
    <row r="220" spans="4:9" x14ac:dyDescent="0.3">
      <c r="D220" s="199"/>
      <c r="E220" s="200"/>
      <c r="F220" s="216"/>
      <c r="G220" s="193"/>
      <c r="H220" s="193"/>
      <c r="I220" s="194"/>
    </row>
    <row r="221" spans="4:9" x14ac:dyDescent="0.3">
      <c r="D221" s="203"/>
      <c r="E221" s="204"/>
      <c r="F221" s="217"/>
      <c r="G221" s="192"/>
      <c r="H221" s="192"/>
      <c r="I221" s="52"/>
    </row>
    <row r="222" spans="4:9" x14ac:dyDescent="0.3">
      <c r="D222" s="199"/>
      <c r="E222" s="200"/>
      <c r="F222" s="216"/>
      <c r="G222" s="193"/>
      <c r="H222" s="193"/>
      <c r="I222" s="194"/>
    </row>
    <row r="223" spans="4:9" x14ac:dyDescent="0.3">
      <c r="D223" s="203"/>
      <c r="E223" s="204"/>
      <c r="F223" s="217"/>
      <c r="G223" s="192"/>
      <c r="H223" s="192"/>
      <c r="I223" s="52"/>
    </row>
    <row r="224" spans="4:9" x14ac:dyDescent="0.3">
      <c r="D224" s="199"/>
      <c r="E224" s="200"/>
      <c r="F224" s="216"/>
      <c r="G224" s="193"/>
      <c r="H224" s="193"/>
      <c r="I224" s="194"/>
    </row>
    <row r="225" spans="4:9" x14ac:dyDescent="0.3">
      <c r="D225" s="203"/>
      <c r="E225" s="204"/>
      <c r="F225" s="217"/>
      <c r="G225" s="192"/>
      <c r="H225" s="192"/>
      <c r="I225" s="52"/>
    </row>
    <row r="226" spans="4:9" x14ac:dyDescent="0.3">
      <c r="D226" s="199"/>
      <c r="E226" s="200"/>
      <c r="F226" s="216"/>
      <c r="G226" s="193"/>
      <c r="H226" s="193"/>
      <c r="I226" s="194"/>
    </row>
    <row r="227" spans="4:9" x14ac:dyDescent="0.3">
      <c r="D227" s="203"/>
      <c r="E227" s="204"/>
      <c r="F227" s="217"/>
      <c r="G227" s="192"/>
      <c r="H227" s="192"/>
      <c r="I227" s="52"/>
    </row>
    <row r="228" spans="4:9" x14ac:dyDescent="0.3">
      <c r="D228" s="199"/>
      <c r="E228" s="200"/>
      <c r="F228" s="216"/>
      <c r="G228" s="193"/>
      <c r="H228" s="193"/>
      <c r="I228" s="194"/>
    </row>
    <row r="229" spans="4:9" x14ac:dyDescent="0.3">
      <c r="D229" s="203"/>
      <c r="E229" s="204"/>
      <c r="F229" s="217"/>
      <c r="G229" s="192"/>
      <c r="H229" s="192"/>
      <c r="I229" s="52"/>
    </row>
    <row r="230" spans="4:9" x14ac:dyDescent="0.3">
      <c r="D230" s="199"/>
      <c r="E230" s="200"/>
      <c r="F230" s="216"/>
      <c r="G230" s="193"/>
      <c r="H230" s="193"/>
      <c r="I230" s="194"/>
    </row>
    <row r="231" spans="4:9" x14ac:dyDescent="0.3">
      <c r="D231" s="203"/>
      <c r="E231" s="204"/>
      <c r="F231" s="217"/>
      <c r="G231" s="192"/>
      <c r="H231" s="192"/>
      <c r="I231" s="52"/>
    </row>
    <row r="232" spans="4:9" x14ac:dyDescent="0.3">
      <c r="D232" s="199"/>
      <c r="E232" s="200"/>
      <c r="F232" s="216"/>
      <c r="G232" s="193"/>
      <c r="H232" s="193"/>
      <c r="I232" s="194"/>
    </row>
    <row r="233" spans="4:9" x14ac:dyDescent="0.3">
      <c r="D233" s="203"/>
      <c r="E233" s="204"/>
      <c r="F233" s="217"/>
      <c r="G233" s="192"/>
      <c r="H233" s="192"/>
      <c r="I233" s="52"/>
    </row>
    <row r="234" spans="4:9" x14ac:dyDescent="0.3">
      <c r="D234" s="199"/>
      <c r="E234" s="200"/>
      <c r="F234" s="216"/>
      <c r="G234" s="193"/>
      <c r="H234" s="193"/>
      <c r="I234" s="194"/>
    </row>
    <row r="235" spans="4:9" x14ac:dyDescent="0.3">
      <c r="D235" s="203"/>
      <c r="E235" s="204"/>
      <c r="F235" s="217"/>
      <c r="G235" s="192"/>
      <c r="H235" s="192"/>
      <c r="I235" s="52"/>
    </row>
    <row r="236" spans="4:9" x14ac:dyDescent="0.3">
      <c r="D236" s="199"/>
      <c r="E236" s="200"/>
      <c r="F236" s="216"/>
      <c r="G236" s="193"/>
      <c r="H236" s="193"/>
      <c r="I236" s="194"/>
    </row>
    <row r="237" spans="4:9" x14ac:dyDescent="0.3">
      <c r="D237" s="203"/>
      <c r="E237" s="204"/>
      <c r="F237" s="217"/>
      <c r="G237" s="192"/>
      <c r="H237" s="192"/>
      <c r="I237" s="52"/>
    </row>
    <row r="238" spans="4:9" x14ac:dyDescent="0.3">
      <c r="D238" s="199"/>
      <c r="E238" s="200"/>
      <c r="F238" s="216"/>
      <c r="G238" s="193"/>
      <c r="H238" s="193"/>
      <c r="I238" s="194"/>
    </row>
    <row r="239" spans="4:9" x14ac:dyDescent="0.3">
      <c r="D239" s="203"/>
      <c r="E239" s="204"/>
      <c r="F239" s="217"/>
      <c r="G239" s="192"/>
      <c r="H239" s="192"/>
      <c r="I239" s="52"/>
    </row>
    <row r="240" spans="4:9" x14ac:dyDescent="0.3">
      <c r="D240" s="199"/>
      <c r="E240" s="200"/>
      <c r="F240" s="216"/>
      <c r="G240" s="193"/>
      <c r="H240" s="193"/>
      <c r="I240" s="194"/>
    </row>
    <row r="241" spans="4:9" x14ac:dyDescent="0.3">
      <c r="D241" s="203"/>
      <c r="E241" s="204"/>
      <c r="F241" s="217"/>
      <c r="G241" s="192"/>
      <c r="H241" s="192"/>
      <c r="I241" s="52"/>
    </row>
    <row r="242" spans="4:9" x14ac:dyDescent="0.3">
      <c r="D242" s="199"/>
      <c r="E242" s="200"/>
      <c r="F242" s="216"/>
      <c r="G242" s="193"/>
      <c r="H242" s="193"/>
      <c r="I242" s="194"/>
    </row>
    <row r="243" spans="4:9" x14ac:dyDescent="0.3">
      <c r="D243" s="203"/>
      <c r="E243" s="204"/>
      <c r="F243" s="217"/>
      <c r="G243" s="192"/>
      <c r="H243" s="192"/>
      <c r="I243" s="52"/>
    </row>
    <row r="244" spans="4:9" x14ac:dyDescent="0.3">
      <c r="D244" s="199"/>
      <c r="E244" s="200"/>
      <c r="F244" s="216"/>
      <c r="G244" s="193"/>
      <c r="H244" s="193"/>
      <c r="I244" s="194"/>
    </row>
    <row r="245" spans="4:9" x14ac:dyDescent="0.3">
      <c r="D245" s="203"/>
      <c r="E245" s="204"/>
      <c r="F245" s="217"/>
      <c r="G245" s="192"/>
      <c r="H245" s="192"/>
      <c r="I245" s="52"/>
    </row>
    <row r="246" spans="4:9" x14ac:dyDescent="0.3">
      <c r="D246" s="199"/>
      <c r="E246" s="200"/>
      <c r="F246" s="216"/>
      <c r="G246" s="193"/>
      <c r="H246" s="193"/>
      <c r="I246" s="194"/>
    </row>
    <row r="247" spans="4:9" x14ac:dyDescent="0.3">
      <c r="D247" s="203"/>
      <c r="E247" s="204"/>
      <c r="F247" s="217"/>
      <c r="G247" s="192"/>
      <c r="H247" s="192"/>
      <c r="I247" s="52"/>
    </row>
    <row r="248" spans="4:9" x14ac:dyDescent="0.3">
      <c r="D248" s="199"/>
      <c r="E248" s="200"/>
      <c r="F248" s="216"/>
      <c r="G248" s="193"/>
      <c r="H248" s="193"/>
      <c r="I248" s="194"/>
    </row>
    <row r="249" spans="4:9" x14ac:dyDescent="0.3">
      <c r="D249" s="203"/>
      <c r="E249" s="204"/>
      <c r="F249" s="217"/>
      <c r="G249" s="192"/>
      <c r="H249" s="192"/>
      <c r="I249" s="52"/>
    </row>
    <row r="250" spans="4:9" x14ac:dyDescent="0.3">
      <c r="D250" s="199"/>
      <c r="E250" s="200"/>
      <c r="F250" s="216"/>
      <c r="G250" s="193"/>
      <c r="H250" s="193"/>
      <c r="I250" s="194"/>
    </row>
    <row r="251" spans="4:9" x14ac:dyDescent="0.3">
      <c r="D251" s="203"/>
      <c r="E251" s="204"/>
      <c r="F251" s="217"/>
      <c r="G251" s="192"/>
      <c r="H251" s="192"/>
      <c r="I251" s="52"/>
    </row>
    <row r="252" spans="4:9" x14ac:dyDescent="0.3">
      <c r="D252" s="199"/>
      <c r="E252" s="200"/>
      <c r="F252" s="216"/>
      <c r="G252" s="193"/>
      <c r="H252" s="193"/>
      <c r="I252" s="194"/>
    </row>
    <row r="253" spans="4:9" x14ac:dyDescent="0.3">
      <c r="D253" s="203"/>
      <c r="E253" s="204"/>
      <c r="F253" s="217"/>
      <c r="G253" s="192"/>
      <c r="H253" s="192"/>
      <c r="I253" s="52"/>
    </row>
    <row r="254" spans="4:9" x14ac:dyDescent="0.3">
      <c r="D254" s="199"/>
      <c r="E254" s="200"/>
      <c r="F254" s="216"/>
      <c r="G254" s="193"/>
      <c r="H254" s="193"/>
      <c r="I254" s="194"/>
    </row>
    <row r="255" spans="4:9" x14ac:dyDescent="0.3">
      <c r="D255" s="203"/>
      <c r="E255" s="204"/>
      <c r="F255" s="217"/>
      <c r="G255" s="192"/>
      <c r="H255" s="192"/>
      <c r="I255" s="52"/>
    </row>
    <row r="256" spans="4:9" x14ac:dyDescent="0.3">
      <c r="D256" s="199"/>
      <c r="E256" s="200"/>
      <c r="F256" s="216"/>
      <c r="G256" s="193"/>
      <c r="H256" s="193"/>
      <c r="I256" s="194"/>
    </row>
    <row r="257" spans="4:9" x14ac:dyDescent="0.3">
      <c r="D257" s="203"/>
      <c r="E257" s="204"/>
      <c r="F257" s="217"/>
      <c r="G257" s="192"/>
      <c r="H257" s="192"/>
      <c r="I257" s="52"/>
    </row>
    <row r="258" spans="4:9" x14ac:dyDescent="0.3">
      <c r="D258" s="199"/>
      <c r="E258" s="200"/>
      <c r="F258" s="216"/>
      <c r="G258" s="193"/>
      <c r="H258" s="193"/>
      <c r="I258" s="194"/>
    </row>
    <row r="259" spans="4:9" x14ac:dyDescent="0.3">
      <c r="D259" s="203"/>
      <c r="E259" s="204"/>
      <c r="F259" s="217"/>
      <c r="G259" s="192"/>
      <c r="H259" s="192"/>
      <c r="I259" s="52"/>
    </row>
    <row r="260" spans="4:9" x14ac:dyDescent="0.3">
      <c r="D260" s="199"/>
      <c r="E260" s="200"/>
      <c r="F260" s="216"/>
      <c r="G260" s="193"/>
      <c r="H260" s="193"/>
      <c r="I260" s="194"/>
    </row>
    <row r="261" spans="4:9" x14ac:dyDescent="0.3">
      <c r="D261" s="203"/>
      <c r="E261" s="204"/>
      <c r="F261" s="217"/>
      <c r="G261" s="192"/>
      <c r="H261" s="192"/>
      <c r="I261" s="52"/>
    </row>
    <row r="262" spans="4:9" x14ac:dyDescent="0.3">
      <c r="D262" s="199"/>
      <c r="E262" s="200"/>
      <c r="F262" s="216"/>
      <c r="G262" s="193"/>
      <c r="H262" s="193"/>
      <c r="I262" s="194"/>
    </row>
    <row r="263" spans="4:9" x14ac:dyDescent="0.3">
      <c r="D263" s="203"/>
      <c r="E263" s="204"/>
      <c r="F263" s="217"/>
      <c r="G263" s="192"/>
      <c r="H263" s="192"/>
      <c r="I263" s="52"/>
    </row>
    <row r="264" spans="4:9" x14ac:dyDescent="0.3">
      <c r="D264" s="199"/>
      <c r="E264" s="200"/>
      <c r="F264" s="216"/>
      <c r="G264" s="193"/>
      <c r="H264" s="193"/>
      <c r="I264" s="194"/>
    </row>
    <row r="265" spans="4:9" x14ac:dyDescent="0.3">
      <c r="D265" s="203"/>
      <c r="E265" s="204"/>
      <c r="F265" s="217"/>
      <c r="G265" s="192"/>
      <c r="H265" s="192"/>
      <c r="I265" s="52"/>
    </row>
    <row r="266" spans="4:9" x14ac:dyDescent="0.3">
      <c r="D266" s="199"/>
      <c r="E266" s="200"/>
      <c r="F266" s="216"/>
      <c r="G266" s="193"/>
      <c r="H266" s="193"/>
      <c r="I266" s="194"/>
    </row>
    <row r="267" spans="4:9" x14ac:dyDescent="0.3">
      <c r="D267" s="203"/>
      <c r="E267" s="204"/>
      <c r="F267" s="217"/>
      <c r="G267" s="192"/>
      <c r="H267" s="192"/>
      <c r="I267" s="52"/>
    </row>
    <row r="268" spans="4:9" x14ac:dyDescent="0.3">
      <c r="D268" s="199"/>
      <c r="E268" s="200"/>
      <c r="F268" s="216"/>
      <c r="G268" s="193"/>
      <c r="H268" s="193"/>
      <c r="I268" s="194"/>
    </row>
    <row r="269" spans="4:9" x14ac:dyDescent="0.3">
      <c r="D269" s="203"/>
      <c r="E269" s="204"/>
      <c r="F269" s="217"/>
      <c r="G269" s="192"/>
      <c r="H269" s="192"/>
      <c r="I269" s="52"/>
    </row>
    <row r="270" spans="4:9" x14ac:dyDescent="0.3">
      <c r="D270" s="199"/>
      <c r="E270" s="200"/>
      <c r="F270" s="216"/>
      <c r="G270" s="193"/>
      <c r="H270" s="193"/>
      <c r="I270" s="194"/>
    </row>
    <row r="271" spans="4:9" x14ac:dyDescent="0.3">
      <c r="D271" s="203"/>
      <c r="E271" s="204"/>
      <c r="F271" s="217"/>
      <c r="G271" s="192"/>
      <c r="H271" s="192"/>
      <c r="I271" s="52"/>
    </row>
    <row r="272" spans="4:9" x14ac:dyDescent="0.3">
      <c r="D272" s="199"/>
      <c r="E272" s="200"/>
      <c r="F272" s="216"/>
      <c r="G272" s="193"/>
      <c r="H272" s="193"/>
      <c r="I272" s="194"/>
    </row>
    <row r="273" spans="4:9" x14ac:dyDescent="0.3">
      <c r="D273" s="203"/>
      <c r="E273" s="204"/>
      <c r="F273" s="217"/>
      <c r="G273" s="192"/>
      <c r="H273" s="192"/>
      <c r="I273" s="52"/>
    </row>
    <row r="274" spans="4:9" x14ac:dyDescent="0.3">
      <c r="D274" s="199"/>
      <c r="E274" s="200"/>
      <c r="F274" s="216"/>
      <c r="G274" s="193"/>
      <c r="H274" s="193"/>
      <c r="I274" s="194"/>
    </row>
    <row r="275" spans="4:9" x14ac:dyDescent="0.3">
      <c r="D275" s="203"/>
      <c r="E275" s="204"/>
      <c r="F275" s="217"/>
      <c r="G275" s="192"/>
      <c r="H275" s="192"/>
      <c r="I275" s="52"/>
    </row>
    <row r="276" spans="4:9" x14ac:dyDescent="0.3">
      <c r="D276" s="199"/>
      <c r="E276" s="200"/>
      <c r="F276" s="216"/>
      <c r="G276" s="193"/>
      <c r="H276" s="193"/>
      <c r="I276" s="194"/>
    </row>
    <row r="277" spans="4:9" x14ac:dyDescent="0.3">
      <c r="D277" s="203"/>
      <c r="E277" s="204"/>
      <c r="F277" s="217"/>
      <c r="G277" s="192"/>
      <c r="H277" s="192"/>
      <c r="I277" s="52"/>
    </row>
    <row r="278" spans="4:9" x14ac:dyDescent="0.3">
      <c r="D278" s="199"/>
      <c r="E278" s="200"/>
      <c r="F278" s="216"/>
      <c r="G278" s="193"/>
      <c r="H278" s="193"/>
      <c r="I278" s="194"/>
    </row>
    <row r="279" spans="4:9" x14ac:dyDescent="0.3">
      <c r="D279" s="203"/>
      <c r="E279" s="204"/>
      <c r="F279" s="217"/>
      <c r="G279" s="192"/>
      <c r="H279" s="192"/>
      <c r="I279" s="52"/>
    </row>
    <row r="280" spans="4:9" x14ac:dyDescent="0.3">
      <c r="D280" s="199"/>
      <c r="E280" s="200"/>
      <c r="F280" s="216"/>
      <c r="G280" s="193"/>
      <c r="H280" s="193"/>
      <c r="I280" s="194"/>
    </row>
    <row r="281" spans="4:9" x14ac:dyDescent="0.3">
      <c r="D281" s="203"/>
      <c r="E281" s="204"/>
      <c r="F281" s="217"/>
      <c r="G281" s="192"/>
      <c r="H281" s="192"/>
      <c r="I281" s="52"/>
    </row>
    <row r="282" spans="4:9" x14ac:dyDescent="0.3">
      <c r="D282" s="199"/>
      <c r="E282" s="200"/>
      <c r="F282" s="216"/>
      <c r="G282" s="193"/>
      <c r="H282" s="193"/>
      <c r="I282" s="194"/>
    </row>
    <row r="283" spans="4:9" x14ac:dyDescent="0.3">
      <c r="D283" s="203"/>
      <c r="E283" s="204"/>
      <c r="F283" s="217"/>
      <c r="G283" s="192"/>
      <c r="H283" s="192"/>
      <c r="I283" s="52"/>
    </row>
    <row r="284" spans="4:9" x14ac:dyDescent="0.3">
      <c r="D284" s="199"/>
      <c r="E284" s="200"/>
      <c r="F284" s="216"/>
      <c r="G284" s="193"/>
      <c r="H284" s="193"/>
      <c r="I284" s="194"/>
    </row>
    <row r="285" spans="4:9" x14ac:dyDescent="0.3">
      <c r="D285" s="203"/>
      <c r="E285" s="204"/>
      <c r="F285" s="217"/>
      <c r="G285" s="192"/>
      <c r="H285" s="192"/>
      <c r="I285" s="52"/>
    </row>
    <row r="286" spans="4:9" x14ac:dyDescent="0.3">
      <c r="D286" s="199"/>
      <c r="E286" s="200"/>
      <c r="F286" s="216"/>
      <c r="G286" s="193"/>
      <c r="H286" s="193"/>
      <c r="I286" s="194"/>
    </row>
    <row r="287" spans="4:9" x14ac:dyDescent="0.3">
      <c r="D287" s="203"/>
      <c r="E287" s="204"/>
      <c r="F287" s="217"/>
      <c r="G287" s="192"/>
      <c r="H287" s="192"/>
      <c r="I287" s="52"/>
    </row>
    <row r="288" spans="4:9" x14ac:dyDescent="0.3">
      <c r="D288" s="199"/>
      <c r="E288" s="200"/>
      <c r="F288" s="216"/>
      <c r="G288" s="193"/>
      <c r="H288" s="193"/>
      <c r="I288" s="194"/>
    </row>
    <row r="289" spans="4:9" x14ac:dyDescent="0.3">
      <c r="D289" s="203"/>
      <c r="E289" s="204"/>
      <c r="F289" s="217"/>
      <c r="G289" s="192"/>
      <c r="H289" s="192"/>
      <c r="I289" s="52"/>
    </row>
    <row r="290" spans="4:9" x14ac:dyDescent="0.3">
      <c r="D290" s="199"/>
      <c r="E290" s="200"/>
      <c r="F290" s="216"/>
      <c r="G290" s="193"/>
      <c r="H290" s="193"/>
      <c r="I290" s="194"/>
    </row>
    <row r="291" spans="4:9" x14ac:dyDescent="0.3">
      <c r="D291" s="203"/>
      <c r="E291" s="204"/>
      <c r="F291" s="217"/>
      <c r="G291" s="192"/>
      <c r="H291" s="192"/>
      <c r="I291" s="52"/>
    </row>
    <row r="292" spans="4:9" x14ac:dyDescent="0.3">
      <c r="D292" s="199"/>
      <c r="E292" s="200"/>
      <c r="F292" s="216"/>
      <c r="G292" s="193"/>
      <c r="H292" s="193"/>
      <c r="I292" s="194"/>
    </row>
    <row r="293" spans="4:9" x14ac:dyDescent="0.3">
      <c r="D293" s="203"/>
      <c r="E293" s="204"/>
      <c r="F293" s="217"/>
      <c r="G293" s="192"/>
      <c r="H293" s="192"/>
      <c r="I293" s="52"/>
    </row>
    <row r="294" spans="4:9" x14ac:dyDescent="0.3">
      <c r="D294" s="199"/>
      <c r="E294" s="200"/>
      <c r="F294" s="216"/>
      <c r="G294" s="193"/>
      <c r="H294" s="193"/>
      <c r="I294" s="194"/>
    </row>
    <row r="295" spans="4:9" x14ac:dyDescent="0.3">
      <c r="D295" s="203"/>
      <c r="E295" s="204"/>
      <c r="F295" s="217"/>
      <c r="G295" s="192"/>
      <c r="H295" s="192"/>
      <c r="I295" s="52"/>
    </row>
    <row r="296" spans="4:9" x14ac:dyDescent="0.3">
      <c r="D296" s="199"/>
      <c r="E296" s="200"/>
      <c r="F296" s="216"/>
      <c r="G296" s="193"/>
      <c r="H296" s="193"/>
      <c r="I296" s="194"/>
    </row>
    <row r="297" spans="4:9" x14ac:dyDescent="0.3">
      <c r="D297" s="203"/>
      <c r="E297" s="204"/>
      <c r="F297" s="217"/>
      <c r="G297" s="192"/>
      <c r="H297" s="192"/>
      <c r="I297" s="52"/>
    </row>
    <row r="298" spans="4:9" x14ac:dyDescent="0.3">
      <c r="D298" s="199"/>
      <c r="E298" s="200"/>
      <c r="F298" s="216"/>
      <c r="G298" s="193"/>
      <c r="H298" s="193"/>
      <c r="I298" s="194"/>
    </row>
    <row r="299" spans="4:9" x14ac:dyDescent="0.3">
      <c r="D299" s="203"/>
      <c r="E299" s="204"/>
      <c r="F299" s="217"/>
      <c r="G299" s="192"/>
      <c r="H299" s="192"/>
      <c r="I299" s="52"/>
    </row>
    <row r="300" spans="4:9" x14ac:dyDescent="0.3">
      <c r="D300" s="199"/>
      <c r="E300" s="200"/>
      <c r="F300" s="216"/>
      <c r="G300" s="193"/>
      <c r="H300" s="193"/>
      <c r="I300" s="194"/>
    </row>
    <row r="301" spans="4:9" x14ac:dyDescent="0.3">
      <c r="D301" s="203"/>
      <c r="E301" s="204"/>
      <c r="F301" s="217"/>
      <c r="G301" s="192"/>
      <c r="H301" s="192"/>
      <c r="I301" s="52"/>
    </row>
    <row r="302" spans="4:9" x14ac:dyDescent="0.3">
      <c r="D302" s="199"/>
      <c r="E302" s="200"/>
      <c r="F302" s="216"/>
      <c r="G302" s="193"/>
      <c r="H302" s="193"/>
      <c r="I302" s="194"/>
    </row>
    <row r="303" spans="4:9" x14ac:dyDescent="0.3">
      <c r="D303" s="203"/>
      <c r="E303" s="204"/>
      <c r="F303" s="217"/>
      <c r="G303" s="192"/>
      <c r="H303" s="192"/>
      <c r="I303" s="52"/>
    </row>
    <row r="304" spans="4:9" x14ac:dyDescent="0.3">
      <c r="D304" s="199"/>
      <c r="E304" s="200"/>
      <c r="F304" s="216"/>
      <c r="G304" s="193"/>
      <c r="H304" s="193"/>
      <c r="I304" s="194"/>
    </row>
    <row r="305" spans="4:9" x14ac:dyDescent="0.3">
      <c r="D305" s="203"/>
      <c r="E305" s="204"/>
      <c r="F305" s="217"/>
      <c r="G305" s="192"/>
      <c r="H305" s="192"/>
      <c r="I305" s="52"/>
    </row>
    <row r="306" spans="4:9" x14ac:dyDescent="0.3">
      <c r="D306" s="199"/>
      <c r="E306" s="200"/>
      <c r="F306" s="216"/>
      <c r="G306" s="193"/>
      <c r="H306" s="193"/>
      <c r="I306" s="194"/>
    </row>
    <row r="307" spans="4:9" x14ac:dyDescent="0.3">
      <c r="D307" s="203"/>
      <c r="E307" s="204"/>
      <c r="F307" s="217"/>
      <c r="G307" s="192"/>
      <c r="H307" s="192"/>
      <c r="I307" s="52"/>
    </row>
    <row r="308" spans="4:9" x14ac:dyDescent="0.3">
      <c r="D308" s="199"/>
      <c r="E308" s="200"/>
      <c r="F308" s="216"/>
      <c r="G308" s="193"/>
      <c r="H308" s="193"/>
      <c r="I308" s="194"/>
    </row>
    <row r="309" spans="4:9" x14ac:dyDescent="0.3">
      <c r="D309" s="203"/>
      <c r="E309" s="204"/>
      <c r="F309" s="217"/>
      <c r="G309" s="192"/>
      <c r="H309" s="192"/>
      <c r="I309" s="52"/>
    </row>
    <row r="310" spans="4:9" x14ac:dyDescent="0.3">
      <c r="D310" s="199"/>
      <c r="E310" s="200"/>
      <c r="F310" s="216"/>
      <c r="G310" s="193"/>
      <c r="H310" s="193"/>
      <c r="I310" s="194"/>
    </row>
    <row r="311" spans="4:9" x14ac:dyDescent="0.3">
      <c r="D311" s="203"/>
      <c r="E311" s="204"/>
      <c r="F311" s="217"/>
      <c r="G311" s="192"/>
      <c r="H311" s="192"/>
      <c r="I311" s="52"/>
    </row>
    <row r="312" spans="4:9" x14ac:dyDescent="0.3">
      <c r="D312" s="199"/>
      <c r="E312" s="200"/>
      <c r="F312" s="216"/>
      <c r="G312" s="193"/>
      <c r="H312" s="193"/>
      <c r="I312" s="194"/>
    </row>
    <row r="313" spans="4:9" x14ac:dyDescent="0.3">
      <c r="D313" s="203"/>
      <c r="E313" s="204"/>
      <c r="F313" s="217"/>
      <c r="G313" s="192"/>
      <c r="H313" s="192"/>
      <c r="I313" s="52"/>
    </row>
    <row r="314" spans="4:9" x14ac:dyDescent="0.3">
      <c r="D314" s="199"/>
      <c r="E314" s="200"/>
      <c r="F314" s="216"/>
      <c r="G314" s="193"/>
      <c r="H314" s="193"/>
      <c r="I314" s="194"/>
    </row>
    <row r="315" spans="4:9" x14ac:dyDescent="0.3">
      <c r="D315" s="203"/>
      <c r="E315" s="204"/>
      <c r="F315" s="217"/>
      <c r="G315" s="192"/>
      <c r="H315" s="192"/>
      <c r="I315" s="52"/>
    </row>
    <row r="316" spans="4:9" x14ac:dyDescent="0.3">
      <c r="D316" s="199"/>
      <c r="E316" s="200"/>
      <c r="F316" s="216"/>
      <c r="G316" s="193"/>
      <c r="H316" s="193"/>
      <c r="I316" s="194"/>
    </row>
    <row r="317" spans="4:9" x14ac:dyDescent="0.3">
      <c r="D317" s="203"/>
      <c r="E317" s="204"/>
      <c r="F317" s="217"/>
      <c r="G317" s="192"/>
      <c r="H317" s="192"/>
      <c r="I317" s="52"/>
    </row>
    <row r="318" spans="4:9" x14ac:dyDescent="0.3">
      <c r="D318" s="199"/>
      <c r="E318" s="200"/>
      <c r="F318" s="216"/>
      <c r="G318" s="193"/>
      <c r="H318" s="193"/>
      <c r="I318" s="194"/>
    </row>
    <row r="319" spans="4:9" x14ac:dyDescent="0.3">
      <c r="D319" s="203"/>
      <c r="E319" s="204"/>
      <c r="F319" s="217"/>
      <c r="G319" s="192"/>
      <c r="H319" s="192"/>
      <c r="I319" s="52"/>
    </row>
    <row r="320" spans="4:9" x14ac:dyDescent="0.3">
      <c r="D320" s="199"/>
      <c r="E320" s="200"/>
      <c r="F320" s="216"/>
      <c r="G320" s="193"/>
      <c r="H320" s="193"/>
      <c r="I320" s="194"/>
    </row>
    <row r="321" spans="4:9" x14ac:dyDescent="0.3">
      <c r="D321" s="203"/>
      <c r="E321" s="204"/>
      <c r="F321" s="217"/>
      <c r="G321" s="192"/>
      <c r="H321" s="192"/>
      <c r="I321" s="52"/>
    </row>
    <row r="322" spans="4:9" x14ac:dyDescent="0.3">
      <c r="D322" s="199"/>
      <c r="E322" s="200"/>
      <c r="F322" s="216"/>
      <c r="G322" s="193"/>
      <c r="H322" s="193"/>
      <c r="I322" s="194"/>
    </row>
    <row r="323" spans="4:9" x14ac:dyDescent="0.3">
      <c r="D323" s="203"/>
      <c r="E323" s="204"/>
      <c r="F323" s="217"/>
      <c r="G323" s="192"/>
      <c r="H323" s="192"/>
      <c r="I323" s="52"/>
    </row>
    <row r="324" spans="4:9" x14ac:dyDescent="0.3">
      <c r="D324" s="199"/>
      <c r="E324" s="200"/>
      <c r="F324" s="216"/>
      <c r="G324" s="193"/>
      <c r="H324" s="193"/>
      <c r="I324" s="194"/>
    </row>
    <row r="325" spans="4:9" x14ac:dyDescent="0.3">
      <c r="D325" s="203"/>
      <c r="E325" s="204"/>
      <c r="F325" s="217"/>
      <c r="G325" s="192"/>
      <c r="H325" s="192"/>
      <c r="I325" s="52"/>
    </row>
    <row r="326" spans="4:9" x14ac:dyDescent="0.3">
      <c r="D326" s="199"/>
      <c r="E326" s="200"/>
      <c r="F326" s="216"/>
      <c r="G326" s="193"/>
      <c r="H326" s="193"/>
      <c r="I326" s="194"/>
    </row>
    <row r="327" spans="4:9" x14ac:dyDescent="0.3">
      <c r="D327" s="203"/>
      <c r="E327" s="204"/>
      <c r="F327" s="217"/>
      <c r="G327" s="192"/>
      <c r="H327" s="192"/>
      <c r="I327" s="52"/>
    </row>
    <row r="328" spans="4:9" x14ac:dyDescent="0.3">
      <c r="D328" s="199"/>
      <c r="E328" s="200"/>
      <c r="F328" s="216"/>
      <c r="G328" s="193"/>
      <c r="H328" s="193"/>
      <c r="I328" s="194"/>
    </row>
    <row r="329" spans="4:9" x14ac:dyDescent="0.3">
      <c r="D329" s="203"/>
      <c r="E329" s="204"/>
      <c r="F329" s="217"/>
      <c r="G329" s="192"/>
      <c r="H329" s="192"/>
      <c r="I329" s="52"/>
    </row>
    <row r="330" spans="4:9" x14ac:dyDescent="0.3">
      <c r="D330" s="199"/>
      <c r="E330" s="200"/>
      <c r="F330" s="216"/>
      <c r="G330" s="193"/>
      <c r="H330" s="193"/>
      <c r="I330" s="194"/>
    </row>
    <row r="331" spans="4:9" x14ac:dyDescent="0.3">
      <c r="D331" s="203"/>
      <c r="E331" s="204"/>
      <c r="F331" s="217"/>
      <c r="G331" s="192"/>
      <c r="H331" s="192"/>
      <c r="I331" s="52"/>
    </row>
    <row r="332" spans="4:9" x14ac:dyDescent="0.3">
      <c r="D332" s="199"/>
      <c r="E332" s="200"/>
      <c r="F332" s="216"/>
      <c r="G332" s="193"/>
      <c r="H332" s="193"/>
      <c r="I332" s="194"/>
    </row>
    <row r="333" spans="4:9" x14ac:dyDescent="0.3">
      <c r="D333" s="203"/>
      <c r="E333" s="204"/>
      <c r="F333" s="217"/>
      <c r="G333" s="192"/>
      <c r="H333" s="192"/>
      <c r="I333" s="52"/>
    </row>
    <row r="334" spans="4:9" x14ac:dyDescent="0.3">
      <c r="D334" s="199"/>
      <c r="E334" s="200"/>
      <c r="F334" s="216"/>
      <c r="G334" s="193"/>
      <c r="H334" s="193"/>
      <c r="I334" s="194"/>
    </row>
    <row r="335" spans="4:9" x14ac:dyDescent="0.3">
      <c r="D335" s="203"/>
      <c r="E335" s="204"/>
      <c r="F335" s="217"/>
      <c r="G335" s="192"/>
      <c r="H335" s="192"/>
      <c r="I335" s="52"/>
    </row>
    <row r="336" spans="4:9" x14ac:dyDescent="0.3">
      <c r="D336" s="199"/>
      <c r="E336" s="200"/>
      <c r="F336" s="216"/>
      <c r="G336" s="193"/>
      <c r="H336" s="193"/>
      <c r="I336" s="194"/>
    </row>
    <row r="337" spans="4:9" x14ac:dyDescent="0.3">
      <c r="D337" s="203"/>
      <c r="E337" s="204"/>
      <c r="F337" s="217"/>
      <c r="G337" s="192"/>
      <c r="H337" s="192"/>
      <c r="I337" s="52"/>
    </row>
    <row r="338" spans="4:9" x14ac:dyDescent="0.3">
      <c r="D338" s="199"/>
      <c r="E338" s="200"/>
      <c r="F338" s="216"/>
      <c r="G338" s="193"/>
      <c r="H338" s="193"/>
      <c r="I338" s="194"/>
    </row>
    <row r="339" spans="4:9" x14ac:dyDescent="0.3">
      <c r="D339" s="203"/>
      <c r="E339" s="204"/>
      <c r="F339" s="217"/>
      <c r="G339" s="192"/>
      <c r="H339" s="192"/>
      <c r="I339" s="52"/>
    </row>
    <row r="340" spans="4:9" x14ac:dyDescent="0.3">
      <c r="D340" s="199"/>
      <c r="E340" s="200"/>
      <c r="F340" s="216"/>
      <c r="G340" s="193"/>
      <c r="H340" s="193"/>
      <c r="I340" s="194"/>
    </row>
    <row r="341" spans="4:9" x14ac:dyDescent="0.3">
      <c r="D341" s="203"/>
      <c r="E341" s="204"/>
      <c r="F341" s="217"/>
      <c r="G341" s="192"/>
      <c r="H341" s="192"/>
      <c r="I341" s="52"/>
    </row>
    <row r="342" spans="4:9" x14ac:dyDescent="0.3">
      <c r="D342" s="199"/>
      <c r="E342" s="200"/>
      <c r="F342" s="216"/>
      <c r="G342" s="193"/>
      <c r="H342" s="193"/>
      <c r="I342" s="194"/>
    </row>
    <row r="343" spans="4:9" x14ac:dyDescent="0.3">
      <c r="D343" s="203"/>
      <c r="E343" s="204"/>
      <c r="F343" s="217"/>
      <c r="G343" s="192"/>
      <c r="H343" s="192"/>
      <c r="I343" s="52"/>
    </row>
    <row r="344" spans="4:9" x14ac:dyDescent="0.3">
      <c r="D344" s="199"/>
      <c r="E344" s="200"/>
      <c r="F344" s="216"/>
      <c r="G344" s="193"/>
      <c r="H344" s="193"/>
      <c r="I344" s="194"/>
    </row>
    <row r="345" spans="4:9" x14ac:dyDescent="0.3">
      <c r="D345" s="203"/>
      <c r="E345" s="204"/>
      <c r="F345" s="217"/>
      <c r="G345" s="192"/>
      <c r="H345" s="192"/>
      <c r="I345" s="52"/>
    </row>
    <row r="346" spans="4:9" x14ac:dyDescent="0.3">
      <c r="D346" s="199"/>
      <c r="E346" s="200"/>
      <c r="F346" s="216"/>
      <c r="G346" s="193"/>
      <c r="H346" s="193"/>
      <c r="I346" s="194"/>
    </row>
    <row r="347" spans="4:9" x14ac:dyDescent="0.3">
      <c r="D347" s="203"/>
      <c r="E347" s="204"/>
      <c r="F347" s="217"/>
      <c r="G347" s="192"/>
      <c r="H347" s="192"/>
      <c r="I347" s="52"/>
    </row>
    <row r="348" spans="4:9" x14ac:dyDescent="0.3">
      <c r="D348" s="199"/>
      <c r="E348" s="200"/>
      <c r="F348" s="216"/>
      <c r="G348" s="193"/>
      <c r="H348" s="193"/>
      <c r="I348" s="194"/>
    </row>
    <row r="349" spans="4:9" x14ac:dyDescent="0.3">
      <c r="D349" s="203"/>
      <c r="E349" s="204"/>
      <c r="F349" s="217"/>
      <c r="G349" s="192"/>
      <c r="H349" s="192"/>
      <c r="I349" s="52"/>
    </row>
    <row r="350" spans="4:9" x14ac:dyDescent="0.3">
      <c r="D350" s="199"/>
      <c r="E350" s="200"/>
      <c r="F350" s="216"/>
      <c r="G350" s="193"/>
      <c r="H350" s="193"/>
      <c r="I350" s="194"/>
    </row>
    <row r="351" spans="4:9" x14ac:dyDescent="0.3">
      <c r="D351" s="203"/>
      <c r="E351" s="204"/>
      <c r="F351" s="217"/>
      <c r="G351" s="192"/>
      <c r="H351" s="192"/>
      <c r="I351" s="52"/>
    </row>
    <row r="352" spans="4:9" x14ac:dyDescent="0.3">
      <c r="D352" s="199"/>
      <c r="E352" s="200"/>
      <c r="F352" s="216"/>
      <c r="G352" s="193"/>
      <c r="H352" s="193"/>
      <c r="I352" s="194"/>
    </row>
    <row r="353" spans="4:9" x14ac:dyDescent="0.3">
      <c r="D353" s="203"/>
      <c r="E353" s="204"/>
      <c r="F353" s="217"/>
      <c r="G353" s="192"/>
      <c r="H353" s="192"/>
      <c r="I353" s="52"/>
    </row>
    <row r="354" spans="4:9" x14ac:dyDescent="0.3">
      <c r="D354" s="199"/>
      <c r="E354" s="200"/>
      <c r="F354" s="216"/>
      <c r="G354" s="193"/>
      <c r="H354" s="193"/>
      <c r="I354" s="194"/>
    </row>
    <row r="355" spans="4:9" x14ac:dyDescent="0.3">
      <c r="D355" s="203"/>
      <c r="E355" s="204"/>
      <c r="F355" s="217"/>
      <c r="G355" s="192"/>
      <c r="H355" s="192"/>
      <c r="I355" s="52"/>
    </row>
    <row r="356" spans="4:9" x14ac:dyDescent="0.3">
      <c r="D356" s="199"/>
      <c r="E356" s="200"/>
      <c r="F356" s="216"/>
      <c r="G356" s="193"/>
      <c r="H356" s="193"/>
      <c r="I356" s="194"/>
    </row>
    <row r="357" spans="4:9" x14ac:dyDescent="0.3">
      <c r="D357" s="203"/>
      <c r="E357" s="204"/>
      <c r="F357" s="217"/>
      <c r="G357" s="192"/>
      <c r="H357" s="192"/>
      <c r="I357" s="52"/>
    </row>
    <row r="358" spans="4:9" x14ac:dyDescent="0.3">
      <c r="D358" s="199"/>
      <c r="E358" s="200"/>
      <c r="F358" s="216"/>
      <c r="G358" s="193"/>
      <c r="H358" s="193"/>
      <c r="I358" s="194"/>
    </row>
    <row r="359" spans="4:9" x14ac:dyDescent="0.3">
      <c r="D359" s="203"/>
      <c r="E359" s="204"/>
      <c r="F359" s="217"/>
      <c r="G359" s="192"/>
      <c r="H359" s="192"/>
      <c r="I359" s="52"/>
    </row>
    <row r="360" spans="4:9" x14ac:dyDescent="0.3">
      <c r="D360" s="199"/>
      <c r="E360" s="200"/>
      <c r="F360" s="216"/>
      <c r="G360" s="193"/>
      <c r="H360" s="193"/>
      <c r="I360" s="194"/>
    </row>
    <row r="361" spans="4:9" x14ac:dyDescent="0.3">
      <c r="D361" s="203"/>
      <c r="E361" s="204"/>
      <c r="F361" s="217"/>
      <c r="G361" s="192"/>
      <c r="H361" s="192"/>
      <c r="I361" s="52"/>
    </row>
    <row r="362" spans="4:9" x14ac:dyDescent="0.3">
      <c r="D362" s="199"/>
      <c r="E362" s="200"/>
      <c r="F362" s="216"/>
      <c r="G362" s="193"/>
      <c r="H362" s="193"/>
      <c r="I362" s="194"/>
    </row>
    <row r="363" spans="4:9" x14ac:dyDescent="0.3">
      <c r="D363" s="203"/>
      <c r="E363" s="204"/>
      <c r="F363" s="217"/>
      <c r="G363" s="192"/>
      <c r="H363" s="192"/>
      <c r="I363" s="52"/>
    </row>
    <row r="364" spans="4:9" x14ac:dyDescent="0.3">
      <c r="D364" s="199"/>
      <c r="E364" s="200"/>
      <c r="F364" s="216"/>
      <c r="G364" s="193"/>
      <c r="H364" s="193"/>
      <c r="I364" s="194"/>
    </row>
    <row r="365" spans="4:9" x14ac:dyDescent="0.3">
      <c r="D365" s="203"/>
      <c r="E365" s="204"/>
      <c r="F365" s="217"/>
      <c r="G365" s="192"/>
      <c r="H365" s="192"/>
      <c r="I365" s="52"/>
    </row>
    <row r="366" spans="4:9" x14ac:dyDescent="0.3">
      <c r="D366" s="199"/>
      <c r="E366" s="200"/>
      <c r="F366" s="216"/>
      <c r="G366" s="193"/>
      <c r="H366" s="193"/>
      <c r="I366" s="194"/>
    </row>
    <row r="367" spans="4:9" x14ac:dyDescent="0.3">
      <c r="D367" s="203"/>
      <c r="E367" s="204"/>
      <c r="F367" s="217"/>
      <c r="G367" s="192"/>
      <c r="H367" s="192"/>
      <c r="I367" s="52"/>
    </row>
    <row r="368" spans="4:9" x14ac:dyDescent="0.3">
      <c r="D368" s="199"/>
      <c r="E368" s="200"/>
      <c r="F368" s="216"/>
      <c r="G368" s="193"/>
      <c r="H368" s="193"/>
      <c r="I368" s="194"/>
    </row>
    <row r="369" spans="4:9" x14ac:dyDescent="0.3">
      <c r="D369" s="203"/>
      <c r="E369" s="204"/>
      <c r="F369" s="217"/>
      <c r="G369" s="192"/>
      <c r="H369" s="192"/>
      <c r="I369" s="52"/>
    </row>
    <row r="370" spans="4:9" x14ac:dyDescent="0.3">
      <c r="D370" s="199"/>
      <c r="E370" s="200"/>
      <c r="F370" s="216"/>
      <c r="G370" s="193"/>
      <c r="H370" s="193"/>
      <c r="I370" s="194"/>
    </row>
    <row r="371" spans="4:9" x14ac:dyDescent="0.3">
      <c r="D371" s="203"/>
      <c r="E371" s="204"/>
      <c r="F371" s="217"/>
      <c r="G371" s="192"/>
      <c r="H371" s="192"/>
      <c r="I371" s="52"/>
    </row>
    <row r="372" spans="4:9" x14ac:dyDescent="0.3">
      <c r="D372" s="199"/>
      <c r="E372" s="200"/>
      <c r="F372" s="216"/>
      <c r="G372" s="193"/>
      <c r="H372" s="193"/>
      <c r="I372" s="194"/>
    </row>
    <row r="373" spans="4:9" x14ac:dyDescent="0.3">
      <c r="D373" s="203"/>
      <c r="E373" s="204"/>
      <c r="F373" s="217"/>
      <c r="G373" s="192"/>
      <c r="H373" s="192"/>
      <c r="I373" s="52"/>
    </row>
    <row r="374" spans="4:9" x14ac:dyDescent="0.3">
      <c r="D374" s="199"/>
      <c r="E374" s="200"/>
      <c r="F374" s="216"/>
      <c r="G374" s="193"/>
      <c r="H374" s="193"/>
      <c r="I374" s="194"/>
    </row>
    <row r="375" spans="4:9" x14ac:dyDescent="0.3">
      <c r="D375" s="203"/>
      <c r="E375" s="204"/>
      <c r="F375" s="217"/>
      <c r="G375" s="192"/>
      <c r="H375" s="192"/>
      <c r="I375" s="52"/>
    </row>
    <row r="376" spans="4:9" x14ac:dyDescent="0.3">
      <c r="D376" s="199"/>
      <c r="E376" s="200"/>
      <c r="F376" s="216"/>
      <c r="G376" s="193"/>
      <c r="H376" s="193"/>
      <c r="I376" s="194"/>
    </row>
    <row r="377" spans="4:9" x14ac:dyDescent="0.3">
      <c r="D377" s="203"/>
      <c r="E377" s="204"/>
      <c r="F377" s="217"/>
      <c r="G377" s="192"/>
      <c r="H377" s="192"/>
      <c r="I377" s="52"/>
    </row>
    <row r="378" spans="4:9" x14ac:dyDescent="0.3">
      <c r="D378" s="199"/>
      <c r="E378" s="200"/>
      <c r="F378" s="216"/>
      <c r="G378" s="193"/>
      <c r="H378" s="193"/>
      <c r="I378" s="194"/>
    </row>
    <row r="379" spans="4:9" x14ac:dyDescent="0.3">
      <c r="D379" s="203"/>
      <c r="E379" s="204"/>
      <c r="F379" s="217"/>
      <c r="G379" s="192"/>
      <c r="H379" s="192"/>
      <c r="I379" s="52"/>
    </row>
    <row r="380" spans="4:9" x14ac:dyDescent="0.3">
      <c r="D380" s="199"/>
      <c r="E380" s="200"/>
      <c r="F380" s="216"/>
      <c r="G380" s="193"/>
      <c r="H380" s="193"/>
      <c r="I380" s="194"/>
    </row>
    <row r="381" spans="4:9" x14ac:dyDescent="0.3">
      <c r="D381" s="203"/>
      <c r="E381" s="204"/>
      <c r="F381" s="217"/>
      <c r="G381" s="192"/>
      <c r="H381" s="192"/>
      <c r="I381" s="52"/>
    </row>
    <row r="382" spans="4:9" x14ac:dyDescent="0.3">
      <c r="D382" s="199"/>
      <c r="E382" s="200"/>
      <c r="F382" s="216"/>
      <c r="G382" s="193"/>
      <c r="H382" s="193"/>
      <c r="I382" s="194"/>
    </row>
    <row r="383" spans="4:9" x14ac:dyDescent="0.3">
      <c r="D383" s="203"/>
      <c r="E383" s="204"/>
      <c r="F383" s="217"/>
      <c r="G383" s="192"/>
      <c r="H383" s="192"/>
      <c r="I383" s="52"/>
    </row>
    <row r="384" spans="4:9" x14ac:dyDescent="0.3">
      <c r="D384" s="199"/>
      <c r="E384" s="200"/>
      <c r="F384" s="216"/>
      <c r="G384" s="193"/>
      <c r="H384" s="193"/>
      <c r="I384" s="194"/>
    </row>
    <row r="385" spans="4:9" x14ac:dyDescent="0.3">
      <c r="D385" s="203"/>
      <c r="E385" s="204"/>
      <c r="F385" s="217"/>
      <c r="G385" s="192"/>
      <c r="H385" s="192"/>
      <c r="I385" s="52"/>
    </row>
    <row r="386" spans="4:9" x14ac:dyDescent="0.3">
      <c r="D386" s="199"/>
      <c r="E386" s="200"/>
      <c r="F386" s="216"/>
      <c r="G386" s="193"/>
      <c r="H386" s="193"/>
      <c r="I386" s="194"/>
    </row>
    <row r="387" spans="4:9" x14ac:dyDescent="0.3">
      <c r="D387" s="203"/>
      <c r="E387" s="204"/>
      <c r="F387" s="217"/>
      <c r="G387" s="192"/>
      <c r="H387" s="192"/>
      <c r="I387" s="52"/>
    </row>
    <row r="388" spans="4:9" x14ac:dyDescent="0.3">
      <c r="D388" s="199"/>
      <c r="E388" s="200"/>
      <c r="F388" s="216"/>
      <c r="G388" s="193"/>
      <c r="H388" s="193"/>
      <c r="I388" s="194"/>
    </row>
    <row r="389" spans="4:9" x14ac:dyDescent="0.3">
      <c r="D389" s="203"/>
      <c r="E389" s="204"/>
      <c r="F389" s="217"/>
      <c r="G389" s="192"/>
      <c r="H389" s="192"/>
      <c r="I389" s="52"/>
    </row>
    <row r="390" spans="4:9" x14ac:dyDescent="0.3">
      <c r="D390" s="199"/>
      <c r="E390" s="200"/>
      <c r="F390" s="216"/>
      <c r="G390" s="193"/>
      <c r="H390" s="193"/>
      <c r="I390" s="194"/>
    </row>
    <row r="391" spans="4:9" x14ac:dyDescent="0.3">
      <c r="D391" s="203"/>
      <c r="E391" s="204"/>
      <c r="F391" s="217"/>
      <c r="G391" s="192"/>
      <c r="H391" s="192"/>
      <c r="I391" s="52"/>
    </row>
    <row r="392" spans="4:9" x14ac:dyDescent="0.3">
      <c r="D392" s="199"/>
      <c r="E392" s="200"/>
      <c r="F392" s="216"/>
      <c r="G392" s="193"/>
      <c r="H392" s="193"/>
      <c r="I392" s="194"/>
    </row>
    <row r="393" spans="4:9" x14ac:dyDescent="0.3">
      <c r="D393" s="203"/>
      <c r="E393" s="204"/>
      <c r="F393" s="217"/>
      <c r="G393" s="192"/>
      <c r="H393" s="192"/>
      <c r="I393" s="52"/>
    </row>
    <row r="394" spans="4:9" x14ac:dyDescent="0.3">
      <c r="D394" s="199"/>
      <c r="E394" s="200"/>
      <c r="F394" s="216"/>
      <c r="G394" s="193"/>
      <c r="H394" s="193"/>
      <c r="I394" s="194"/>
    </row>
    <row r="395" spans="4:9" x14ac:dyDescent="0.3">
      <c r="D395" s="203"/>
      <c r="E395" s="204"/>
      <c r="F395" s="217"/>
      <c r="G395" s="192"/>
      <c r="H395" s="192"/>
      <c r="I395" s="52"/>
    </row>
    <row r="396" spans="4:9" x14ac:dyDescent="0.3">
      <c r="D396" s="199"/>
      <c r="E396" s="200"/>
      <c r="F396" s="216"/>
      <c r="G396" s="193"/>
      <c r="H396" s="193"/>
      <c r="I396" s="194"/>
    </row>
    <row r="397" spans="4:9" x14ac:dyDescent="0.3">
      <c r="D397" s="203"/>
      <c r="E397" s="204"/>
      <c r="F397" s="217"/>
      <c r="G397" s="192"/>
      <c r="H397" s="192"/>
      <c r="I397" s="52"/>
    </row>
    <row r="398" spans="4:9" x14ac:dyDescent="0.3">
      <c r="D398" s="199"/>
      <c r="E398" s="200"/>
      <c r="F398" s="216"/>
      <c r="G398" s="193"/>
      <c r="H398" s="193"/>
      <c r="I398" s="194"/>
    </row>
    <row r="399" spans="4:9" x14ac:dyDescent="0.3">
      <c r="D399" s="203"/>
      <c r="E399" s="204"/>
      <c r="F399" s="217"/>
      <c r="G399" s="192"/>
      <c r="H399" s="192"/>
      <c r="I399" s="52"/>
    </row>
    <row r="400" spans="4:9" x14ac:dyDescent="0.3">
      <c r="D400" s="199"/>
      <c r="E400" s="200"/>
      <c r="F400" s="216"/>
      <c r="G400" s="193"/>
      <c r="H400" s="193"/>
      <c r="I400" s="194"/>
    </row>
    <row r="401" spans="4:9" x14ac:dyDescent="0.3">
      <c r="D401" s="203"/>
      <c r="E401" s="204"/>
      <c r="F401" s="217"/>
      <c r="G401" s="192"/>
      <c r="H401" s="192"/>
      <c r="I401" s="52"/>
    </row>
    <row r="402" spans="4:9" x14ac:dyDescent="0.3">
      <c r="D402" s="199"/>
      <c r="E402" s="200"/>
      <c r="F402" s="216"/>
      <c r="G402" s="193"/>
      <c r="H402" s="193"/>
      <c r="I402" s="194"/>
    </row>
    <row r="403" spans="4:9" x14ac:dyDescent="0.3">
      <c r="D403" s="203"/>
      <c r="E403" s="204"/>
      <c r="F403" s="217"/>
      <c r="G403" s="192"/>
      <c r="H403" s="192"/>
      <c r="I403" s="52"/>
    </row>
    <row r="404" spans="4:9" x14ac:dyDescent="0.3">
      <c r="D404" s="199"/>
      <c r="E404" s="200"/>
      <c r="F404" s="216"/>
      <c r="G404" s="193"/>
      <c r="H404" s="193"/>
      <c r="I404" s="194"/>
    </row>
    <row r="405" spans="4:9" x14ac:dyDescent="0.3">
      <c r="D405" s="203"/>
      <c r="E405" s="204"/>
      <c r="F405" s="217"/>
      <c r="G405" s="192"/>
      <c r="H405" s="192"/>
      <c r="I405" s="52"/>
    </row>
    <row r="406" spans="4:9" x14ac:dyDescent="0.3">
      <c r="D406" s="199"/>
      <c r="E406" s="200"/>
      <c r="F406" s="216"/>
      <c r="G406" s="193"/>
      <c r="H406" s="193"/>
      <c r="I406" s="194"/>
    </row>
    <row r="407" spans="4:9" x14ac:dyDescent="0.3">
      <c r="D407" s="203"/>
      <c r="E407" s="204"/>
      <c r="F407" s="217"/>
      <c r="G407" s="192"/>
      <c r="H407" s="192"/>
      <c r="I407" s="52"/>
    </row>
    <row r="408" spans="4:9" x14ac:dyDescent="0.3">
      <c r="D408" s="199"/>
      <c r="E408" s="200"/>
      <c r="F408" s="216"/>
      <c r="G408" s="193"/>
      <c r="H408" s="193"/>
      <c r="I408" s="194"/>
    </row>
    <row r="409" spans="4:9" x14ac:dyDescent="0.3">
      <c r="D409" s="203"/>
      <c r="E409" s="204"/>
      <c r="F409" s="217"/>
      <c r="G409" s="192"/>
      <c r="H409" s="192"/>
      <c r="I409" s="52"/>
    </row>
    <row r="410" spans="4:9" x14ac:dyDescent="0.3">
      <c r="D410" s="199"/>
      <c r="E410" s="200"/>
      <c r="F410" s="216"/>
      <c r="G410" s="193"/>
      <c r="H410" s="193"/>
      <c r="I410" s="194"/>
    </row>
    <row r="411" spans="4:9" x14ac:dyDescent="0.3">
      <c r="D411" s="203"/>
      <c r="E411" s="204"/>
      <c r="F411" s="217"/>
      <c r="G411" s="192"/>
      <c r="H411" s="192"/>
      <c r="I411" s="52"/>
    </row>
    <row r="412" spans="4:9" x14ac:dyDescent="0.3">
      <c r="D412" s="199"/>
      <c r="E412" s="200"/>
      <c r="F412" s="216"/>
      <c r="G412" s="193"/>
      <c r="H412" s="193"/>
      <c r="I412" s="194"/>
    </row>
    <row r="413" spans="4:9" x14ac:dyDescent="0.3">
      <c r="D413" s="203"/>
      <c r="E413" s="204"/>
      <c r="F413" s="217"/>
      <c r="G413" s="192"/>
      <c r="H413" s="192"/>
      <c r="I413" s="52"/>
    </row>
    <row r="414" spans="4:9" x14ac:dyDescent="0.3">
      <c r="D414" s="199"/>
      <c r="E414" s="200"/>
      <c r="F414" s="216"/>
      <c r="G414" s="193"/>
      <c r="H414" s="193"/>
      <c r="I414" s="194"/>
    </row>
    <row r="415" spans="4:9" x14ac:dyDescent="0.3">
      <c r="D415" s="203"/>
      <c r="E415" s="204"/>
      <c r="F415" s="217"/>
      <c r="G415" s="192"/>
      <c r="H415" s="192"/>
      <c r="I415" s="52"/>
    </row>
    <row r="416" spans="4:9" x14ac:dyDescent="0.3">
      <c r="D416" s="199"/>
      <c r="E416" s="200"/>
      <c r="F416" s="216"/>
      <c r="G416" s="193"/>
      <c r="H416" s="193"/>
      <c r="I416" s="194"/>
    </row>
    <row r="417" spans="4:9" x14ac:dyDescent="0.3">
      <c r="D417" s="203"/>
      <c r="E417" s="204"/>
      <c r="F417" s="217"/>
      <c r="G417" s="192"/>
      <c r="H417" s="192"/>
      <c r="I417" s="52"/>
    </row>
    <row r="418" spans="4:9" x14ac:dyDescent="0.3">
      <c r="D418" s="199"/>
      <c r="E418" s="200"/>
      <c r="F418" s="216"/>
      <c r="G418" s="193"/>
      <c r="H418" s="193"/>
      <c r="I418" s="194"/>
    </row>
    <row r="419" spans="4:9" x14ac:dyDescent="0.3">
      <c r="D419" s="203"/>
      <c r="E419" s="204"/>
      <c r="F419" s="217"/>
      <c r="G419" s="192"/>
      <c r="H419" s="192"/>
      <c r="I419" s="52"/>
    </row>
    <row r="420" spans="4:9" x14ac:dyDescent="0.3">
      <c r="D420" s="199"/>
      <c r="E420" s="200"/>
      <c r="F420" s="216"/>
      <c r="G420" s="193"/>
      <c r="H420" s="193"/>
      <c r="I420" s="194"/>
    </row>
    <row r="421" spans="4:9" x14ac:dyDescent="0.3">
      <c r="D421" s="203"/>
      <c r="E421" s="204"/>
      <c r="F421" s="217"/>
      <c r="G421" s="192"/>
      <c r="H421" s="192"/>
      <c r="I421" s="52"/>
    </row>
    <row r="422" spans="4:9" x14ac:dyDescent="0.3">
      <c r="D422" s="199"/>
      <c r="E422" s="200"/>
      <c r="F422" s="216"/>
      <c r="G422" s="193"/>
      <c r="H422" s="193"/>
      <c r="I422" s="194"/>
    </row>
    <row r="423" spans="4:9" x14ac:dyDescent="0.3">
      <c r="D423" s="203"/>
      <c r="E423" s="204"/>
      <c r="F423" s="217"/>
      <c r="G423" s="192"/>
      <c r="H423" s="192"/>
      <c r="I423" s="52"/>
    </row>
    <row r="424" spans="4:9" x14ac:dyDescent="0.3">
      <c r="D424" s="199"/>
      <c r="E424" s="200"/>
      <c r="F424" s="216"/>
      <c r="G424" s="193"/>
      <c r="H424" s="193"/>
      <c r="I424" s="194"/>
    </row>
    <row r="425" spans="4:9" x14ac:dyDescent="0.3">
      <c r="D425" s="203"/>
      <c r="E425" s="204"/>
      <c r="F425" s="217"/>
      <c r="G425" s="192"/>
      <c r="H425" s="192"/>
      <c r="I425" s="52"/>
    </row>
    <row r="426" spans="4:9" x14ac:dyDescent="0.3">
      <c r="D426" s="199"/>
      <c r="E426" s="200"/>
      <c r="F426" s="216"/>
      <c r="G426" s="193"/>
      <c r="H426" s="193"/>
      <c r="I426" s="194"/>
    </row>
    <row r="427" spans="4:9" x14ac:dyDescent="0.3">
      <c r="D427" s="203"/>
      <c r="E427" s="204"/>
      <c r="F427" s="217"/>
      <c r="G427" s="192"/>
      <c r="H427" s="192"/>
      <c r="I427" s="52"/>
    </row>
    <row r="428" spans="4:9" x14ac:dyDescent="0.3">
      <c r="D428" s="199"/>
      <c r="E428" s="200"/>
      <c r="F428" s="216"/>
      <c r="G428" s="193"/>
      <c r="H428" s="193"/>
      <c r="I428" s="194"/>
    </row>
    <row r="429" spans="4:9" x14ac:dyDescent="0.3">
      <c r="D429" s="203"/>
      <c r="E429" s="204"/>
      <c r="F429" s="217"/>
      <c r="G429" s="192"/>
      <c r="H429" s="192"/>
      <c r="I429" s="52"/>
    </row>
    <row r="430" spans="4:9" x14ac:dyDescent="0.3">
      <c r="D430" s="199"/>
      <c r="E430" s="200"/>
      <c r="F430" s="216"/>
      <c r="G430" s="193"/>
      <c r="H430" s="193"/>
      <c r="I430" s="194"/>
    </row>
    <row r="431" spans="4:9" x14ac:dyDescent="0.3">
      <c r="D431" s="203"/>
      <c r="E431" s="204"/>
      <c r="F431" s="217"/>
      <c r="G431" s="192"/>
      <c r="H431" s="192"/>
      <c r="I431" s="52"/>
    </row>
    <row r="432" spans="4:9" x14ac:dyDescent="0.3">
      <c r="D432" s="199"/>
      <c r="E432" s="200"/>
      <c r="F432" s="216"/>
      <c r="G432" s="193"/>
      <c r="H432" s="193"/>
      <c r="I432" s="194"/>
    </row>
    <row r="433" spans="4:9" x14ac:dyDescent="0.3">
      <c r="D433" s="203"/>
      <c r="E433" s="204"/>
      <c r="F433" s="217"/>
      <c r="G433" s="192"/>
      <c r="H433" s="192"/>
      <c r="I433" s="52"/>
    </row>
    <row r="434" spans="4:9" x14ac:dyDescent="0.3">
      <c r="D434" s="199"/>
      <c r="E434" s="200"/>
      <c r="F434" s="216"/>
      <c r="G434" s="193"/>
      <c r="H434" s="193"/>
      <c r="I434" s="194"/>
    </row>
    <row r="435" spans="4:9" x14ac:dyDescent="0.3">
      <c r="D435" s="203"/>
      <c r="E435" s="204"/>
      <c r="F435" s="217"/>
      <c r="G435" s="192"/>
      <c r="H435" s="192"/>
      <c r="I435" s="52"/>
    </row>
    <row r="436" spans="4:9" x14ac:dyDescent="0.3">
      <c r="D436" s="199"/>
      <c r="E436" s="200"/>
      <c r="F436" s="216"/>
      <c r="G436" s="193"/>
      <c r="H436" s="193"/>
      <c r="I436" s="194"/>
    </row>
    <row r="437" spans="4:9" x14ac:dyDescent="0.3">
      <c r="D437" s="203"/>
      <c r="E437" s="204"/>
      <c r="F437" s="217"/>
      <c r="G437" s="192"/>
      <c r="H437" s="192"/>
      <c r="I437" s="52"/>
    </row>
    <row r="438" spans="4:9" x14ac:dyDescent="0.3">
      <c r="D438" s="199"/>
      <c r="E438" s="200"/>
      <c r="F438" s="216"/>
      <c r="G438" s="193"/>
      <c r="H438" s="193"/>
      <c r="I438" s="194"/>
    </row>
    <row r="439" spans="4:9" x14ac:dyDescent="0.3">
      <c r="D439" s="203"/>
      <c r="E439" s="204"/>
      <c r="F439" s="217"/>
      <c r="G439" s="192"/>
      <c r="H439" s="192"/>
      <c r="I439" s="52"/>
    </row>
    <row r="440" spans="4:9" x14ac:dyDescent="0.3">
      <c r="D440" s="199"/>
      <c r="E440" s="200"/>
      <c r="F440" s="216"/>
      <c r="G440" s="193"/>
      <c r="H440" s="193"/>
      <c r="I440" s="194"/>
    </row>
    <row r="441" spans="4:9" x14ac:dyDescent="0.3">
      <c r="D441" s="203"/>
      <c r="E441" s="204"/>
      <c r="F441" s="217"/>
      <c r="G441" s="192"/>
      <c r="H441" s="192"/>
      <c r="I441" s="52"/>
    </row>
    <row r="442" spans="4:9" x14ac:dyDescent="0.3">
      <c r="D442" s="199"/>
      <c r="E442" s="200"/>
      <c r="F442" s="216"/>
      <c r="G442" s="193"/>
      <c r="H442" s="193"/>
      <c r="I442" s="194"/>
    </row>
    <row r="443" spans="4:9" x14ac:dyDescent="0.3">
      <c r="D443" s="203"/>
      <c r="E443" s="204"/>
      <c r="F443" s="217"/>
      <c r="G443" s="192"/>
      <c r="H443" s="192"/>
      <c r="I443" s="52"/>
    </row>
    <row r="444" spans="4:9" x14ac:dyDescent="0.3">
      <c r="D444" s="199"/>
      <c r="E444" s="200"/>
      <c r="F444" s="216"/>
      <c r="G444" s="193"/>
      <c r="H444" s="193"/>
      <c r="I444" s="194"/>
    </row>
    <row r="445" spans="4:9" x14ac:dyDescent="0.3">
      <c r="D445" s="203"/>
      <c r="E445" s="204"/>
      <c r="F445" s="217"/>
      <c r="G445" s="192"/>
      <c r="H445" s="192"/>
      <c r="I445" s="52"/>
    </row>
    <row r="446" spans="4:9" x14ac:dyDescent="0.3">
      <c r="D446" s="199"/>
      <c r="E446" s="200"/>
      <c r="F446" s="216"/>
      <c r="G446" s="193"/>
      <c r="H446" s="193"/>
      <c r="I446" s="194"/>
    </row>
    <row r="447" spans="4:9" x14ac:dyDescent="0.3">
      <c r="D447" s="203"/>
      <c r="E447" s="204"/>
      <c r="F447" s="217"/>
      <c r="G447" s="192"/>
      <c r="H447" s="192"/>
      <c r="I447" s="52"/>
    </row>
    <row r="448" spans="4:9" x14ac:dyDescent="0.3">
      <c r="D448" s="199"/>
      <c r="E448" s="200"/>
      <c r="F448" s="216"/>
      <c r="G448" s="193"/>
      <c r="H448" s="193"/>
      <c r="I448" s="194"/>
    </row>
    <row r="449" spans="4:9" x14ac:dyDescent="0.3">
      <c r="D449" s="203"/>
      <c r="E449" s="204"/>
      <c r="F449" s="217"/>
      <c r="G449" s="192"/>
      <c r="H449" s="192"/>
      <c r="I449" s="52"/>
    </row>
    <row r="450" spans="4:9" x14ac:dyDescent="0.3">
      <c r="D450" s="199"/>
      <c r="E450" s="200"/>
      <c r="F450" s="216"/>
      <c r="G450" s="193"/>
      <c r="H450" s="193"/>
      <c r="I450" s="194"/>
    </row>
    <row r="451" spans="4:9" x14ac:dyDescent="0.3">
      <c r="D451" s="203"/>
      <c r="E451" s="204"/>
      <c r="F451" s="217"/>
      <c r="G451" s="192"/>
      <c r="H451" s="192"/>
      <c r="I451" s="52"/>
    </row>
    <row r="452" spans="4:9" x14ac:dyDescent="0.3">
      <c r="D452" s="199"/>
      <c r="E452" s="200"/>
      <c r="F452" s="216"/>
      <c r="G452" s="193"/>
      <c r="H452" s="193"/>
      <c r="I452" s="194"/>
    </row>
    <row r="453" spans="4:9" x14ac:dyDescent="0.3">
      <c r="D453" s="203"/>
      <c r="E453" s="204"/>
      <c r="F453" s="217"/>
      <c r="G453" s="192"/>
      <c r="H453" s="192"/>
      <c r="I453" s="52"/>
    </row>
    <row r="454" spans="4:9" x14ac:dyDescent="0.3">
      <c r="D454" s="199"/>
      <c r="E454" s="200"/>
      <c r="F454" s="216"/>
      <c r="G454" s="193"/>
      <c r="H454" s="193"/>
      <c r="I454" s="194"/>
    </row>
    <row r="455" spans="4:9" x14ac:dyDescent="0.3">
      <c r="D455" s="203"/>
      <c r="E455" s="204"/>
      <c r="F455" s="217"/>
      <c r="G455" s="192"/>
      <c r="H455" s="192"/>
      <c r="I455" s="52"/>
    </row>
    <row r="456" spans="4:9" x14ac:dyDescent="0.3">
      <c r="D456" s="199"/>
      <c r="E456" s="200"/>
      <c r="F456" s="216"/>
      <c r="G456" s="193"/>
      <c r="H456" s="193"/>
      <c r="I456" s="194"/>
    </row>
    <row r="457" spans="4:9" x14ac:dyDescent="0.3">
      <c r="D457" s="203"/>
      <c r="E457" s="204"/>
      <c r="F457" s="217"/>
      <c r="G457" s="192"/>
      <c r="H457" s="192"/>
      <c r="I457" s="52"/>
    </row>
    <row r="458" spans="4:9" x14ac:dyDescent="0.3">
      <c r="D458" s="199"/>
      <c r="E458" s="200"/>
      <c r="F458" s="216"/>
      <c r="G458" s="193"/>
      <c r="H458" s="193"/>
      <c r="I458" s="194"/>
    </row>
    <row r="459" spans="4:9" x14ac:dyDescent="0.3">
      <c r="D459" s="203"/>
      <c r="E459" s="204"/>
      <c r="F459" s="217"/>
      <c r="G459" s="192"/>
      <c r="H459" s="192"/>
      <c r="I459" s="52"/>
    </row>
    <row r="460" spans="4:9" x14ac:dyDescent="0.3">
      <c r="D460" s="199"/>
      <c r="E460" s="200"/>
      <c r="F460" s="216"/>
      <c r="G460" s="193"/>
      <c r="H460" s="193"/>
      <c r="I460" s="194"/>
    </row>
    <row r="461" spans="4:9" x14ac:dyDescent="0.3">
      <c r="D461" s="203"/>
      <c r="E461" s="204"/>
      <c r="F461" s="217"/>
      <c r="G461" s="192"/>
      <c r="H461" s="192"/>
      <c r="I461" s="52"/>
    </row>
    <row r="462" spans="4:9" x14ac:dyDescent="0.3">
      <c r="D462" s="199"/>
      <c r="E462" s="200"/>
      <c r="F462" s="216"/>
      <c r="G462" s="193"/>
      <c r="H462" s="193"/>
      <c r="I462" s="194"/>
    </row>
    <row r="463" spans="4:9" x14ac:dyDescent="0.3">
      <c r="D463" s="203"/>
      <c r="E463" s="204"/>
      <c r="F463" s="217"/>
      <c r="G463" s="192"/>
      <c r="H463" s="192"/>
      <c r="I463" s="52"/>
    </row>
    <row r="464" spans="4:9" x14ac:dyDescent="0.3">
      <c r="D464" s="199"/>
      <c r="E464" s="200"/>
      <c r="F464" s="216"/>
      <c r="G464" s="193"/>
      <c r="H464" s="193"/>
      <c r="I464" s="194"/>
    </row>
    <row r="465" spans="4:9" x14ac:dyDescent="0.3">
      <c r="D465" s="203"/>
      <c r="E465" s="204"/>
      <c r="F465" s="217"/>
      <c r="G465" s="192"/>
      <c r="H465" s="192"/>
      <c r="I465" s="52"/>
    </row>
    <row r="466" spans="4:9" x14ac:dyDescent="0.3">
      <c r="D466" s="199"/>
      <c r="E466" s="200"/>
      <c r="F466" s="216"/>
      <c r="G466" s="193"/>
      <c r="H466" s="193"/>
      <c r="I466" s="194"/>
    </row>
    <row r="467" spans="4:9" x14ac:dyDescent="0.3">
      <c r="D467" s="203"/>
      <c r="E467" s="204"/>
      <c r="F467" s="217"/>
      <c r="G467" s="192"/>
      <c r="H467" s="192"/>
      <c r="I467" s="52"/>
    </row>
    <row r="468" spans="4:9" x14ac:dyDescent="0.3">
      <c r="D468" s="199"/>
      <c r="E468" s="200"/>
      <c r="F468" s="216"/>
      <c r="G468" s="193"/>
      <c r="H468" s="193"/>
      <c r="I468" s="194"/>
    </row>
    <row r="469" spans="4:9" x14ac:dyDescent="0.3">
      <c r="D469" s="203"/>
      <c r="E469" s="204"/>
      <c r="F469" s="217"/>
      <c r="G469" s="192"/>
      <c r="H469" s="192"/>
      <c r="I469" s="52"/>
    </row>
    <row r="470" spans="4:9" x14ac:dyDescent="0.3">
      <c r="D470" s="199"/>
      <c r="E470" s="200"/>
      <c r="F470" s="216"/>
      <c r="G470" s="193"/>
      <c r="H470" s="193"/>
      <c r="I470" s="194"/>
    </row>
    <row r="471" spans="4:9" x14ac:dyDescent="0.3">
      <c r="D471" s="203"/>
      <c r="E471" s="204"/>
      <c r="F471" s="217"/>
      <c r="G471" s="192"/>
      <c r="H471" s="192"/>
      <c r="I471" s="52"/>
    </row>
    <row r="472" spans="4:9" x14ac:dyDescent="0.3">
      <c r="D472" s="199"/>
      <c r="E472" s="200"/>
      <c r="F472" s="216"/>
      <c r="G472" s="193"/>
      <c r="H472" s="193"/>
      <c r="I472" s="194"/>
    </row>
    <row r="473" spans="4:9" x14ac:dyDescent="0.3">
      <c r="D473" s="203"/>
      <c r="E473" s="204"/>
      <c r="F473" s="217"/>
      <c r="G473" s="192"/>
      <c r="H473" s="192"/>
      <c r="I473" s="52"/>
    </row>
    <row r="474" spans="4:9" x14ac:dyDescent="0.3">
      <c r="D474" s="199"/>
      <c r="E474" s="200"/>
      <c r="F474" s="216"/>
      <c r="G474" s="193"/>
      <c r="H474" s="193"/>
      <c r="I474" s="194"/>
    </row>
    <row r="475" spans="4:9" x14ac:dyDescent="0.3">
      <c r="D475" s="203"/>
      <c r="E475" s="204"/>
      <c r="F475" s="217"/>
      <c r="G475" s="192"/>
      <c r="H475" s="192"/>
      <c r="I475" s="52"/>
    </row>
    <row r="476" spans="4:9" x14ac:dyDescent="0.3">
      <c r="D476" s="199"/>
      <c r="E476" s="200"/>
      <c r="F476" s="216"/>
      <c r="G476" s="193"/>
      <c r="H476" s="193"/>
      <c r="I476" s="194"/>
    </row>
    <row r="477" spans="4:9" x14ac:dyDescent="0.3">
      <c r="D477" s="203"/>
      <c r="E477" s="204"/>
      <c r="F477" s="217"/>
      <c r="G477" s="192"/>
      <c r="H477" s="192"/>
      <c r="I477" s="52"/>
    </row>
    <row r="478" spans="4:9" x14ac:dyDescent="0.3">
      <c r="D478" s="199"/>
      <c r="E478" s="200"/>
      <c r="F478" s="216"/>
      <c r="G478" s="193"/>
      <c r="H478" s="193"/>
      <c r="I478" s="194"/>
    </row>
    <row r="479" spans="4:9" x14ac:dyDescent="0.3">
      <c r="D479" s="203"/>
      <c r="E479" s="204"/>
      <c r="F479" s="217"/>
      <c r="G479" s="192"/>
      <c r="H479" s="192"/>
      <c r="I479" s="52"/>
    </row>
    <row r="480" spans="4:9" x14ac:dyDescent="0.3">
      <c r="D480" s="199"/>
      <c r="E480" s="200"/>
      <c r="F480" s="216"/>
      <c r="G480" s="193"/>
      <c r="H480" s="193"/>
      <c r="I480" s="194"/>
    </row>
    <row r="481" spans="4:9" x14ac:dyDescent="0.3">
      <c r="D481" s="203"/>
      <c r="E481" s="204"/>
      <c r="F481" s="217"/>
      <c r="G481" s="192"/>
      <c r="H481" s="192"/>
      <c r="I481" s="52"/>
    </row>
    <row r="482" spans="4:9" x14ac:dyDescent="0.3">
      <c r="D482" s="199"/>
      <c r="E482" s="200"/>
      <c r="F482" s="216"/>
      <c r="G482" s="193"/>
      <c r="H482" s="193"/>
      <c r="I482" s="194"/>
    </row>
    <row r="483" spans="4:9" x14ac:dyDescent="0.3">
      <c r="D483" s="203"/>
      <c r="E483" s="204"/>
      <c r="F483" s="217"/>
      <c r="G483" s="192"/>
      <c r="H483" s="192"/>
      <c r="I483" s="52"/>
    </row>
    <row r="484" spans="4:9" x14ac:dyDescent="0.3">
      <c r="D484" s="199"/>
      <c r="E484" s="200"/>
      <c r="F484" s="216"/>
      <c r="G484" s="193"/>
      <c r="H484" s="193"/>
      <c r="I484" s="194"/>
    </row>
    <row r="485" spans="4:9" x14ac:dyDescent="0.3">
      <c r="D485" s="203"/>
      <c r="E485" s="204"/>
      <c r="F485" s="217"/>
      <c r="G485" s="192"/>
      <c r="H485" s="192"/>
      <c r="I485" s="52"/>
    </row>
    <row r="486" spans="4:9" x14ac:dyDescent="0.3">
      <c r="D486" s="199"/>
      <c r="E486" s="200"/>
      <c r="F486" s="216"/>
      <c r="G486" s="193"/>
      <c r="H486" s="193"/>
      <c r="I486" s="194"/>
    </row>
    <row r="487" spans="4:9" x14ac:dyDescent="0.3">
      <c r="D487" s="203"/>
      <c r="E487" s="204"/>
      <c r="F487" s="217"/>
      <c r="G487" s="192"/>
      <c r="H487" s="192"/>
      <c r="I487" s="52"/>
    </row>
    <row r="488" spans="4:9" x14ac:dyDescent="0.3">
      <c r="D488" s="199"/>
      <c r="E488" s="200"/>
      <c r="F488" s="216"/>
      <c r="G488" s="193"/>
      <c r="H488" s="193"/>
      <c r="I488" s="194"/>
    </row>
    <row r="489" spans="4:9" x14ac:dyDescent="0.3">
      <c r="D489" s="203"/>
      <c r="E489" s="204"/>
      <c r="F489" s="217"/>
      <c r="G489" s="192"/>
      <c r="H489" s="192"/>
      <c r="I489" s="52"/>
    </row>
    <row r="490" spans="4:9" x14ac:dyDescent="0.3">
      <c r="D490" s="199"/>
      <c r="E490" s="200"/>
      <c r="F490" s="216"/>
      <c r="G490" s="193"/>
      <c r="H490" s="193"/>
      <c r="I490" s="194"/>
    </row>
    <row r="491" spans="4:9" x14ac:dyDescent="0.3">
      <c r="D491" s="203"/>
      <c r="E491" s="204"/>
      <c r="F491" s="217"/>
      <c r="G491" s="192"/>
      <c r="H491" s="192"/>
      <c r="I491" s="52"/>
    </row>
    <row r="492" spans="4:9" x14ac:dyDescent="0.3">
      <c r="D492" s="199"/>
      <c r="E492" s="200"/>
      <c r="F492" s="216"/>
      <c r="G492" s="193"/>
      <c r="H492" s="193"/>
      <c r="I492" s="194"/>
    </row>
    <row r="493" spans="4:9" x14ac:dyDescent="0.3">
      <c r="D493" s="203"/>
      <c r="E493" s="204"/>
      <c r="F493" s="217"/>
      <c r="G493" s="192"/>
      <c r="H493" s="192"/>
      <c r="I493" s="52"/>
    </row>
    <row r="494" spans="4:9" x14ac:dyDescent="0.3">
      <c r="D494" s="199"/>
      <c r="E494" s="200"/>
      <c r="F494" s="216"/>
      <c r="G494" s="193"/>
      <c r="H494" s="193"/>
      <c r="I494" s="194"/>
    </row>
    <row r="495" spans="4:9" x14ac:dyDescent="0.3">
      <c r="D495" s="203"/>
      <c r="E495" s="204"/>
      <c r="F495" s="217"/>
      <c r="G495" s="192"/>
      <c r="H495" s="192"/>
      <c r="I495" s="52"/>
    </row>
    <row r="496" spans="4:9" x14ac:dyDescent="0.3">
      <c r="D496" s="199"/>
      <c r="E496" s="200"/>
      <c r="F496" s="216"/>
      <c r="G496" s="193"/>
      <c r="H496" s="193"/>
      <c r="I496" s="194"/>
    </row>
    <row r="497" spans="4:9" x14ac:dyDescent="0.3">
      <c r="D497" s="203"/>
      <c r="E497" s="204"/>
      <c r="F497" s="217"/>
      <c r="G497" s="192"/>
      <c r="H497" s="192"/>
      <c r="I497" s="52"/>
    </row>
    <row r="498" spans="4:9" x14ac:dyDescent="0.3">
      <c r="D498" s="199"/>
      <c r="E498" s="200"/>
      <c r="F498" s="216"/>
      <c r="G498" s="193"/>
      <c r="H498" s="193"/>
      <c r="I498" s="194"/>
    </row>
  </sheetData>
  <mergeCells count="1">
    <mergeCell ref="A1:B1"/>
  </mergeCells>
  <dataValidations count="1">
    <dataValidation type="list" allowBlank="1" showInputMessage="1" showErrorMessage="1" sqref="B2" xr:uid="{5B2DE317-3CBD-477D-97AC-5110A6A8EFED}">
      <formula1>"All,January,February,March,April,May,June,July,August,September,October,November,December"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3D2B0-C2EB-4B24-8403-23B1549CF688}">
  <sheetPr codeName="Sheet6">
    <tabColor rgb="FFFFB3B3"/>
  </sheetPr>
  <dimension ref="A1:L13"/>
  <sheetViews>
    <sheetView workbookViewId="0">
      <selection activeCell="D10" sqref="D10"/>
    </sheetView>
  </sheetViews>
  <sheetFormatPr defaultRowHeight="14.4" x14ac:dyDescent="0.3"/>
  <cols>
    <col min="1" max="1" width="17.44140625" customWidth="1"/>
    <col min="2" max="2" width="19.88671875" customWidth="1"/>
    <col min="3" max="3" width="20.6640625" customWidth="1"/>
    <col min="4" max="4" width="21.21875" customWidth="1"/>
    <col min="5" max="5" width="20.21875" customWidth="1"/>
    <col min="6" max="6" width="19.5546875" customWidth="1"/>
    <col min="7" max="7" width="22.21875" customWidth="1"/>
    <col min="8" max="8" width="44.33203125" customWidth="1"/>
    <col min="9" max="9" width="9" customWidth="1"/>
    <col min="10" max="12" width="17.44140625" customWidth="1"/>
    <col min="13" max="13" width="18.77734375" customWidth="1"/>
  </cols>
  <sheetData>
    <row r="1" spans="1:12" ht="17.399999999999999" customHeight="1" x14ac:dyDescent="0.3">
      <c r="A1" s="1" t="s">
        <v>42</v>
      </c>
      <c r="B1" s="1" t="s">
        <v>43</v>
      </c>
      <c r="C1" s="1" t="s">
        <v>249</v>
      </c>
      <c r="D1" s="1" t="s">
        <v>44</v>
      </c>
      <c r="E1" s="1" t="s">
        <v>250</v>
      </c>
      <c r="F1" s="1" t="s">
        <v>45</v>
      </c>
      <c r="G1" s="1" t="s">
        <v>46</v>
      </c>
      <c r="H1" s="40" t="s">
        <v>7</v>
      </c>
      <c r="J1" s="90"/>
      <c r="K1" s="90"/>
      <c r="L1" s="90"/>
    </row>
    <row r="2" spans="1:12" ht="15.6" customHeight="1" x14ac:dyDescent="0.3">
      <c r="A2" s="2" t="s">
        <v>100</v>
      </c>
      <c r="B2" s="243"/>
      <c r="C2" s="261"/>
      <c r="D2" s="261"/>
      <c r="E2" s="261">
        <f>SUMIFS(allSellings_table[*Price], allSellings_table[Month], monthlyReport_table[[#This Row],[Month]])</f>
        <v>0</v>
      </c>
      <c r="F2" s="261">
        <f>SUMIFS(allExpenses_table[*Price], allExpenses_table[Month], monthlyReport_table[[#This Row],[Month]])</f>
        <v>0</v>
      </c>
      <c r="G2" s="261">
        <f>monthlyReport_table[[#This Row],[Students Payment]]+monthlyReport_table[[#This Row],[Sellings]]-monthlyReport_table[[#This Row],[Teacher Income]]-monthlyReport_table[[#This Row],[Expenses]]</f>
        <v>0</v>
      </c>
      <c r="H2" s="5"/>
    </row>
    <row r="3" spans="1:12" ht="15.6" customHeight="1" x14ac:dyDescent="0.3">
      <c r="A3" s="2" t="s">
        <v>108</v>
      </c>
      <c r="B3" s="243"/>
      <c r="C3" s="261"/>
      <c r="D3" s="261"/>
      <c r="E3" s="261">
        <f>SUMIFS(allSellings_table[*Price], allSellings_table[Month], monthlyReport_table[[#This Row],[Month]])</f>
        <v>0</v>
      </c>
      <c r="F3" s="261">
        <f>SUMIFS(allExpenses_table[*Price], allExpenses_table[Month], monthlyReport_table[[#This Row],[Month]])</f>
        <v>0</v>
      </c>
      <c r="G3" s="261">
        <f>monthlyReport_table[[#This Row],[Students Payment]]+monthlyReport_table[[#This Row],[Sellings]]-monthlyReport_table[[#This Row],[Teacher Income]]-monthlyReport_table[[#This Row],[Expenses]]</f>
        <v>0</v>
      </c>
      <c r="H3" s="5"/>
    </row>
    <row r="4" spans="1:12" ht="15.6" customHeight="1" x14ac:dyDescent="0.3">
      <c r="A4" s="2" t="s">
        <v>99</v>
      </c>
      <c r="B4" s="243"/>
      <c r="C4" s="261"/>
      <c r="D4" s="261"/>
      <c r="E4" s="261">
        <f>SUMIFS(allSellings_table[*Price], allSellings_table[Month], monthlyReport_table[[#This Row],[Month]])</f>
        <v>0</v>
      </c>
      <c r="F4" s="261">
        <f>SUMIFS(allExpenses_table[*Price], allExpenses_table[Month], monthlyReport_table[[#This Row],[Month]])</f>
        <v>0</v>
      </c>
      <c r="G4" s="261">
        <f>monthlyReport_table[[#This Row],[Students Payment]]+monthlyReport_table[[#This Row],[Sellings]]-monthlyReport_table[[#This Row],[Teacher Income]]-monthlyReport_table[[#This Row],[Expenses]]</f>
        <v>0</v>
      </c>
      <c r="H4" s="5"/>
    </row>
    <row r="5" spans="1:12" ht="15.6" customHeight="1" x14ac:dyDescent="0.3">
      <c r="A5" s="2" t="s">
        <v>109</v>
      </c>
      <c r="B5" s="243"/>
      <c r="C5" s="261"/>
      <c r="D5" s="261"/>
      <c r="E5" s="261">
        <f>SUMIFS(allSellings_table[*Price], allSellings_table[Month], monthlyReport_table[[#This Row],[Month]])</f>
        <v>0</v>
      </c>
      <c r="F5" s="261">
        <f>SUMIFS(allExpenses_table[*Price], allExpenses_table[Month], monthlyReport_table[[#This Row],[Month]])</f>
        <v>0</v>
      </c>
      <c r="G5" s="261">
        <f>monthlyReport_table[[#This Row],[Students Payment]]+monthlyReport_table[[#This Row],[Sellings]]-monthlyReport_table[[#This Row],[Teacher Income]]-monthlyReport_table[[#This Row],[Expenses]]</f>
        <v>0</v>
      </c>
      <c r="H5" s="5"/>
    </row>
    <row r="6" spans="1:12" ht="15.6" customHeight="1" x14ac:dyDescent="0.3">
      <c r="A6" s="2" t="s">
        <v>39</v>
      </c>
      <c r="B6" s="243"/>
      <c r="C6" s="261"/>
      <c r="D6" s="261"/>
      <c r="E6" s="261">
        <f>SUMIFS(allSellings_table[*Price], allSellings_table[Month], monthlyReport_table[[#This Row],[Month]])</f>
        <v>0</v>
      </c>
      <c r="F6" s="261">
        <f>SUMIFS(allExpenses_table[*Price], allExpenses_table[Month], monthlyReport_table[[#This Row],[Month]])</f>
        <v>0</v>
      </c>
      <c r="G6" s="261">
        <f>monthlyReport_table[[#This Row],[Students Payment]]+monthlyReport_table[[#This Row],[Sellings]]-monthlyReport_table[[#This Row],[Teacher Income]]-monthlyReport_table[[#This Row],[Expenses]]</f>
        <v>0</v>
      </c>
      <c r="H6" s="5"/>
    </row>
    <row r="7" spans="1:12" ht="15.6" customHeight="1" x14ac:dyDescent="0.3">
      <c r="A7" s="2" t="s">
        <v>110</v>
      </c>
      <c r="B7" s="243"/>
      <c r="C7" s="261"/>
      <c r="D7" s="261"/>
      <c r="E7" s="261">
        <f>SUMIFS(allSellings_table[*Price], allSellings_table[Month], monthlyReport_table[[#This Row],[Month]])</f>
        <v>0</v>
      </c>
      <c r="F7" s="261">
        <f>SUMIFS(allExpenses_table[*Price], allExpenses_table[Month], monthlyReport_table[[#This Row],[Month]])</f>
        <v>0</v>
      </c>
      <c r="G7" s="261">
        <f>monthlyReport_table[[#This Row],[Students Payment]]+monthlyReport_table[[#This Row],[Sellings]]-monthlyReport_table[[#This Row],[Teacher Income]]-monthlyReport_table[[#This Row],[Expenses]]</f>
        <v>0</v>
      </c>
      <c r="H7" s="236"/>
    </row>
    <row r="8" spans="1:12" ht="15.6" customHeight="1" x14ac:dyDescent="0.3">
      <c r="A8" s="2" t="s">
        <v>111</v>
      </c>
      <c r="B8" s="243"/>
      <c r="C8" s="261"/>
      <c r="D8" s="261"/>
      <c r="E8" s="261">
        <f>SUMIFS(allSellings_table[*Price], allSellings_table[Month], monthlyReport_table[[#This Row],[Month]])</f>
        <v>0</v>
      </c>
      <c r="F8" s="261">
        <f>SUMIFS(allExpenses_table[*Price], allExpenses_table[Month], monthlyReport_table[[#This Row],[Month]])</f>
        <v>0</v>
      </c>
      <c r="G8" s="261">
        <f>monthlyReport_table[[#This Row],[Students Payment]]+monthlyReport_table[[#This Row],[Sellings]]-monthlyReport_table[[#This Row],[Teacher Income]]-monthlyReport_table[[#This Row],[Expenses]]</f>
        <v>0</v>
      </c>
      <c r="H8" s="5"/>
    </row>
    <row r="9" spans="1:12" ht="15.6" customHeight="1" x14ac:dyDescent="0.3">
      <c r="A9" s="2" t="s">
        <v>112</v>
      </c>
      <c r="B9" s="243"/>
      <c r="C9" s="261"/>
      <c r="D9" s="261"/>
      <c r="E9" s="261">
        <f>SUMIFS(allSellings_table[*Price], allSellings_table[Month], monthlyReport_table[[#This Row],[Month]])</f>
        <v>0</v>
      </c>
      <c r="F9" s="261">
        <f>SUMIFS(allExpenses_table[*Price], allExpenses_table[Month], monthlyReport_table[[#This Row],[Month]])</f>
        <v>0</v>
      </c>
      <c r="G9" s="261">
        <f>monthlyReport_table[[#This Row],[Students Payment]]+monthlyReport_table[[#This Row],[Sellings]]-monthlyReport_table[[#This Row],[Teacher Income]]-monthlyReport_table[[#This Row],[Expenses]]</f>
        <v>0</v>
      </c>
      <c r="H9" s="5"/>
    </row>
    <row r="10" spans="1:12" ht="15.6" customHeight="1" x14ac:dyDescent="0.3">
      <c r="A10" s="2" t="s">
        <v>113</v>
      </c>
      <c r="B10" s="243"/>
      <c r="C10" s="261"/>
      <c r="D10" s="261"/>
      <c r="E10" s="261">
        <f>SUMIFS(allSellings_table[*Price], allSellings_table[Month], monthlyReport_table[[#This Row],[Month]])</f>
        <v>8400</v>
      </c>
      <c r="F10" s="261">
        <f>SUMIFS(allExpenses_table[*Price], allExpenses_table[Month], monthlyReport_table[[#This Row],[Month]])</f>
        <v>2030</v>
      </c>
      <c r="G10" s="261">
        <f>monthlyReport_table[[#This Row],[Students Payment]]+monthlyReport_table[[#This Row],[Sellings]]-monthlyReport_table[[#This Row],[Teacher Income]]-monthlyReport_table[[#This Row],[Expenses]]</f>
        <v>6370</v>
      </c>
      <c r="H10" s="5"/>
    </row>
    <row r="11" spans="1:12" ht="15.6" customHeight="1" x14ac:dyDescent="0.3">
      <c r="A11" s="2" t="s">
        <v>114</v>
      </c>
      <c r="B11" s="243"/>
      <c r="C11" s="261"/>
      <c r="D11" s="261"/>
      <c r="E11" s="261">
        <f>SUMIFS(allSellings_table[*Price], allSellings_table[Month], monthlyReport_table[[#This Row],[Month]])</f>
        <v>0</v>
      </c>
      <c r="F11" s="261">
        <f>SUMIFS(allExpenses_table[*Price], allExpenses_table[Month], monthlyReport_table[[#This Row],[Month]])</f>
        <v>0</v>
      </c>
      <c r="G11" s="261">
        <f>monthlyReport_table[[#This Row],[Students Payment]]+monthlyReport_table[[#This Row],[Sellings]]-monthlyReport_table[[#This Row],[Teacher Income]]-monthlyReport_table[[#This Row],[Expenses]]</f>
        <v>0</v>
      </c>
      <c r="H11" s="5"/>
    </row>
    <row r="12" spans="1:12" ht="15.6" customHeight="1" x14ac:dyDescent="0.3">
      <c r="A12" s="2" t="s">
        <v>115</v>
      </c>
      <c r="B12" s="243"/>
      <c r="C12" s="261"/>
      <c r="D12" s="261"/>
      <c r="E12" s="261">
        <f>SUMIFS(allSellings_table[*Price], allSellings_table[Month], monthlyReport_table[[#This Row],[Month]])</f>
        <v>0</v>
      </c>
      <c r="F12" s="261">
        <f>SUMIFS(allExpenses_table[*Price], allExpenses_table[Month], monthlyReport_table[[#This Row],[Month]])</f>
        <v>0</v>
      </c>
      <c r="G12" s="261">
        <f>monthlyReport_table[[#This Row],[Students Payment]]+monthlyReport_table[[#This Row],[Sellings]]-monthlyReport_table[[#This Row],[Teacher Income]]-monthlyReport_table[[#This Row],[Expenses]]</f>
        <v>0</v>
      </c>
      <c r="H12" s="5"/>
    </row>
    <row r="13" spans="1:12" ht="15.6" customHeight="1" x14ac:dyDescent="0.3">
      <c r="A13" s="2" t="s">
        <v>116</v>
      </c>
      <c r="B13" s="243"/>
      <c r="C13" s="261"/>
      <c r="D13" s="261"/>
      <c r="E13" s="261">
        <f>SUMIFS(allSellings_table[*Price], allSellings_table[Month], monthlyReport_table[[#This Row],[Month]])</f>
        <v>0</v>
      </c>
      <c r="F13" s="261">
        <f>SUMIFS(allExpenses_table[*Price], allExpenses_table[Month], monthlyReport_table[[#This Row],[Month]])</f>
        <v>0</v>
      </c>
      <c r="G13" s="261">
        <f>monthlyReport_table[[#This Row],[Students Payment]]+monthlyReport_table[[#This Row],[Sellings]]-monthlyReport_table[[#This Row],[Teacher Income]]-monthlyReport_table[[#This Row],[Expenses]]</f>
        <v>0</v>
      </c>
      <c r="H13" s="5"/>
    </row>
  </sheetData>
  <phoneticPr fontId="5" type="noConversion"/>
  <conditionalFormatting sqref="G2:G13">
    <cfRule type="cellIs" dxfId="8" priority="2" operator="greaterThan">
      <formula>0</formula>
    </cfRule>
    <cfRule type="cellIs" dxfId="7" priority="1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EE46F-FBE6-4209-BCB9-494133331BE8}">
  <sheetPr codeName="Sheet7"/>
  <dimension ref="A1:C12"/>
  <sheetViews>
    <sheetView zoomScaleNormal="100" workbookViewId="0">
      <selection activeCell="C20" sqref="C20"/>
    </sheetView>
  </sheetViews>
  <sheetFormatPr defaultRowHeight="14.4" x14ac:dyDescent="0.3"/>
  <cols>
    <col min="1" max="1" width="23.21875" customWidth="1"/>
    <col min="2" max="2" width="30.6640625" customWidth="1"/>
    <col min="3" max="3" width="28" customWidth="1"/>
  </cols>
  <sheetData>
    <row r="1" spans="1:3" ht="17.399999999999999" customHeight="1" x14ac:dyDescent="0.3">
      <c r="A1" s="241" t="s">
        <v>0</v>
      </c>
      <c r="B1" s="321" t="s">
        <v>1</v>
      </c>
      <c r="C1" s="322"/>
    </row>
    <row r="2" spans="1:3" ht="17.399999999999999" customHeight="1" x14ac:dyDescent="0.3">
      <c r="A2" s="242" t="s">
        <v>2</v>
      </c>
      <c r="B2" s="323" t="s">
        <v>8</v>
      </c>
      <c r="C2" s="324"/>
    </row>
    <row r="3" spans="1:3" ht="17.399999999999999" customHeight="1" x14ac:dyDescent="0.3">
      <c r="A3" s="241" t="s">
        <v>257</v>
      </c>
      <c r="B3" s="325"/>
      <c r="C3" s="326"/>
    </row>
    <row r="4" spans="1:3" ht="17.399999999999999" customHeight="1" x14ac:dyDescent="0.3">
      <c r="A4" s="242" t="s">
        <v>258</v>
      </c>
      <c r="B4" s="329"/>
      <c r="C4" s="330"/>
    </row>
    <row r="5" spans="1:3" ht="17.399999999999999" customHeight="1" x14ac:dyDescent="0.3">
      <c r="A5" s="241" t="s">
        <v>259</v>
      </c>
      <c r="B5" s="331"/>
      <c r="C5" s="332"/>
    </row>
    <row r="6" spans="1:3" ht="17.399999999999999" customHeight="1" x14ac:dyDescent="0.3">
      <c r="A6" s="242" t="s">
        <v>260</v>
      </c>
      <c r="B6" s="239"/>
      <c r="C6" s="240"/>
    </row>
    <row r="7" spans="1:3" ht="17.399999999999999" customHeight="1" x14ac:dyDescent="0.3">
      <c r="A7" s="241" t="s">
        <v>4</v>
      </c>
      <c r="B7" s="327"/>
      <c r="C7" s="328"/>
    </row>
    <row r="8" spans="1:3" ht="17.399999999999999" customHeight="1" x14ac:dyDescent="0.3">
      <c r="A8" s="242" t="s">
        <v>18</v>
      </c>
      <c r="B8" s="323"/>
      <c r="C8" s="324"/>
    </row>
    <row r="9" spans="1:3" ht="17.399999999999999" customHeight="1" x14ac:dyDescent="0.3">
      <c r="A9" s="241" t="s">
        <v>21</v>
      </c>
      <c r="B9" s="327"/>
      <c r="C9" s="328"/>
    </row>
    <row r="10" spans="1:3" ht="17.399999999999999" customHeight="1" x14ac:dyDescent="0.3">
      <c r="A10" s="242" t="s">
        <v>5</v>
      </c>
      <c r="B10" s="323"/>
      <c r="C10" s="324"/>
    </row>
    <row r="11" spans="1:3" ht="17.399999999999999" customHeight="1" x14ac:dyDescent="0.3">
      <c r="A11" s="241" t="s">
        <v>6</v>
      </c>
      <c r="B11" s="327"/>
      <c r="C11" s="328"/>
    </row>
    <row r="12" spans="1:3" ht="17.399999999999999" customHeight="1" x14ac:dyDescent="0.3">
      <c r="A12" s="242" t="s">
        <v>7</v>
      </c>
      <c r="B12" s="323"/>
      <c r="C12" s="324"/>
    </row>
  </sheetData>
  <mergeCells count="11">
    <mergeCell ref="B10:C10"/>
    <mergeCell ref="B11:C11"/>
    <mergeCell ref="B12:C12"/>
    <mergeCell ref="B4:C4"/>
    <mergeCell ref="B5:C5"/>
    <mergeCell ref="B9:C9"/>
    <mergeCell ref="B1:C1"/>
    <mergeCell ref="B2:C2"/>
    <mergeCell ref="B3:C3"/>
    <mergeCell ref="B7:C7"/>
    <mergeCell ref="B8:C8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A360-1511-4277-8DB1-AAE5BB25B1A3}">
  <sheetPr codeName="Sheet8"/>
  <dimension ref="A1:B16"/>
  <sheetViews>
    <sheetView workbookViewId="0">
      <selection activeCell="B17" sqref="B17"/>
    </sheetView>
  </sheetViews>
  <sheetFormatPr defaultRowHeight="14.4" x14ac:dyDescent="0.3"/>
  <cols>
    <col min="1" max="1" width="29.109375" customWidth="1"/>
    <col min="2" max="2" width="124.21875" customWidth="1"/>
  </cols>
  <sheetData>
    <row r="1" spans="1:2" ht="19.2" customHeight="1" thickTop="1" x14ac:dyDescent="0.3">
      <c r="A1" s="96" t="s">
        <v>9</v>
      </c>
      <c r="B1" s="66" t="s">
        <v>10</v>
      </c>
    </row>
    <row r="2" spans="1:2" ht="19.2" customHeight="1" x14ac:dyDescent="0.3">
      <c r="A2" s="97" t="s">
        <v>11</v>
      </c>
      <c r="B2" s="37"/>
    </row>
    <row r="3" spans="1:2" ht="19.2" customHeight="1" x14ac:dyDescent="0.3">
      <c r="A3" s="98" t="s">
        <v>262</v>
      </c>
      <c r="B3" s="66"/>
    </row>
    <row r="4" spans="1:2" ht="19.2" customHeight="1" x14ac:dyDescent="0.3">
      <c r="A4" s="97"/>
      <c r="B4" s="37"/>
    </row>
    <row r="5" spans="1:2" ht="19.2" customHeight="1" x14ac:dyDescent="0.3">
      <c r="A5" s="98"/>
      <c r="B5" s="66"/>
    </row>
    <row r="6" spans="1:2" x14ac:dyDescent="0.3">
      <c r="A6" s="97"/>
      <c r="B6" s="37"/>
    </row>
    <row r="7" spans="1:2" x14ac:dyDescent="0.3">
      <c r="A7" s="98"/>
      <c r="B7" s="66"/>
    </row>
    <row r="8" spans="1:2" x14ac:dyDescent="0.3">
      <c r="A8" s="97"/>
      <c r="B8" s="37"/>
    </row>
    <row r="9" spans="1:2" x14ac:dyDescent="0.3">
      <c r="A9" s="98"/>
      <c r="B9" s="66"/>
    </row>
    <row r="10" spans="1:2" ht="31.8" customHeight="1" x14ac:dyDescent="0.3">
      <c r="A10" s="3" t="s">
        <v>248</v>
      </c>
      <c r="B10" s="2" t="s">
        <v>264</v>
      </c>
    </row>
    <row r="11" spans="1:2" x14ac:dyDescent="0.3">
      <c r="A11" t="s">
        <v>164</v>
      </c>
      <c r="B11" s="159">
        <v>40971</v>
      </c>
    </row>
    <row r="12" spans="1:2" x14ac:dyDescent="0.3">
      <c r="A12" t="s">
        <v>165</v>
      </c>
    </row>
    <row r="13" spans="1:2" x14ac:dyDescent="0.3">
      <c r="A13" t="s">
        <v>227</v>
      </c>
      <c r="B13" t="s">
        <v>225</v>
      </c>
    </row>
    <row r="14" spans="1:2" x14ac:dyDescent="0.3">
      <c r="A14" t="s">
        <v>226</v>
      </c>
      <c r="B14" t="s">
        <v>228</v>
      </c>
    </row>
    <row r="15" spans="1:2" x14ac:dyDescent="0.3">
      <c r="A15" t="s">
        <v>229</v>
      </c>
      <c r="B15" t="s">
        <v>230</v>
      </c>
    </row>
    <row r="16" spans="1:2" x14ac:dyDescent="0.3">
      <c r="A16" t="s">
        <v>272</v>
      </c>
      <c r="B16" t="s">
        <v>273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D5FE-66E6-4A69-9D41-67DD00084760}">
  <sheetPr codeName="Sheet9">
    <tabColor rgb="FFFFB3B3"/>
  </sheetPr>
  <dimension ref="A1:B7"/>
  <sheetViews>
    <sheetView workbookViewId="0"/>
  </sheetViews>
  <sheetFormatPr defaultRowHeight="14.4" x14ac:dyDescent="0.3"/>
  <cols>
    <col min="1" max="1" width="15.77734375" customWidth="1"/>
    <col min="2" max="2" width="37.109375" customWidth="1"/>
  </cols>
  <sheetData>
    <row r="1" spans="1:2" ht="21" customHeight="1" thickTop="1" x14ac:dyDescent="0.3">
      <c r="A1" s="93" t="s">
        <v>12</v>
      </c>
      <c r="B1" s="91" t="s">
        <v>13</v>
      </c>
    </row>
    <row r="2" spans="1:2" ht="21" customHeight="1" x14ac:dyDescent="0.3">
      <c r="A2" s="94" t="s">
        <v>3</v>
      </c>
      <c r="B2" s="92" t="s">
        <v>17</v>
      </c>
    </row>
    <row r="3" spans="1:2" ht="21" customHeight="1" x14ac:dyDescent="0.3">
      <c r="A3" s="95" t="s">
        <v>14</v>
      </c>
      <c r="B3" s="91" t="s">
        <v>17</v>
      </c>
    </row>
    <row r="4" spans="1:2" ht="21" customHeight="1" x14ac:dyDescent="0.3">
      <c r="A4" s="94" t="s">
        <v>15</v>
      </c>
      <c r="B4" s="36" t="s">
        <v>16</v>
      </c>
    </row>
    <row r="5" spans="1:2" ht="21" customHeight="1" x14ac:dyDescent="0.3">
      <c r="A5" s="95" t="s">
        <v>261</v>
      </c>
      <c r="B5" s="91"/>
    </row>
    <row r="6" spans="1:2" ht="21" customHeight="1" x14ac:dyDescent="0.3">
      <c r="A6" s="94" t="s">
        <v>19</v>
      </c>
      <c r="B6" s="36" t="s">
        <v>20</v>
      </c>
    </row>
    <row r="7" spans="1:2" ht="21" customHeight="1" x14ac:dyDescent="0.3">
      <c r="A7" s="95" t="s">
        <v>18</v>
      </c>
      <c r="B7" s="91"/>
    </row>
  </sheetData>
  <hyperlinks>
    <hyperlink ref="B6" r:id="rId1" xr:uid="{3C46CB71-0D3E-46F3-891B-0152C3DDAFE6}"/>
    <hyperlink ref="B4" r:id="rId2" xr:uid="{8EE55EA1-BC8C-4D5E-8EAC-67717B46585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Home</vt:lpstr>
      <vt:lpstr>Enrollment</vt:lpstr>
      <vt:lpstr>Bill</vt:lpstr>
      <vt:lpstr>Hidden_Data</vt:lpstr>
      <vt:lpstr>Attendance</vt:lpstr>
      <vt:lpstr>Teachers</vt:lpstr>
      <vt:lpstr>Classes</vt:lpstr>
      <vt:lpstr>T_Ramin_Rezaiee</vt:lpstr>
      <vt:lpstr>T_Ali_Reza_Rezaiee</vt:lpstr>
      <vt:lpstr>T_Ahmadi</vt:lpstr>
      <vt:lpstr>T_Yawari</vt:lpstr>
      <vt:lpstr>T_Shayagan</vt:lpstr>
      <vt:lpstr>T_Ashori</vt:lpstr>
      <vt:lpstr>T_Nayab</vt:lpstr>
      <vt:lpstr>T_Mobarez</vt:lpstr>
      <vt:lpstr>T_Blank1</vt:lpstr>
      <vt:lpstr>T_Blank2</vt:lpstr>
      <vt:lpstr>Teacher_Salary</vt:lpstr>
      <vt:lpstr>All_Sellings</vt:lpstr>
      <vt:lpstr>Summary_Sellings</vt:lpstr>
      <vt:lpstr>All_Expenses</vt:lpstr>
      <vt:lpstr>Summary_Expenses</vt:lpstr>
      <vt:lpstr>Monthly_Report</vt:lpstr>
      <vt:lpstr>Center_Info</vt:lpstr>
      <vt:lpstr>README</vt:lpstr>
      <vt:lpstr>About_Developer</vt:lpstr>
      <vt:lpstr>Bill!Print_Area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Reza Rezaiee</dc:creator>
  <cp:lastModifiedBy>Ali Reza Rezaiee</cp:lastModifiedBy>
  <cp:lastPrinted>2026-09-06T20:21:39Z</cp:lastPrinted>
  <dcterms:created xsi:type="dcterms:W3CDTF">2026-08-21T15:19:09Z</dcterms:created>
  <dcterms:modified xsi:type="dcterms:W3CDTF">2026-09-06T20:40:38Z</dcterms:modified>
</cp:coreProperties>
</file>