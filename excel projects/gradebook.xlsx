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200069A-476E-46AF-86E6-05778104F9FF}" xr6:coauthVersionLast="47" xr6:coauthVersionMax="47" xr10:uidLastSave="{00000000-0000-0000-0000-000000000000}"/>
  <bookViews>
    <workbookView xWindow="24" yWindow="24" windowWidth="23016" windowHeight="12216" xr2:uid="{573EB36B-EA5A-43B5-9139-05DC18E64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/>
  <c r="J14" i="1"/>
  <c r="K14" i="1"/>
  <c r="H15" i="1"/>
  <c r="I15" i="1"/>
  <c r="J15" i="1"/>
  <c r="K15" i="1"/>
  <c r="H16" i="1"/>
  <c r="I16" i="1"/>
  <c r="J16" i="1"/>
  <c r="K16" i="1"/>
  <c r="D14" i="1"/>
  <c r="E14" i="1"/>
  <c r="F14" i="1"/>
  <c r="D15" i="1"/>
  <c r="E15" i="1"/>
  <c r="F15" i="1"/>
  <c r="D16" i="1"/>
  <c r="E16" i="1"/>
  <c r="F16" i="1"/>
  <c r="C16" i="1"/>
  <c r="C15" i="1"/>
  <c r="C14" i="1"/>
  <c r="M5" i="1"/>
  <c r="M6" i="1"/>
  <c r="M7" i="1"/>
  <c r="M8" i="1"/>
  <c r="M9" i="1"/>
  <c r="M10" i="1"/>
  <c r="M11" i="1"/>
  <c r="M12" i="1"/>
  <c r="M4" i="1"/>
  <c r="K5" i="1"/>
  <c r="K6" i="1"/>
  <c r="K7" i="1"/>
  <c r="K8" i="1"/>
  <c r="K9" i="1"/>
  <c r="K10" i="1"/>
  <c r="K11" i="1"/>
  <c r="K12" i="1"/>
  <c r="K4" i="1"/>
  <c r="J5" i="1"/>
  <c r="J6" i="1"/>
  <c r="J7" i="1"/>
  <c r="J8" i="1"/>
  <c r="J9" i="1"/>
  <c r="J10" i="1"/>
  <c r="J11" i="1"/>
  <c r="J12" i="1"/>
  <c r="J4" i="1"/>
  <c r="I5" i="1"/>
  <c r="I6" i="1"/>
  <c r="I7" i="1"/>
  <c r="I8" i="1"/>
  <c r="I9" i="1"/>
  <c r="I10" i="1"/>
  <c r="I11" i="1"/>
  <c r="I12" i="1"/>
  <c r="I4" i="1"/>
  <c r="H5" i="1"/>
  <c r="H6" i="1"/>
  <c r="H7" i="1"/>
  <c r="H8" i="1"/>
  <c r="H9" i="1"/>
  <c r="H10" i="1"/>
  <c r="H11" i="1"/>
  <c r="H12" i="1"/>
  <c r="H4" i="1"/>
</calcChain>
</file>

<file path=xl/sharedStrings.xml><?xml version="1.0" encoding="utf-8"?>
<sst xmlns="http://schemas.openxmlformats.org/spreadsheetml/2006/main" count="34" uniqueCount="30">
  <si>
    <t>gradebook</t>
  </si>
  <si>
    <t>name</t>
  </si>
  <si>
    <t>last name</t>
  </si>
  <si>
    <t>ali</t>
  </si>
  <si>
    <t>rezaiee</t>
  </si>
  <si>
    <t>reza</t>
  </si>
  <si>
    <t>ahmadi</t>
  </si>
  <si>
    <t>ahmad</t>
  </si>
  <si>
    <t>alawi</t>
  </si>
  <si>
    <t>sakhi</t>
  </si>
  <si>
    <t>najafi</t>
  </si>
  <si>
    <t>karim</t>
  </si>
  <si>
    <t>karimi</t>
  </si>
  <si>
    <t>mahmood</t>
  </si>
  <si>
    <t>poya</t>
  </si>
  <si>
    <t>aref</t>
  </si>
  <si>
    <t>hussaini</t>
  </si>
  <si>
    <t>hassan</t>
  </si>
  <si>
    <t>rahimi</t>
  </si>
  <si>
    <t>mohammad</t>
  </si>
  <si>
    <t>yazdani</t>
  </si>
  <si>
    <t>points possible</t>
  </si>
  <si>
    <t>safety test</t>
  </si>
  <si>
    <t>company philosophy test</t>
  </si>
  <si>
    <t>financial skills test</t>
  </si>
  <si>
    <t>drug test</t>
  </si>
  <si>
    <t>fire employee</t>
  </si>
  <si>
    <t>max</t>
  </si>
  <si>
    <t xml:space="preserve">min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</si>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</sst>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</a:p>
        </c:rich>
      </c:tx>
      <c:layout>
        <c:manualLayout>
          <c:xMode val="edge"/>
          <c:yMode val="edge"/>
          <c:x val="0.4121248906386701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9"/>
                <c:pt idx="0">
                  <c:v>ali</c:v>
                </c:pt>
                <c:pt idx="1">
                  <c:v>reza</c:v>
                </c:pt>
                <c:pt idx="2">
                  <c:v>ahmad</c:v>
                </c:pt>
                <c:pt idx="3">
                  <c:v>sakhi</c:v>
                </c:pt>
                <c:pt idx="4">
                  <c:v>karim</c:v>
                </c:pt>
                <c:pt idx="5">
                  <c:v>mahmood</c:v>
                </c:pt>
                <c:pt idx="6">
                  <c:v>aref</c:v>
                </c:pt>
                <c:pt idx="7">
                  <c:v>hassan</c:v>
                </c:pt>
                <c:pt idx="8">
                  <c:v>mohammad</c:v>
                </c:pt>
              </c:strCache>
            </c:strRef>
          </c:cat>
          <c:val>
            <c:numRef>
              <c:f>Sheet1!$C$4:$C$12</c:f>
              <c:numCache>
                <c:formatCode>General</c:formatCode>
                <c:ptCount val="9"/>
                <c:pt idx="0">
                  <c:v>10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  <c:pt idx="6">
                  <c:v>2</c:v>
                </c:pt>
                <c:pt idx="7">
                  <c:v>11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80F-90CE-C341354A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617215"/>
        <c:axId val="1429618175"/>
      </c:barChart>
      <c:catAx>
        <c:axId val="142961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18175"/>
        <c:crosses val="autoZero"/>
        <c:auto val="1"/>
        <c:lblAlgn val="ctr"/>
        <c:lblOffset val="100"/>
        <c:noMultiLvlLbl val="0"/>
      </c:catAx>
      <c:valAx>
        <c:axId val="14296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1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9"/>
                <c:pt idx="0">
                  <c:v>ali</c:v>
                </c:pt>
                <c:pt idx="1">
                  <c:v>reza</c:v>
                </c:pt>
                <c:pt idx="2">
                  <c:v>ahmad</c:v>
                </c:pt>
                <c:pt idx="3">
                  <c:v>sakhi</c:v>
                </c:pt>
                <c:pt idx="4">
                  <c:v>karim</c:v>
                </c:pt>
                <c:pt idx="5">
                  <c:v>mahmood</c:v>
                </c:pt>
                <c:pt idx="6">
                  <c:v>aref</c:v>
                </c:pt>
                <c:pt idx="7">
                  <c:v>hassan</c:v>
                </c:pt>
                <c:pt idx="8">
                  <c:v>mohammad</c:v>
                </c:pt>
              </c:strCache>
            </c:strRef>
          </c:cat>
          <c:val>
            <c:numRef>
              <c:f>Sheet1!$D$4:$D$12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12</c:v>
                </c:pt>
                <c:pt idx="3">
                  <c:v>7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0-4823-B5B0-18D702A96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361791"/>
        <c:axId val="1959362271"/>
      </c:barChart>
      <c:catAx>
        <c:axId val="195936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62271"/>
        <c:crosses val="autoZero"/>
        <c:auto val="1"/>
        <c:lblAlgn val="ctr"/>
        <c:lblOffset val="100"/>
        <c:noMultiLvlLbl val="0"/>
      </c:catAx>
      <c:valAx>
        <c:axId val="19593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6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9"/>
                <c:pt idx="0">
                  <c:v>ali</c:v>
                </c:pt>
                <c:pt idx="1">
                  <c:v>reza</c:v>
                </c:pt>
                <c:pt idx="2">
                  <c:v>ahmad</c:v>
                </c:pt>
                <c:pt idx="3">
                  <c:v>sakhi</c:v>
                </c:pt>
                <c:pt idx="4">
                  <c:v>karim</c:v>
                </c:pt>
                <c:pt idx="5">
                  <c:v>mahmood</c:v>
                </c:pt>
                <c:pt idx="6">
                  <c:v>aref</c:v>
                </c:pt>
                <c:pt idx="7">
                  <c:v>hassan</c:v>
                </c:pt>
                <c:pt idx="8">
                  <c:v>mohammad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89</c:v>
                </c:pt>
                <c:pt idx="1">
                  <c:v>45</c:v>
                </c:pt>
                <c:pt idx="2">
                  <c:v>25</c:v>
                </c:pt>
                <c:pt idx="3">
                  <c:v>68</c:v>
                </c:pt>
                <c:pt idx="4">
                  <c:v>59</c:v>
                </c:pt>
                <c:pt idx="5">
                  <c:v>78</c:v>
                </c:pt>
                <c:pt idx="6">
                  <c:v>90</c:v>
                </c:pt>
                <c:pt idx="7">
                  <c:v>100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F-4AB3-B42B-579E270B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368031"/>
        <c:axId val="1959368991"/>
      </c:barChart>
      <c:catAx>
        <c:axId val="195936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68991"/>
        <c:crosses val="autoZero"/>
        <c:auto val="1"/>
        <c:lblAlgn val="ctr"/>
        <c:lblOffset val="100"/>
        <c:noMultiLvlLbl val="0"/>
      </c:catAx>
      <c:valAx>
        <c:axId val="19593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BF9DE-0E7A-579C-16D3-3237BCB6B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16</xdr:row>
      <xdr:rowOff>0</xdr:rowOff>
    </xdr:from>
    <xdr:to>
      <xdr:col>21</xdr:col>
      <xdr:colOff>304800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5CDFD2-0C6C-8D6E-9541-DC19164B6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31</xdr:row>
      <xdr:rowOff>7620</xdr:rowOff>
    </xdr:from>
    <xdr:to>
      <xdr:col>21</xdr:col>
      <xdr:colOff>304800</xdr:colOff>
      <xdr:row>46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E96A87-1899-48EC-218C-5ACEE3D1E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C4F5-C041-4670-A442-A7ED893CD968}">
  <sheetPr>
    <pageSetUpPr fitToPage="1"/>
  </sheetPr>
  <dimension ref="A1:M16"/>
  <sheetViews>
    <sheetView tabSelected="1" topLeftCell="H14" workbookViewId="0">
      <selection activeCell="W31" sqref="W31"/>
    </sheetView>
  </sheetViews>
  <sheetFormatPr defaultRowHeight="14.4" x14ac:dyDescent="0.3"/>
  <cols>
    <col min="1" max="1" width="11.44140625" customWidth="1"/>
    <col min="2" max="2" width="14.33203125" customWidth="1"/>
    <col min="3" max="6" width="6.77734375" customWidth="1"/>
    <col min="8" max="11" width="6.88671875" customWidth="1"/>
  </cols>
  <sheetData>
    <row r="1" spans="1:13" ht="112.2" x14ac:dyDescent="0.3">
      <c r="A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H1" s="1" t="s">
        <v>22</v>
      </c>
      <c r="I1" s="1" t="s">
        <v>23</v>
      </c>
      <c r="J1" s="1" t="s">
        <v>24</v>
      </c>
      <c r="K1" s="1" t="s">
        <v>25</v>
      </c>
      <c r="M1" s="1" t="s">
        <v>26</v>
      </c>
    </row>
    <row r="2" spans="1:13" x14ac:dyDescent="0.3">
      <c r="B2" t="s">
        <v>21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4</v>
      </c>
      <c r="C4">
        <v>10</v>
      </c>
      <c r="D4">
        <v>16</v>
      </c>
      <c r="E4">
        <v>89</v>
      </c>
      <c r="F4">
        <v>1</v>
      </c>
      <c r="H4" s="2">
        <f>C4/C$2</f>
        <v>1</v>
      </c>
      <c r="I4" s="2">
        <f>D4/D$2</f>
        <v>0.8</v>
      </c>
      <c r="J4" s="2">
        <f>E4/E$2</f>
        <v>0.89</v>
      </c>
      <c r="K4" s="2">
        <f>F4/F$2</f>
        <v>1</v>
      </c>
      <c r="M4" s="2" t="b">
        <f>OR(H4&lt;0.5, I4&lt;0.5, J4&lt;0.5, K4&lt;0.5)</f>
        <v>0</v>
      </c>
    </row>
    <row r="5" spans="1:13" x14ac:dyDescent="0.3">
      <c r="A5" t="s">
        <v>5</v>
      </c>
      <c r="B5" t="s">
        <v>6</v>
      </c>
      <c r="C5">
        <v>2</v>
      </c>
      <c r="D5">
        <v>15</v>
      </c>
      <c r="E5">
        <v>45</v>
      </c>
      <c r="F5">
        <v>1</v>
      </c>
      <c r="H5" s="2">
        <f t="shared" ref="H5:H12" si="0">C5/C$2</f>
        <v>0.2</v>
      </c>
      <c r="I5" s="2">
        <f t="shared" ref="I5:I12" si="1">D5/D$2</f>
        <v>0.75</v>
      </c>
      <c r="J5" s="2">
        <f t="shared" ref="J5:J12" si="2">E5/E$2</f>
        <v>0.45</v>
      </c>
      <c r="K5" s="2">
        <f t="shared" ref="K5:K12" si="3">F5/F$2</f>
        <v>1</v>
      </c>
      <c r="M5" s="2" t="b">
        <f t="shared" ref="M5:M12" si="4">OR(H5&lt;0.5, I5&lt;0.5, J5&lt;0.5, K5&lt;0.5)</f>
        <v>1</v>
      </c>
    </row>
    <row r="6" spans="1:13" x14ac:dyDescent="0.3">
      <c r="A6" t="s">
        <v>7</v>
      </c>
      <c r="B6" t="s">
        <v>8</v>
      </c>
      <c r="C6">
        <v>6</v>
      </c>
      <c r="D6">
        <v>12</v>
      </c>
      <c r="E6">
        <v>25</v>
      </c>
      <c r="F6">
        <v>1</v>
      </c>
      <c r="H6" s="2">
        <f t="shared" si="0"/>
        <v>0.6</v>
      </c>
      <c r="I6" s="2">
        <f t="shared" si="1"/>
        <v>0.6</v>
      </c>
      <c r="J6" s="2">
        <f t="shared" si="2"/>
        <v>0.25</v>
      </c>
      <c r="K6" s="2">
        <f t="shared" si="3"/>
        <v>1</v>
      </c>
      <c r="M6" s="2" t="b">
        <f t="shared" si="4"/>
        <v>1</v>
      </c>
    </row>
    <row r="7" spans="1:13" x14ac:dyDescent="0.3">
      <c r="A7" t="s">
        <v>9</v>
      </c>
      <c r="B7" t="s">
        <v>10</v>
      </c>
      <c r="C7">
        <v>7</v>
      </c>
      <c r="D7">
        <v>7</v>
      </c>
      <c r="E7">
        <v>68</v>
      </c>
      <c r="F7">
        <v>0</v>
      </c>
      <c r="H7" s="2">
        <f t="shared" si="0"/>
        <v>0.7</v>
      </c>
      <c r="I7" s="2">
        <f t="shared" si="1"/>
        <v>0.35</v>
      </c>
      <c r="J7" s="2">
        <f t="shared" si="2"/>
        <v>0.68</v>
      </c>
      <c r="K7" s="2">
        <f t="shared" si="3"/>
        <v>0</v>
      </c>
      <c r="M7" s="2" t="b">
        <f t="shared" si="4"/>
        <v>1</v>
      </c>
    </row>
    <row r="8" spans="1:13" x14ac:dyDescent="0.3">
      <c r="A8" t="s">
        <v>11</v>
      </c>
      <c r="B8" t="s">
        <v>12</v>
      </c>
      <c r="C8">
        <v>10</v>
      </c>
      <c r="D8">
        <v>15</v>
      </c>
      <c r="E8">
        <v>59</v>
      </c>
      <c r="F8">
        <v>1</v>
      </c>
      <c r="H8" s="2">
        <f t="shared" si="0"/>
        <v>1</v>
      </c>
      <c r="I8" s="2">
        <f t="shared" si="1"/>
        <v>0.75</v>
      </c>
      <c r="J8" s="2">
        <f t="shared" si="2"/>
        <v>0.59</v>
      </c>
      <c r="K8" s="2">
        <f t="shared" si="3"/>
        <v>1</v>
      </c>
      <c r="M8" s="2" t="b">
        <f t="shared" si="4"/>
        <v>0</v>
      </c>
    </row>
    <row r="9" spans="1:13" x14ac:dyDescent="0.3">
      <c r="A9" t="s">
        <v>13</v>
      </c>
      <c r="B9" t="s">
        <v>14</v>
      </c>
      <c r="C9">
        <v>8</v>
      </c>
      <c r="D9">
        <v>17</v>
      </c>
      <c r="E9">
        <v>78</v>
      </c>
      <c r="F9">
        <v>1</v>
      </c>
      <c r="H9" s="2">
        <f t="shared" si="0"/>
        <v>0.8</v>
      </c>
      <c r="I9" s="2">
        <f t="shared" si="1"/>
        <v>0.85</v>
      </c>
      <c r="J9" s="2">
        <f t="shared" si="2"/>
        <v>0.78</v>
      </c>
      <c r="K9" s="2">
        <f t="shared" si="3"/>
        <v>1</v>
      </c>
      <c r="M9" s="2" t="b">
        <f t="shared" si="4"/>
        <v>0</v>
      </c>
    </row>
    <row r="10" spans="1:13" x14ac:dyDescent="0.3">
      <c r="A10" t="s">
        <v>15</v>
      </c>
      <c r="B10" t="s">
        <v>16</v>
      </c>
      <c r="C10">
        <v>2</v>
      </c>
      <c r="D10">
        <v>19</v>
      </c>
      <c r="E10">
        <v>90</v>
      </c>
      <c r="F10">
        <v>0</v>
      </c>
      <c r="H10" s="2">
        <f t="shared" si="0"/>
        <v>0.2</v>
      </c>
      <c r="I10" s="2">
        <f t="shared" si="1"/>
        <v>0.95</v>
      </c>
      <c r="J10" s="2">
        <f t="shared" si="2"/>
        <v>0.9</v>
      </c>
      <c r="K10" s="2">
        <f t="shared" si="3"/>
        <v>0</v>
      </c>
      <c r="M10" s="2" t="b">
        <f t="shared" si="4"/>
        <v>1</v>
      </c>
    </row>
    <row r="11" spans="1:13" x14ac:dyDescent="0.3">
      <c r="A11" t="s">
        <v>17</v>
      </c>
      <c r="B11" t="s">
        <v>18</v>
      </c>
      <c r="C11">
        <v>11</v>
      </c>
      <c r="D11">
        <v>20</v>
      </c>
      <c r="E11">
        <v>100</v>
      </c>
      <c r="F11">
        <v>1</v>
      </c>
      <c r="H11" s="2">
        <f t="shared" si="0"/>
        <v>1.1000000000000001</v>
      </c>
      <c r="I11" s="2">
        <f t="shared" si="1"/>
        <v>1</v>
      </c>
      <c r="J11" s="2">
        <f t="shared" si="2"/>
        <v>1</v>
      </c>
      <c r="K11" s="2">
        <f t="shared" si="3"/>
        <v>1</v>
      </c>
      <c r="M11" s="2" t="b">
        <f t="shared" si="4"/>
        <v>0</v>
      </c>
    </row>
    <row r="12" spans="1:13" x14ac:dyDescent="0.3">
      <c r="A12" t="s">
        <v>19</v>
      </c>
      <c r="B12" t="s">
        <v>20</v>
      </c>
      <c r="C12">
        <v>9</v>
      </c>
      <c r="D12">
        <v>0</v>
      </c>
      <c r="E12">
        <v>23</v>
      </c>
      <c r="F12">
        <v>1</v>
      </c>
      <c r="H12" s="2">
        <f t="shared" si="0"/>
        <v>0.9</v>
      </c>
      <c r="I12" s="2">
        <f t="shared" si="1"/>
        <v>0</v>
      </c>
      <c r="J12" s="2">
        <f t="shared" si="2"/>
        <v>0.23</v>
      </c>
      <c r="K12" s="2">
        <f t="shared" si="3"/>
        <v>1</v>
      </c>
      <c r="M12" s="2" t="b">
        <f t="shared" si="4"/>
        <v>1</v>
      </c>
    </row>
    <row r="14" spans="1:13" x14ac:dyDescent="0.3">
      <c r="A14" t="s">
        <v>27</v>
      </c>
      <c r="C14">
        <f>MAX(C4:C12)</f>
        <v>11</v>
      </c>
      <c r="D14">
        <f t="shared" ref="D14:G14" si="5">MAX(D4:D12)</f>
        <v>20</v>
      </c>
      <c r="E14">
        <f t="shared" si="5"/>
        <v>100</v>
      </c>
      <c r="F14">
        <f t="shared" si="5"/>
        <v>1</v>
      </c>
      <c r="H14" s="2">
        <f t="shared" ref="H14:K14" si="6">MAX(H4:H12)</f>
        <v>1.1000000000000001</v>
      </c>
      <c r="I14" s="2">
        <f t="shared" si="6"/>
        <v>1</v>
      </c>
      <c r="J14" s="2">
        <f t="shared" si="6"/>
        <v>1</v>
      </c>
      <c r="K14" s="2">
        <f t="shared" si="6"/>
        <v>1</v>
      </c>
    </row>
    <row r="15" spans="1:13" x14ac:dyDescent="0.3">
      <c r="A15" t="s">
        <v>28</v>
      </c>
      <c r="C15">
        <f>MIN(C4:C12)</f>
        <v>2</v>
      </c>
      <c r="D15">
        <f t="shared" ref="D15:G15" si="7">MIN(D4:D12)</f>
        <v>0</v>
      </c>
      <c r="E15">
        <f t="shared" si="7"/>
        <v>23</v>
      </c>
      <c r="F15">
        <f t="shared" si="7"/>
        <v>0</v>
      </c>
      <c r="H15" s="2">
        <f t="shared" ref="H15:K15" si="8">MIN(H4:H12)</f>
        <v>0.2</v>
      </c>
      <c r="I15" s="2">
        <f t="shared" si="8"/>
        <v>0</v>
      </c>
      <c r="J15" s="2">
        <f t="shared" si="8"/>
        <v>0.23</v>
      </c>
      <c r="K15" s="2">
        <f t="shared" si="8"/>
        <v>0</v>
      </c>
    </row>
    <row r="16" spans="1:13" x14ac:dyDescent="0.3">
      <c r="A16" t="s">
        <v>29</v>
      </c>
      <c r="C16">
        <f>AVERAGE(C4:C12)</f>
        <v>7.2222222222222223</v>
      </c>
      <c r="D16">
        <f t="shared" ref="D16:G16" si="9">AVERAGE(D4:D12)</f>
        <v>13.444444444444445</v>
      </c>
      <c r="E16">
        <f t="shared" si="9"/>
        <v>64.111111111111114</v>
      </c>
      <c r="F16">
        <f t="shared" si="9"/>
        <v>0.77777777777777779</v>
      </c>
      <c r="H16" s="2">
        <f t="shared" ref="H16:K16" si="10">AVERAGE(H4:H12)</f>
        <v>0.72222222222222221</v>
      </c>
      <c r="I16" s="2">
        <f t="shared" si="10"/>
        <v>0.67222222222222217</v>
      </c>
      <c r="J16" s="2">
        <f t="shared" si="10"/>
        <v>0.64111111111111119</v>
      </c>
      <c r="K16" s="2">
        <f t="shared" si="10"/>
        <v>0.77777777777777779</v>
      </c>
    </row>
  </sheetData>
  <conditionalFormatting sqref="M4:M12">
    <cfRule type="cellIs" dxfId="2" priority="6" operator="equal">
      <formula>TRUE</formula>
    </cfRule>
  </conditionalFormatting>
  <conditionalFormatting sqref="C4:C12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2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2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2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12">
    <cfRule type="cellIs" dxfId="0" priority="1" operator="lessThan">
      <formula>0.5</formula>
    </cfRule>
  </conditionalFormatting>
  <pageMargins left="0.7" right="0.7" top="0.75" bottom="0.75" header="0.3" footer="0.3"/>
  <pageSetup scale="83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cp:lastPrinted>2026-08-13T05:09:22Z</cp:lastPrinted>
  <dcterms:created xsi:type="dcterms:W3CDTF">2026-08-13T04:45:55Z</dcterms:created>
  <dcterms:modified xsi:type="dcterms:W3CDTF">2026-08-13T05:09:53Z</dcterms:modified>
</cp:coreProperties>
</file>