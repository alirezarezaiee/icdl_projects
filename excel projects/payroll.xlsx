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2001_{1B5A5C5F-7DA3-4EAF-8AAC-60FA3104A8C6}" xr6:coauthVersionLast="47" xr6:coauthVersionMax="47" xr10:uidLastSave="{00000000-0000-0000-0000-000000000000}"/>
  <bookViews>
    <workbookView xWindow="96" yWindow="36" windowWidth="23016" windowHeight="12216" xr2:uid="{2CA8A392-DAD3-4D58-85DE-EB8B807CCB1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" i="1" l="1"/>
  <c r="AC15" i="1"/>
  <c r="AC16" i="1"/>
  <c r="AC17" i="1"/>
  <c r="AC5" i="1"/>
  <c r="AC6" i="1"/>
  <c r="AC7" i="1"/>
  <c r="AC8" i="1"/>
  <c r="AC9" i="1"/>
  <c r="AC10" i="1"/>
  <c r="AC11" i="1"/>
  <c r="AC12" i="1"/>
  <c r="AC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C17" i="1"/>
  <c r="C16" i="1"/>
  <c r="C15" i="1"/>
  <c r="C14" i="1"/>
  <c r="X5" i="1"/>
  <c r="Y5" i="1"/>
  <c r="Z5" i="1"/>
  <c r="AA5" i="1"/>
  <c r="AB5" i="1"/>
  <c r="X6" i="1"/>
  <c r="Y6" i="1"/>
  <c r="Z6" i="1"/>
  <c r="AA6" i="1"/>
  <c r="AB6" i="1"/>
  <c r="X7" i="1"/>
  <c r="Y7" i="1"/>
  <c r="Z7" i="1"/>
  <c r="AA7" i="1"/>
  <c r="AB7" i="1"/>
  <c r="X8" i="1"/>
  <c r="Y8" i="1"/>
  <c r="Z8" i="1"/>
  <c r="AA8" i="1"/>
  <c r="AB8" i="1"/>
  <c r="X9" i="1"/>
  <c r="Y9" i="1"/>
  <c r="Z9" i="1"/>
  <c r="AA9" i="1"/>
  <c r="AB9" i="1"/>
  <c r="X10" i="1"/>
  <c r="Y10" i="1"/>
  <c r="Z10" i="1"/>
  <c r="AA10" i="1"/>
  <c r="AB10" i="1"/>
  <c r="X11" i="1"/>
  <c r="Y11" i="1"/>
  <c r="Z11" i="1"/>
  <c r="AA11" i="1"/>
  <c r="AB11" i="1"/>
  <c r="X12" i="1"/>
  <c r="Y12" i="1"/>
  <c r="Z12" i="1"/>
  <c r="AA12" i="1"/>
  <c r="AB12" i="1"/>
  <c r="Y4" i="1"/>
  <c r="Z4" i="1"/>
  <c r="AA4" i="1"/>
  <c r="AB4" i="1"/>
  <c r="X4" i="1"/>
  <c r="Z3" i="1"/>
  <c r="AA3" i="1"/>
  <c r="AB3" i="1" s="1"/>
  <c r="Y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S5" i="1"/>
  <c r="S6" i="1"/>
  <c r="S7" i="1"/>
  <c r="S8" i="1"/>
  <c r="S9" i="1"/>
  <c r="S10" i="1"/>
  <c r="S11" i="1"/>
  <c r="S12" i="1"/>
  <c r="S4" i="1"/>
  <c r="N5" i="1"/>
  <c r="O5" i="1"/>
  <c r="P5" i="1"/>
  <c r="Q5" i="1"/>
  <c r="R5" i="1"/>
  <c r="N6" i="1"/>
  <c r="O6" i="1"/>
  <c r="P6" i="1"/>
  <c r="Q6" i="1"/>
  <c r="R6" i="1"/>
  <c r="N7" i="1"/>
  <c r="O7" i="1"/>
  <c r="P7" i="1"/>
  <c r="Q7" i="1"/>
  <c r="R7" i="1"/>
  <c r="N8" i="1"/>
  <c r="O8" i="1"/>
  <c r="P8" i="1"/>
  <c r="Q8" i="1"/>
  <c r="R8" i="1"/>
  <c r="N9" i="1"/>
  <c r="O9" i="1"/>
  <c r="P9" i="1"/>
  <c r="Q9" i="1"/>
  <c r="R9" i="1"/>
  <c r="N10" i="1"/>
  <c r="O10" i="1"/>
  <c r="P10" i="1"/>
  <c r="Q10" i="1"/>
  <c r="R10" i="1"/>
  <c r="N11" i="1"/>
  <c r="O11" i="1"/>
  <c r="P11" i="1"/>
  <c r="Q11" i="1"/>
  <c r="R11" i="1"/>
  <c r="N12" i="1"/>
  <c r="O12" i="1"/>
  <c r="P12" i="1"/>
  <c r="Q12" i="1"/>
  <c r="R12" i="1"/>
  <c r="O4" i="1"/>
  <c r="P4" i="1"/>
  <c r="Q4" i="1"/>
  <c r="R4" i="1"/>
  <c r="N4" i="1"/>
  <c r="U3" i="1"/>
  <c r="V3" i="1"/>
  <c r="W3" i="1" s="1"/>
  <c r="T3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J4" i="1"/>
  <c r="K4" i="1"/>
  <c r="L4" i="1"/>
  <c r="M4" i="1"/>
  <c r="I4" i="1"/>
  <c r="P3" i="1"/>
  <c r="Q3" i="1" s="1"/>
  <c r="R3" i="1" s="1"/>
  <c r="O3" i="1"/>
  <c r="K3" i="1"/>
  <c r="L3" i="1"/>
  <c r="M3" i="1" s="1"/>
  <c r="J3" i="1"/>
  <c r="E3" i="1"/>
  <c r="F3" i="1" s="1"/>
  <c r="G3" i="1" s="1"/>
  <c r="H3" i="1" s="1"/>
</calcChain>
</file>

<file path=xl/sharedStrings.xml><?xml version="1.0" encoding="utf-8"?>
<sst xmlns="http://schemas.openxmlformats.org/spreadsheetml/2006/main" count="32" uniqueCount="31">
  <si>
    <t>payroll</t>
  </si>
  <si>
    <t>name</t>
  </si>
  <si>
    <t>last name</t>
  </si>
  <si>
    <t>hourly wage</t>
  </si>
  <si>
    <t>ali</t>
  </si>
  <si>
    <t>reza</t>
  </si>
  <si>
    <t>ahmad</t>
  </si>
  <si>
    <t>sakhi</t>
  </si>
  <si>
    <t>karim</t>
  </si>
  <si>
    <t>mahmood</t>
  </si>
  <si>
    <t>aref</t>
  </si>
  <si>
    <t>hassan</t>
  </si>
  <si>
    <t>mohammad</t>
  </si>
  <si>
    <t>rezaiee</t>
  </si>
  <si>
    <t>ahmadi</t>
  </si>
  <si>
    <t>alawi</t>
  </si>
  <si>
    <t>najafi</t>
  </si>
  <si>
    <t>karimi</t>
  </si>
  <si>
    <t>poya</t>
  </si>
  <si>
    <t>hussaini</t>
  </si>
  <si>
    <t>rahimi</t>
  </si>
  <si>
    <t>yazdani</t>
  </si>
  <si>
    <t>hours worked</t>
  </si>
  <si>
    <t>overtime hours</t>
  </si>
  <si>
    <t>pay</t>
  </si>
  <si>
    <t>overtime bonus</t>
  </si>
  <si>
    <t>total</t>
  </si>
  <si>
    <t>max</t>
  </si>
  <si>
    <t>min</t>
  </si>
  <si>
    <t>average</t>
  </si>
  <si>
    <t>jan-pay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</si>
</sst>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22BD-BF53-46CA-A20E-805E3ED5506D}">
  <dimension ref="A1:AC17"/>
  <sheetViews>
    <sheetView tabSelected="1" workbookViewId="0">
      <selection activeCell="D21" sqref="D21"/>
    </sheetView>
  </sheetViews>
  <sheetFormatPr defaultRowHeight="14.4" x14ac:dyDescent="0.3"/>
  <cols>
    <col min="1" max="1" width="10.6640625" bestFit="1" customWidth="1"/>
    <col min="2" max="2" width="8.77734375" bestFit="1" customWidth="1"/>
    <col min="3" max="3" width="10.44140625" bestFit="1" customWidth="1"/>
    <col min="4" max="4" width="11.77734375" bestFit="1" customWidth="1"/>
    <col min="14" max="14" width="10.5546875" customWidth="1"/>
    <col min="15" max="15" width="11.77734375" customWidth="1"/>
    <col min="16" max="16" width="11.21875" customWidth="1"/>
    <col min="17" max="17" width="12.33203125" customWidth="1"/>
    <col min="18" max="18" width="11.33203125" customWidth="1"/>
    <col min="19" max="20" width="10" customWidth="1"/>
    <col min="24" max="24" width="12.44140625" customWidth="1"/>
    <col min="25" max="25" width="11.88671875" customWidth="1"/>
    <col min="26" max="26" width="12.21875" customWidth="1"/>
    <col min="27" max="27" width="12" customWidth="1"/>
    <col min="28" max="28" width="11.88671875" customWidth="1"/>
    <col min="29" max="29" width="18.77734375" customWidth="1"/>
  </cols>
  <sheetData>
    <row r="1" spans="1:29" x14ac:dyDescent="0.3">
      <c r="A1" s="3" t="s">
        <v>0</v>
      </c>
      <c r="B1" s="3"/>
      <c r="C1" s="3"/>
    </row>
    <row r="2" spans="1:29" x14ac:dyDescent="0.3">
      <c r="D2" s="4" t="s">
        <v>22</v>
      </c>
      <c r="E2" s="4"/>
      <c r="F2" s="4"/>
      <c r="G2" s="4"/>
      <c r="H2" s="4"/>
      <c r="I2" s="6" t="s">
        <v>23</v>
      </c>
      <c r="J2" s="6"/>
      <c r="K2" s="6"/>
      <c r="L2" s="6"/>
      <c r="M2" s="6"/>
      <c r="N2" s="5" t="s">
        <v>24</v>
      </c>
      <c r="O2" s="5"/>
      <c r="P2" s="5"/>
      <c r="Q2" s="5"/>
      <c r="R2" s="5"/>
      <c r="S2" s="7" t="s">
        <v>25</v>
      </c>
      <c r="T2" s="7"/>
      <c r="U2" s="7"/>
      <c r="V2" s="7"/>
      <c r="W2" s="7"/>
      <c r="X2" s="8" t="s">
        <v>26</v>
      </c>
      <c r="Y2" s="8"/>
      <c r="Z2" s="8"/>
      <c r="AA2" s="8"/>
      <c r="AB2" s="8"/>
      <c r="AC2" s="9" t="s">
        <v>30</v>
      </c>
    </row>
    <row r="3" spans="1:29" x14ac:dyDescent="0.3">
      <c r="A3" t="s">
        <v>1</v>
      </c>
      <c r="B3" t="s">
        <v>2</v>
      </c>
      <c r="C3" t="s">
        <v>3</v>
      </c>
      <c r="D3" s="2">
        <v>46023</v>
      </c>
      <c r="E3" s="2">
        <f>D3+7</f>
        <v>46030</v>
      </c>
      <c r="F3" s="2">
        <f>E3+7</f>
        <v>46037</v>
      </c>
      <c r="G3" s="2">
        <f>F3+7</f>
        <v>46044</v>
      </c>
      <c r="H3" s="2">
        <f>G3+7</f>
        <v>46051</v>
      </c>
      <c r="I3" s="2">
        <v>46023</v>
      </c>
      <c r="J3" s="2">
        <f>I3+7</f>
        <v>46030</v>
      </c>
      <c r="K3" s="2">
        <f>J3+7</f>
        <v>46037</v>
      </c>
      <c r="L3" s="2">
        <f>K3+7</f>
        <v>46044</v>
      </c>
      <c r="M3" s="2">
        <f>L3+7</f>
        <v>46051</v>
      </c>
      <c r="N3" s="2">
        <v>46023</v>
      </c>
      <c r="O3" s="2">
        <f>N3+7</f>
        <v>46030</v>
      </c>
      <c r="P3" s="2">
        <f>O3+7</f>
        <v>46037</v>
      </c>
      <c r="Q3" s="2">
        <f>P3+7</f>
        <v>46044</v>
      </c>
      <c r="R3" s="2">
        <f>Q3+7</f>
        <v>46051</v>
      </c>
      <c r="S3" s="2">
        <v>46023</v>
      </c>
      <c r="T3" s="2">
        <f>S3+7</f>
        <v>46030</v>
      </c>
      <c r="U3" s="2">
        <f t="shared" ref="U3:W3" si="0">T3+7</f>
        <v>46037</v>
      </c>
      <c r="V3" s="2">
        <f t="shared" si="0"/>
        <v>46044</v>
      </c>
      <c r="W3" s="2">
        <f t="shared" si="0"/>
        <v>46051</v>
      </c>
      <c r="X3" s="2">
        <v>46023</v>
      </c>
      <c r="Y3" s="2">
        <f>X3+7</f>
        <v>46030</v>
      </c>
      <c r="Z3" s="2">
        <f t="shared" ref="Z3:AB3" si="1">Y3+7</f>
        <v>46037</v>
      </c>
      <c r="AA3" s="2">
        <f t="shared" si="1"/>
        <v>46044</v>
      </c>
      <c r="AB3" s="2">
        <f t="shared" si="1"/>
        <v>46051</v>
      </c>
    </row>
    <row r="4" spans="1:29" x14ac:dyDescent="0.3">
      <c r="A4" t="s">
        <v>4</v>
      </c>
      <c r="B4" t="s">
        <v>13</v>
      </c>
      <c r="C4" s="1">
        <v>12</v>
      </c>
      <c r="D4">
        <v>34</v>
      </c>
      <c r="E4">
        <v>32</v>
      </c>
      <c r="F4">
        <v>25</v>
      </c>
      <c r="G4">
        <v>53</v>
      </c>
      <c r="H4">
        <v>17</v>
      </c>
      <c r="I4">
        <f>IF(D4&gt;30, D4-30, 0)</f>
        <v>4</v>
      </c>
      <c r="J4">
        <f t="shared" ref="J4:M4" si="2">IF(E4&gt;30, E4-30, 0)</f>
        <v>2</v>
      </c>
      <c r="K4">
        <f t="shared" si="2"/>
        <v>0</v>
      </c>
      <c r="L4">
        <f t="shared" si="2"/>
        <v>23</v>
      </c>
      <c r="M4">
        <f t="shared" si="2"/>
        <v>0</v>
      </c>
      <c r="N4" s="1">
        <f>$C4*D4</f>
        <v>408</v>
      </c>
      <c r="O4" s="1">
        <f t="shared" ref="O4:R4" si="3">$C4*E4</f>
        <v>384</v>
      </c>
      <c r="P4" s="1">
        <f t="shared" si="3"/>
        <v>300</v>
      </c>
      <c r="Q4" s="1">
        <f t="shared" si="3"/>
        <v>636</v>
      </c>
      <c r="R4" s="1">
        <f t="shared" si="3"/>
        <v>204</v>
      </c>
      <c r="S4" s="1">
        <f>0.5*$C4*I4</f>
        <v>24</v>
      </c>
      <c r="T4" s="1">
        <f t="shared" ref="T4:W12" si="4">0.5*$C4*J4</f>
        <v>12</v>
      </c>
      <c r="U4" s="1">
        <f t="shared" si="4"/>
        <v>0</v>
      </c>
      <c r="V4" s="1">
        <f t="shared" si="4"/>
        <v>138</v>
      </c>
      <c r="W4" s="1">
        <f t="shared" si="4"/>
        <v>0</v>
      </c>
      <c r="X4" s="1">
        <f>N4+S4</f>
        <v>432</v>
      </c>
      <c r="Y4" s="1">
        <f t="shared" ref="Y4:AB4" si="5">O4+T4</f>
        <v>396</v>
      </c>
      <c r="Z4" s="1">
        <f t="shared" si="5"/>
        <v>300</v>
      </c>
      <c r="AA4" s="1">
        <f t="shared" si="5"/>
        <v>774</v>
      </c>
      <c r="AB4" s="1">
        <f t="shared" si="5"/>
        <v>204</v>
      </c>
      <c r="AC4" s="1">
        <f>SUM(X4:AB4)</f>
        <v>2106</v>
      </c>
    </row>
    <row r="5" spans="1:29" x14ac:dyDescent="0.3">
      <c r="A5" t="s">
        <v>5</v>
      </c>
      <c r="B5" t="s">
        <v>14</v>
      </c>
      <c r="C5" s="1">
        <v>32</v>
      </c>
      <c r="D5">
        <v>28</v>
      </c>
      <c r="E5">
        <v>37</v>
      </c>
      <c r="F5">
        <v>24</v>
      </c>
      <c r="G5">
        <v>32</v>
      </c>
      <c r="H5">
        <v>39</v>
      </c>
      <c r="I5">
        <f t="shared" ref="I5:I12" si="6">IF(D5&gt;30, D5-30, 0)</f>
        <v>0</v>
      </c>
      <c r="J5">
        <f t="shared" ref="J5:J12" si="7">IF(E5&gt;30, E5-30, 0)</f>
        <v>7</v>
      </c>
      <c r="K5">
        <f t="shared" ref="K5:K12" si="8">IF(F5&gt;30, F5-30, 0)</f>
        <v>0</v>
      </c>
      <c r="L5">
        <f t="shared" ref="L5:L12" si="9">IF(G5&gt;30, G5-30, 0)</f>
        <v>2</v>
      </c>
      <c r="M5">
        <f t="shared" ref="M5:M12" si="10">IF(H5&gt;30, H5-30, 0)</f>
        <v>9</v>
      </c>
      <c r="N5" s="1">
        <f t="shared" ref="N5:N12" si="11">$C5*D5</f>
        <v>896</v>
      </c>
      <c r="O5" s="1">
        <f t="shared" ref="O5:O12" si="12">$C5*E5</f>
        <v>1184</v>
      </c>
      <c r="P5" s="1">
        <f t="shared" ref="P5:P12" si="13">$C5*F5</f>
        <v>768</v>
      </c>
      <c r="Q5" s="1">
        <f t="shared" ref="Q5:Q12" si="14">$C5*G5</f>
        <v>1024</v>
      </c>
      <c r="R5" s="1">
        <f t="shared" ref="R5:R12" si="15">$C5*H5</f>
        <v>1248</v>
      </c>
      <c r="S5" s="1">
        <f t="shared" ref="S5:S12" si="16">0.5*$C5*I5</f>
        <v>0</v>
      </c>
      <c r="T5" s="1">
        <f t="shared" si="4"/>
        <v>112</v>
      </c>
      <c r="U5" s="1">
        <f t="shared" si="4"/>
        <v>0</v>
      </c>
      <c r="V5" s="1">
        <f t="shared" si="4"/>
        <v>32</v>
      </c>
      <c r="W5" s="1">
        <f t="shared" si="4"/>
        <v>144</v>
      </c>
      <c r="X5" s="1">
        <f t="shared" ref="X5:X12" si="17">N5+S5</f>
        <v>896</v>
      </c>
      <c r="Y5" s="1">
        <f t="shared" ref="Y5:Y12" si="18">O5+T5</f>
        <v>1296</v>
      </c>
      <c r="Z5" s="1">
        <f t="shared" ref="Z5:Z12" si="19">P5+U5</f>
        <v>768</v>
      </c>
      <c r="AA5" s="1">
        <f t="shared" ref="AA5:AA12" si="20">Q5+V5</f>
        <v>1056</v>
      </c>
      <c r="AB5" s="1">
        <f t="shared" ref="AB5:AB12" si="21">R5+W5</f>
        <v>1392</v>
      </c>
      <c r="AC5" s="1">
        <f t="shared" ref="AC5:AC12" si="22">SUM(X5:AB5)</f>
        <v>5408</v>
      </c>
    </row>
    <row r="6" spans="1:29" x14ac:dyDescent="0.3">
      <c r="A6" t="s">
        <v>6</v>
      </c>
      <c r="B6" t="s">
        <v>15</v>
      </c>
      <c r="C6" s="1">
        <v>25</v>
      </c>
      <c r="D6">
        <v>36</v>
      </c>
      <c r="E6">
        <v>24</v>
      </c>
      <c r="F6">
        <v>37</v>
      </c>
      <c r="G6">
        <v>28</v>
      </c>
      <c r="H6">
        <v>18</v>
      </c>
      <c r="I6">
        <f t="shared" si="6"/>
        <v>6</v>
      </c>
      <c r="J6">
        <f t="shared" si="7"/>
        <v>0</v>
      </c>
      <c r="K6">
        <f t="shared" si="8"/>
        <v>7</v>
      </c>
      <c r="L6">
        <f t="shared" si="9"/>
        <v>0</v>
      </c>
      <c r="M6">
        <f t="shared" si="10"/>
        <v>0</v>
      </c>
      <c r="N6" s="1">
        <f t="shared" si="11"/>
        <v>900</v>
      </c>
      <c r="O6" s="1">
        <f t="shared" si="12"/>
        <v>600</v>
      </c>
      <c r="P6" s="1">
        <f t="shared" si="13"/>
        <v>925</v>
      </c>
      <c r="Q6" s="1">
        <f t="shared" si="14"/>
        <v>700</v>
      </c>
      <c r="R6" s="1">
        <f t="shared" si="15"/>
        <v>450</v>
      </c>
      <c r="S6" s="1">
        <f t="shared" si="16"/>
        <v>75</v>
      </c>
      <c r="T6" s="1">
        <f t="shared" si="4"/>
        <v>0</v>
      </c>
      <c r="U6" s="1">
        <f t="shared" si="4"/>
        <v>87.5</v>
      </c>
      <c r="V6" s="1">
        <f t="shared" si="4"/>
        <v>0</v>
      </c>
      <c r="W6" s="1">
        <f t="shared" si="4"/>
        <v>0</v>
      </c>
      <c r="X6" s="1">
        <f t="shared" si="17"/>
        <v>975</v>
      </c>
      <c r="Y6" s="1">
        <f t="shared" si="18"/>
        <v>600</v>
      </c>
      <c r="Z6" s="1">
        <f t="shared" si="19"/>
        <v>1012.5</v>
      </c>
      <c r="AA6" s="1">
        <f t="shared" si="20"/>
        <v>700</v>
      </c>
      <c r="AB6" s="1">
        <f t="shared" si="21"/>
        <v>450</v>
      </c>
      <c r="AC6" s="1">
        <f t="shared" si="22"/>
        <v>3737.5</v>
      </c>
    </row>
    <row r="7" spans="1:29" x14ac:dyDescent="0.3">
      <c r="A7" t="s">
        <v>7</v>
      </c>
      <c r="B7" t="s">
        <v>16</v>
      </c>
      <c r="C7" s="1">
        <v>26</v>
      </c>
      <c r="D7">
        <v>37</v>
      </c>
      <c r="E7">
        <v>36</v>
      </c>
      <c r="F7">
        <v>10</v>
      </c>
      <c r="G7">
        <v>27</v>
      </c>
      <c r="H7">
        <v>49</v>
      </c>
      <c r="I7">
        <f t="shared" si="6"/>
        <v>7</v>
      </c>
      <c r="J7">
        <f t="shared" si="7"/>
        <v>6</v>
      </c>
      <c r="K7">
        <f t="shared" si="8"/>
        <v>0</v>
      </c>
      <c r="L7">
        <f t="shared" si="9"/>
        <v>0</v>
      </c>
      <c r="M7">
        <f t="shared" si="10"/>
        <v>19</v>
      </c>
      <c r="N7" s="1">
        <f t="shared" si="11"/>
        <v>962</v>
      </c>
      <c r="O7" s="1">
        <f t="shared" si="12"/>
        <v>936</v>
      </c>
      <c r="P7" s="1">
        <f t="shared" si="13"/>
        <v>260</v>
      </c>
      <c r="Q7" s="1">
        <f t="shared" si="14"/>
        <v>702</v>
      </c>
      <c r="R7" s="1">
        <f t="shared" si="15"/>
        <v>1274</v>
      </c>
      <c r="S7" s="1">
        <f t="shared" si="16"/>
        <v>91</v>
      </c>
      <c r="T7" s="1">
        <f t="shared" si="4"/>
        <v>78</v>
      </c>
      <c r="U7" s="1">
        <f t="shared" si="4"/>
        <v>0</v>
      </c>
      <c r="V7" s="1">
        <f t="shared" si="4"/>
        <v>0</v>
      </c>
      <c r="W7" s="1">
        <f t="shared" si="4"/>
        <v>247</v>
      </c>
      <c r="X7" s="1">
        <f t="shared" si="17"/>
        <v>1053</v>
      </c>
      <c r="Y7" s="1">
        <f t="shared" si="18"/>
        <v>1014</v>
      </c>
      <c r="Z7" s="1">
        <f t="shared" si="19"/>
        <v>260</v>
      </c>
      <c r="AA7" s="1">
        <f t="shared" si="20"/>
        <v>702</v>
      </c>
      <c r="AB7" s="1">
        <f t="shared" si="21"/>
        <v>1521</v>
      </c>
      <c r="AC7" s="1">
        <f t="shared" si="22"/>
        <v>4550</v>
      </c>
    </row>
    <row r="8" spans="1:29" x14ac:dyDescent="0.3">
      <c r="A8" t="s">
        <v>8</v>
      </c>
      <c r="B8" t="s">
        <v>17</v>
      </c>
      <c r="C8" s="1">
        <v>13</v>
      </c>
      <c r="D8">
        <v>25</v>
      </c>
      <c r="E8">
        <v>39</v>
      </c>
      <c r="F8">
        <v>17</v>
      </c>
      <c r="G8">
        <v>38</v>
      </c>
      <c r="H8">
        <v>38</v>
      </c>
      <c r="I8">
        <f t="shared" si="6"/>
        <v>0</v>
      </c>
      <c r="J8">
        <f t="shared" si="7"/>
        <v>9</v>
      </c>
      <c r="K8">
        <f t="shared" si="8"/>
        <v>0</v>
      </c>
      <c r="L8">
        <f t="shared" si="9"/>
        <v>8</v>
      </c>
      <c r="M8">
        <f t="shared" si="10"/>
        <v>8</v>
      </c>
      <c r="N8" s="1">
        <f t="shared" si="11"/>
        <v>325</v>
      </c>
      <c r="O8" s="1">
        <f t="shared" si="12"/>
        <v>507</v>
      </c>
      <c r="P8" s="1">
        <f t="shared" si="13"/>
        <v>221</v>
      </c>
      <c r="Q8" s="1">
        <f t="shared" si="14"/>
        <v>494</v>
      </c>
      <c r="R8" s="1">
        <f t="shared" si="15"/>
        <v>494</v>
      </c>
      <c r="S8" s="1">
        <f t="shared" si="16"/>
        <v>0</v>
      </c>
      <c r="T8" s="1">
        <f t="shared" si="4"/>
        <v>58.5</v>
      </c>
      <c r="U8" s="1">
        <f t="shared" si="4"/>
        <v>0</v>
      </c>
      <c r="V8" s="1">
        <f t="shared" si="4"/>
        <v>52</v>
      </c>
      <c r="W8" s="1">
        <f t="shared" si="4"/>
        <v>52</v>
      </c>
      <c r="X8" s="1">
        <f t="shared" si="17"/>
        <v>325</v>
      </c>
      <c r="Y8" s="1">
        <f t="shared" si="18"/>
        <v>565.5</v>
      </c>
      <c r="Z8" s="1">
        <f t="shared" si="19"/>
        <v>221</v>
      </c>
      <c r="AA8" s="1">
        <f t="shared" si="20"/>
        <v>546</v>
      </c>
      <c r="AB8" s="1">
        <f t="shared" si="21"/>
        <v>546</v>
      </c>
      <c r="AC8" s="1">
        <f t="shared" si="22"/>
        <v>2203.5</v>
      </c>
    </row>
    <row r="9" spans="1:29" x14ac:dyDescent="0.3">
      <c r="A9" t="s">
        <v>9</v>
      </c>
      <c r="B9" t="s">
        <v>18</v>
      </c>
      <c r="C9" s="1">
        <v>12</v>
      </c>
      <c r="D9">
        <v>48</v>
      </c>
      <c r="E9">
        <v>13</v>
      </c>
      <c r="F9">
        <v>26</v>
      </c>
      <c r="G9">
        <v>28</v>
      </c>
      <c r="H9">
        <v>38</v>
      </c>
      <c r="I9">
        <f t="shared" si="6"/>
        <v>18</v>
      </c>
      <c r="J9">
        <f t="shared" si="7"/>
        <v>0</v>
      </c>
      <c r="K9">
        <f t="shared" si="8"/>
        <v>0</v>
      </c>
      <c r="L9">
        <f t="shared" si="9"/>
        <v>0</v>
      </c>
      <c r="M9">
        <f t="shared" si="10"/>
        <v>8</v>
      </c>
      <c r="N9" s="1">
        <f t="shared" si="11"/>
        <v>576</v>
      </c>
      <c r="O9" s="1">
        <f t="shared" si="12"/>
        <v>156</v>
      </c>
      <c r="P9" s="1">
        <f t="shared" si="13"/>
        <v>312</v>
      </c>
      <c r="Q9" s="1">
        <f t="shared" si="14"/>
        <v>336</v>
      </c>
      <c r="R9" s="1">
        <f t="shared" si="15"/>
        <v>456</v>
      </c>
      <c r="S9" s="1">
        <f t="shared" si="16"/>
        <v>108</v>
      </c>
      <c r="T9" s="1">
        <f t="shared" si="4"/>
        <v>0</v>
      </c>
      <c r="U9" s="1">
        <f t="shared" si="4"/>
        <v>0</v>
      </c>
      <c r="V9" s="1">
        <f t="shared" si="4"/>
        <v>0</v>
      </c>
      <c r="W9" s="1">
        <f t="shared" si="4"/>
        <v>48</v>
      </c>
      <c r="X9" s="1">
        <f t="shared" si="17"/>
        <v>684</v>
      </c>
      <c r="Y9" s="1">
        <f t="shared" si="18"/>
        <v>156</v>
      </c>
      <c r="Z9" s="1">
        <f t="shared" si="19"/>
        <v>312</v>
      </c>
      <c r="AA9" s="1">
        <f t="shared" si="20"/>
        <v>336</v>
      </c>
      <c r="AB9" s="1">
        <f t="shared" si="21"/>
        <v>504</v>
      </c>
      <c r="AC9" s="1">
        <f t="shared" si="22"/>
        <v>1992</v>
      </c>
    </row>
    <row r="10" spans="1:29" x14ac:dyDescent="0.3">
      <c r="A10" t="s">
        <v>10</v>
      </c>
      <c r="B10" t="s">
        <v>19</v>
      </c>
      <c r="C10" s="1">
        <v>14</v>
      </c>
      <c r="D10">
        <v>37</v>
      </c>
      <c r="E10">
        <v>48</v>
      </c>
      <c r="F10">
        <v>18</v>
      </c>
      <c r="G10">
        <v>38</v>
      </c>
      <c r="H10">
        <v>36</v>
      </c>
      <c r="I10">
        <f t="shared" si="6"/>
        <v>7</v>
      </c>
      <c r="J10">
        <f t="shared" si="7"/>
        <v>18</v>
      </c>
      <c r="K10">
        <f t="shared" si="8"/>
        <v>0</v>
      </c>
      <c r="L10">
        <f t="shared" si="9"/>
        <v>8</v>
      </c>
      <c r="M10">
        <f t="shared" si="10"/>
        <v>6</v>
      </c>
      <c r="N10" s="1">
        <f t="shared" si="11"/>
        <v>518</v>
      </c>
      <c r="O10" s="1">
        <f t="shared" si="12"/>
        <v>672</v>
      </c>
      <c r="P10" s="1">
        <f t="shared" si="13"/>
        <v>252</v>
      </c>
      <c r="Q10" s="1">
        <f t="shared" si="14"/>
        <v>532</v>
      </c>
      <c r="R10" s="1">
        <f t="shared" si="15"/>
        <v>504</v>
      </c>
      <c r="S10" s="1">
        <f t="shared" si="16"/>
        <v>49</v>
      </c>
      <c r="T10" s="1">
        <f t="shared" si="4"/>
        <v>126</v>
      </c>
      <c r="U10" s="1">
        <f t="shared" si="4"/>
        <v>0</v>
      </c>
      <c r="V10" s="1">
        <f t="shared" si="4"/>
        <v>56</v>
      </c>
      <c r="W10" s="1">
        <f t="shared" si="4"/>
        <v>42</v>
      </c>
      <c r="X10" s="1">
        <f t="shared" si="17"/>
        <v>567</v>
      </c>
      <c r="Y10" s="1">
        <f t="shared" si="18"/>
        <v>798</v>
      </c>
      <c r="Z10" s="1">
        <f t="shared" si="19"/>
        <v>252</v>
      </c>
      <c r="AA10" s="1">
        <f t="shared" si="20"/>
        <v>588</v>
      </c>
      <c r="AB10" s="1">
        <f t="shared" si="21"/>
        <v>546</v>
      </c>
      <c r="AC10" s="1">
        <f t="shared" si="22"/>
        <v>2751</v>
      </c>
    </row>
    <row r="11" spans="1:29" x14ac:dyDescent="0.3">
      <c r="A11" t="s">
        <v>11</v>
      </c>
      <c r="B11" t="s">
        <v>20</v>
      </c>
      <c r="C11" s="1">
        <v>25</v>
      </c>
      <c r="D11">
        <v>17</v>
      </c>
      <c r="E11">
        <v>10</v>
      </c>
      <c r="F11">
        <v>36</v>
      </c>
      <c r="G11">
        <v>48</v>
      </c>
      <c r="H11">
        <v>35</v>
      </c>
      <c r="I11">
        <f t="shared" si="6"/>
        <v>0</v>
      </c>
      <c r="J11">
        <f t="shared" si="7"/>
        <v>0</v>
      </c>
      <c r="K11">
        <f t="shared" si="8"/>
        <v>6</v>
      </c>
      <c r="L11">
        <f t="shared" si="9"/>
        <v>18</v>
      </c>
      <c r="M11">
        <f t="shared" si="10"/>
        <v>5</v>
      </c>
      <c r="N11" s="1">
        <f t="shared" si="11"/>
        <v>425</v>
      </c>
      <c r="O11" s="1">
        <f t="shared" si="12"/>
        <v>250</v>
      </c>
      <c r="P11" s="1">
        <f t="shared" si="13"/>
        <v>900</v>
      </c>
      <c r="Q11" s="1">
        <f t="shared" si="14"/>
        <v>1200</v>
      </c>
      <c r="R11" s="1">
        <f t="shared" si="15"/>
        <v>875</v>
      </c>
      <c r="S11" s="1">
        <f t="shared" si="16"/>
        <v>0</v>
      </c>
      <c r="T11" s="1">
        <f t="shared" si="4"/>
        <v>0</v>
      </c>
      <c r="U11" s="1">
        <f t="shared" si="4"/>
        <v>75</v>
      </c>
      <c r="V11" s="1">
        <f t="shared" si="4"/>
        <v>225</v>
      </c>
      <c r="W11" s="1">
        <f t="shared" si="4"/>
        <v>62.5</v>
      </c>
      <c r="X11" s="1">
        <f t="shared" si="17"/>
        <v>425</v>
      </c>
      <c r="Y11" s="1">
        <f t="shared" si="18"/>
        <v>250</v>
      </c>
      <c r="Z11" s="1">
        <f t="shared" si="19"/>
        <v>975</v>
      </c>
      <c r="AA11" s="1">
        <f t="shared" si="20"/>
        <v>1425</v>
      </c>
      <c r="AB11" s="1">
        <f t="shared" si="21"/>
        <v>937.5</v>
      </c>
      <c r="AC11" s="1">
        <f t="shared" si="22"/>
        <v>4012.5</v>
      </c>
    </row>
    <row r="12" spans="1:29" x14ac:dyDescent="0.3">
      <c r="A12" t="s">
        <v>12</v>
      </c>
      <c r="B12" t="s">
        <v>21</v>
      </c>
      <c r="C12" s="1">
        <v>32</v>
      </c>
      <c r="D12">
        <v>23</v>
      </c>
      <c r="E12">
        <v>37</v>
      </c>
      <c r="F12">
        <v>37</v>
      </c>
      <c r="G12">
        <v>36</v>
      </c>
      <c r="H12">
        <v>26</v>
      </c>
      <c r="I12">
        <f t="shared" si="6"/>
        <v>0</v>
      </c>
      <c r="J12">
        <f t="shared" si="7"/>
        <v>7</v>
      </c>
      <c r="K12">
        <f t="shared" si="8"/>
        <v>7</v>
      </c>
      <c r="L12">
        <f t="shared" si="9"/>
        <v>6</v>
      </c>
      <c r="M12">
        <f t="shared" si="10"/>
        <v>0</v>
      </c>
      <c r="N12" s="1">
        <f t="shared" si="11"/>
        <v>736</v>
      </c>
      <c r="O12" s="1">
        <f t="shared" si="12"/>
        <v>1184</v>
      </c>
      <c r="P12" s="1">
        <f t="shared" si="13"/>
        <v>1184</v>
      </c>
      <c r="Q12" s="1">
        <f t="shared" si="14"/>
        <v>1152</v>
      </c>
      <c r="R12" s="1">
        <f t="shared" si="15"/>
        <v>832</v>
      </c>
      <c r="S12" s="1">
        <f t="shared" si="16"/>
        <v>0</v>
      </c>
      <c r="T12" s="1">
        <f t="shared" si="4"/>
        <v>112</v>
      </c>
      <c r="U12" s="1">
        <f t="shared" si="4"/>
        <v>112</v>
      </c>
      <c r="V12" s="1">
        <f t="shared" si="4"/>
        <v>96</v>
      </c>
      <c r="W12" s="1">
        <f t="shared" si="4"/>
        <v>0</v>
      </c>
      <c r="X12" s="1">
        <f t="shared" si="17"/>
        <v>736</v>
      </c>
      <c r="Y12" s="1">
        <f t="shared" si="18"/>
        <v>1296</v>
      </c>
      <c r="Z12" s="1">
        <f t="shared" si="19"/>
        <v>1296</v>
      </c>
      <c r="AA12" s="1">
        <f t="shared" si="20"/>
        <v>1248</v>
      </c>
      <c r="AB12" s="1">
        <f t="shared" si="21"/>
        <v>832</v>
      </c>
      <c r="AC12" s="1">
        <f t="shared" si="22"/>
        <v>5408</v>
      </c>
    </row>
    <row r="14" spans="1:29" x14ac:dyDescent="0.3">
      <c r="A14" t="s">
        <v>27</v>
      </c>
      <c r="C14" s="1">
        <f>MAX(C4:C12)</f>
        <v>32</v>
      </c>
      <c r="D14" s="1">
        <f t="shared" ref="D14:AB14" si="23">MAX(D4:D12)</f>
        <v>48</v>
      </c>
      <c r="E14" s="1">
        <f t="shared" si="23"/>
        <v>48</v>
      </c>
      <c r="F14" s="1">
        <f t="shared" si="23"/>
        <v>37</v>
      </c>
      <c r="G14" s="1">
        <f t="shared" si="23"/>
        <v>53</v>
      </c>
      <c r="H14" s="1">
        <f t="shared" si="23"/>
        <v>49</v>
      </c>
      <c r="I14" s="1">
        <f t="shared" si="23"/>
        <v>18</v>
      </c>
      <c r="J14" s="1">
        <f t="shared" si="23"/>
        <v>18</v>
      </c>
      <c r="K14" s="1">
        <f t="shared" si="23"/>
        <v>7</v>
      </c>
      <c r="L14" s="1">
        <f t="shared" si="23"/>
        <v>23</v>
      </c>
      <c r="M14" s="1">
        <f t="shared" si="23"/>
        <v>19</v>
      </c>
      <c r="N14" s="1">
        <f t="shared" si="23"/>
        <v>962</v>
      </c>
      <c r="O14" s="1">
        <f t="shared" si="23"/>
        <v>1184</v>
      </c>
      <c r="P14" s="1">
        <f t="shared" si="23"/>
        <v>1184</v>
      </c>
      <c r="Q14" s="1">
        <f t="shared" si="23"/>
        <v>1200</v>
      </c>
      <c r="R14" s="1">
        <f t="shared" si="23"/>
        <v>1274</v>
      </c>
      <c r="S14" s="1">
        <f t="shared" si="23"/>
        <v>108</v>
      </c>
      <c r="T14" s="1">
        <f t="shared" si="23"/>
        <v>126</v>
      </c>
      <c r="U14" s="1">
        <f t="shared" si="23"/>
        <v>112</v>
      </c>
      <c r="V14" s="1">
        <f t="shared" si="23"/>
        <v>225</v>
      </c>
      <c r="W14" s="1">
        <f t="shared" si="23"/>
        <v>247</v>
      </c>
      <c r="X14" s="1">
        <f t="shared" si="23"/>
        <v>1053</v>
      </c>
      <c r="Y14" s="1">
        <f t="shared" si="23"/>
        <v>1296</v>
      </c>
      <c r="Z14" s="1">
        <f t="shared" si="23"/>
        <v>1296</v>
      </c>
      <c r="AA14" s="1">
        <f t="shared" si="23"/>
        <v>1425</v>
      </c>
      <c r="AB14" s="1">
        <f t="shared" si="23"/>
        <v>1521</v>
      </c>
      <c r="AC14" s="1">
        <f t="shared" ref="AC14" si="24">MAX(AC4:AC12)</f>
        <v>5408</v>
      </c>
    </row>
    <row r="15" spans="1:29" x14ac:dyDescent="0.3">
      <c r="A15" t="s">
        <v>28</v>
      </c>
      <c r="C15" s="1">
        <f>MIN(C4:C12)</f>
        <v>12</v>
      </c>
      <c r="D15" s="1">
        <f t="shared" ref="D15:AB15" si="25">MIN(D4:D12)</f>
        <v>17</v>
      </c>
      <c r="E15" s="1">
        <f t="shared" si="25"/>
        <v>10</v>
      </c>
      <c r="F15" s="1">
        <f t="shared" si="25"/>
        <v>10</v>
      </c>
      <c r="G15" s="1">
        <f t="shared" si="25"/>
        <v>27</v>
      </c>
      <c r="H15" s="1">
        <f t="shared" si="25"/>
        <v>17</v>
      </c>
      <c r="I15" s="1">
        <f t="shared" si="25"/>
        <v>0</v>
      </c>
      <c r="J15" s="1">
        <f t="shared" si="25"/>
        <v>0</v>
      </c>
      <c r="K15" s="1">
        <f t="shared" si="25"/>
        <v>0</v>
      </c>
      <c r="L15" s="1">
        <f t="shared" si="25"/>
        <v>0</v>
      </c>
      <c r="M15" s="1">
        <f t="shared" si="25"/>
        <v>0</v>
      </c>
      <c r="N15" s="1">
        <f t="shared" si="25"/>
        <v>325</v>
      </c>
      <c r="O15" s="1">
        <f t="shared" si="25"/>
        <v>156</v>
      </c>
      <c r="P15" s="1">
        <f t="shared" si="25"/>
        <v>221</v>
      </c>
      <c r="Q15" s="1">
        <f t="shared" si="25"/>
        <v>336</v>
      </c>
      <c r="R15" s="1">
        <f t="shared" si="25"/>
        <v>204</v>
      </c>
      <c r="S15" s="1">
        <f t="shared" si="25"/>
        <v>0</v>
      </c>
      <c r="T15" s="1">
        <f t="shared" si="25"/>
        <v>0</v>
      </c>
      <c r="U15" s="1">
        <f t="shared" si="25"/>
        <v>0</v>
      </c>
      <c r="V15" s="1">
        <f t="shared" si="25"/>
        <v>0</v>
      </c>
      <c r="W15" s="1">
        <f t="shared" si="25"/>
        <v>0</v>
      </c>
      <c r="X15" s="1">
        <f t="shared" si="25"/>
        <v>325</v>
      </c>
      <c r="Y15" s="1">
        <f t="shared" si="25"/>
        <v>156</v>
      </c>
      <c r="Z15" s="1">
        <f t="shared" si="25"/>
        <v>221</v>
      </c>
      <c r="AA15" s="1">
        <f t="shared" si="25"/>
        <v>336</v>
      </c>
      <c r="AB15" s="1">
        <f t="shared" si="25"/>
        <v>204</v>
      </c>
      <c r="AC15" s="1">
        <f t="shared" ref="AC15" si="26">MIN(AC4:AC12)</f>
        <v>1992</v>
      </c>
    </row>
    <row r="16" spans="1:29" x14ac:dyDescent="0.3">
      <c r="A16" t="s">
        <v>29</v>
      </c>
      <c r="C16" s="1">
        <f>AVERAGE(C4:C12)</f>
        <v>21.222222222222221</v>
      </c>
      <c r="D16" s="1">
        <f t="shared" ref="D16:AB16" si="27">AVERAGE(D4:D12)</f>
        <v>31.666666666666668</v>
      </c>
      <c r="E16" s="1">
        <f t="shared" si="27"/>
        <v>30.666666666666668</v>
      </c>
      <c r="F16" s="1">
        <f t="shared" si="27"/>
        <v>25.555555555555557</v>
      </c>
      <c r="G16" s="1">
        <f t="shared" si="27"/>
        <v>36.444444444444443</v>
      </c>
      <c r="H16" s="1">
        <f t="shared" si="27"/>
        <v>32.888888888888886</v>
      </c>
      <c r="I16" s="1">
        <f t="shared" si="27"/>
        <v>4.666666666666667</v>
      </c>
      <c r="J16" s="1">
        <f t="shared" si="27"/>
        <v>5.4444444444444446</v>
      </c>
      <c r="K16" s="1">
        <f t="shared" si="27"/>
        <v>2.2222222222222223</v>
      </c>
      <c r="L16" s="1">
        <f t="shared" si="27"/>
        <v>7.2222222222222223</v>
      </c>
      <c r="M16" s="1">
        <f t="shared" si="27"/>
        <v>6.1111111111111107</v>
      </c>
      <c r="N16" s="1">
        <f t="shared" si="27"/>
        <v>638.44444444444446</v>
      </c>
      <c r="O16" s="1">
        <f t="shared" si="27"/>
        <v>652.55555555555554</v>
      </c>
      <c r="P16" s="1">
        <f t="shared" si="27"/>
        <v>569.11111111111109</v>
      </c>
      <c r="Q16" s="1">
        <f t="shared" si="27"/>
        <v>752.88888888888891</v>
      </c>
      <c r="R16" s="1">
        <f t="shared" si="27"/>
        <v>704.11111111111109</v>
      </c>
      <c r="S16" s="1">
        <f t="shared" si="27"/>
        <v>38.555555555555557</v>
      </c>
      <c r="T16" s="1">
        <f t="shared" si="27"/>
        <v>55.388888888888886</v>
      </c>
      <c r="U16" s="1">
        <f t="shared" si="27"/>
        <v>30.5</v>
      </c>
      <c r="V16" s="1">
        <f t="shared" si="27"/>
        <v>66.555555555555557</v>
      </c>
      <c r="W16" s="1">
        <f t="shared" si="27"/>
        <v>66.166666666666671</v>
      </c>
      <c r="X16" s="1">
        <f t="shared" si="27"/>
        <v>677</v>
      </c>
      <c r="Y16" s="1">
        <f t="shared" si="27"/>
        <v>707.94444444444446</v>
      </c>
      <c r="Z16" s="1">
        <f t="shared" si="27"/>
        <v>599.61111111111109</v>
      </c>
      <c r="AA16" s="1">
        <f t="shared" si="27"/>
        <v>819.44444444444446</v>
      </c>
      <c r="AB16" s="1">
        <f t="shared" si="27"/>
        <v>770.27777777777783</v>
      </c>
      <c r="AC16" s="1">
        <f t="shared" ref="AC16" si="28">AVERAGE(AC4:AC12)</f>
        <v>3574.2777777777778</v>
      </c>
    </row>
    <row r="17" spans="1:29" x14ac:dyDescent="0.3">
      <c r="A17" t="s">
        <v>26</v>
      </c>
      <c r="C17" s="1">
        <f>SUM(C4:C12)</f>
        <v>191</v>
      </c>
      <c r="D17" s="1">
        <f t="shared" ref="D17:AB17" si="29">SUM(D4:D12)</f>
        <v>285</v>
      </c>
      <c r="E17" s="1">
        <f t="shared" si="29"/>
        <v>276</v>
      </c>
      <c r="F17" s="1">
        <f t="shared" si="29"/>
        <v>230</v>
      </c>
      <c r="G17" s="1">
        <f t="shared" si="29"/>
        <v>328</v>
      </c>
      <c r="H17" s="1">
        <f t="shared" si="29"/>
        <v>296</v>
      </c>
      <c r="I17" s="1">
        <f t="shared" si="29"/>
        <v>42</v>
      </c>
      <c r="J17" s="1">
        <f t="shared" si="29"/>
        <v>49</v>
      </c>
      <c r="K17" s="1">
        <f t="shared" si="29"/>
        <v>20</v>
      </c>
      <c r="L17" s="1">
        <f t="shared" si="29"/>
        <v>65</v>
      </c>
      <c r="M17" s="1">
        <f t="shared" si="29"/>
        <v>55</v>
      </c>
      <c r="N17" s="1">
        <f t="shared" si="29"/>
        <v>5746</v>
      </c>
      <c r="O17" s="1">
        <f t="shared" si="29"/>
        <v>5873</v>
      </c>
      <c r="P17" s="1">
        <f t="shared" si="29"/>
        <v>5122</v>
      </c>
      <c r="Q17" s="1">
        <f t="shared" si="29"/>
        <v>6776</v>
      </c>
      <c r="R17" s="1">
        <f t="shared" si="29"/>
        <v>6337</v>
      </c>
      <c r="S17" s="1">
        <f t="shared" si="29"/>
        <v>347</v>
      </c>
      <c r="T17" s="1">
        <f t="shared" si="29"/>
        <v>498.5</v>
      </c>
      <c r="U17" s="1">
        <f t="shared" si="29"/>
        <v>274.5</v>
      </c>
      <c r="V17" s="1">
        <f t="shared" si="29"/>
        <v>599</v>
      </c>
      <c r="W17" s="1">
        <f t="shared" si="29"/>
        <v>595.5</v>
      </c>
      <c r="X17" s="1">
        <f t="shared" si="29"/>
        <v>6093</v>
      </c>
      <c r="Y17" s="1">
        <f t="shared" si="29"/>
        <v>6371.5</v>
      </c>
      <c r="Z17" s="1">
        <f t="shared" si="29"/>
        <v>5396.5</v>
      </c>
      <c r="AA17" s="1">
        <f t="shared" si="29"/>
        <v>7375</v>
      </c>
      <c r="AB17" s="1">
        <f t="shared" si="29"/>
        <v>6932.5</v>
      </c>
      <c r="AC17" s="1">
        <f t="shared" ref="AC17" si="30">SUM(AC4:AC12)</f>
        <v>32168.5</v>
      </c>
    </row>
  </sheetData>
  <mergeCells count="6">
    <mergeCell ref="X2:AB2"/>
    <mergeCell ref="A1:C1"/>
    <mergeCell ref="D2:H2"/>
    <mergeCell ref="I2:M2"/>
    <mergeCell ref="N2:R2"/>
    <mergeCell ref="S2:W2"/>
  </mergeCells>
  <pageMargins left="0.7" right="0.7" top="0.75" bottom="0.75" header="0.3" footer="0.3"/>
  <ignoredErrors>
    <ignoredError sqref="D14 D15:D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2026-08-12T10:46:50Z</dcterms:created>
  <dcterms:modified xsi:type="dcterms:W3CDTF">2026-08-13T04:24:46Z</dcterms:modified>
</cp:coreProperties>
</file>