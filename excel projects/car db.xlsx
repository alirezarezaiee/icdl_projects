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67CB8EA-1944-49E0-B459-690895FDAE1D}" xr6:coauthVersionLast="47" xr6:coauthVersionMax="47" xr10:uidLastSave="{00000000-0000-0000-0000-000000000000}"/>
  <bookViews>
    <workbookView xWindow="24" yWindow="24" windowWidth="23016" windowHeight="12216" activeTab="1" xr2:uid="{FE5B745C-7755-416A-852E-85AE9D884678}"/>
  </bookViews>
  <sheets>
    <sheet name="Sheet1" sheetId="2" r:id="rId1"/>
    <sheet name="car-inventory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4" i="1"/>
  <c r="M28" i="1"/>
  <c r="M29" i="1"/>
  <c r="M22" i="1"/>
  <c r="M19" i="1"/>
  <c r="M30" i="1"/>
  <c r="M37" i="1"/>
  <c r="M38" i="1"/>
  <c r="M48" i="1"/>
  <c r="M42" i="1"/>
  <c r="M52" i="1"/>
  <c r="M36" i="1"/>
  <c r="M47" i="1"/>
  <c r="M50" i="1"/>
  <c r="M32" i="1"/>
  <c r="M5" i="1"/>
  <c r="M7" i="1"/>
  <c r="M2" i="1"/>
  <c r="M3" i="1"/>
  <c r="M4" i="1"/>
  <c r="M14" i="1"/>
  <c r="M21" i="1"/>
  <c r="M16" i="1"/>
  <c r="M10" i="1"/>
  <c r="M49" i="1"/>
  <c r="M34" i="1"/>
  <c r="M45" i="1"/>
  <c r="M6" i="1"/>
  <c r="M12" i="1"/>
  <c r="M41" i="1"/>
  <c r="M31" i="1"/>
  <c r="M33" i="1"/>
  <c r="M40" i="1"/>
  <c r="M51" i="1"/>
  <c r="M17" i="1"/>
  <c r="M20" i="1"/>
  <c r="M25" i="1"/>
  <c r="M13" i="1"/>
  <c r="M53" i="1"/>
  <c r="M15" i="1"/>
  <c r="M26" i="1"/>
  <c r="M39" i="1"/>
  <c r="M8" i="1"/>
  <c r="M9" i="1"/>
  <c r="M11" i="1"/>
  <c r="M18" i="1"/>
  <c r="M35" i="1"/>
  <c r="M43" i="1"/>
  <c r="M46" i="1"/>
  <c r="M44" i="1"/>
  <c r="M27" i="1"/>
  <c r="G4" i="1"/>
  <c r="I4" i="1" s="1"/>
  <c r="G14" i="1"/>
  <c r="I14" i="1" s="1"/>
  <c r="G10" i="1"/>
  <c r="I10" i="1" s="1"/>
  <c r="G6" i="1"/>
  <c r="I6" i="1" s="1"/>
  <c r="G12" i="1"/>
  <c r="I12" i="1" s="1"/>
  <c r="G33" i="1"/>
  <c r="I33" i="1" s="1"/>
  <c r="G37" i="1"/>
  <c r="I37" i="1" s="1"/>
  <c r="G52" i="1"/>
  <c r="I52" i="1" s="1"/>
  <c r="F23" i="1"/>
  <c r="G23" i="1" s="1"/>
  <c r="I23" i="1" s="1"/>
  <c r="F24" i="1"/>
  <c r="G24" i="1" s="1"/>
  <c r="I24" i="1" s="1"/>
  <c r="F28" i="1"/>
  <c r="G28" i="1" s="1"/>
  <c r="I28" i="1" s="1"/>
  <c r="F29" i="1"/>
  <c r="G29" i="1" s="1"/>
  <c r="I29" i="1" s="1"/>
  <c r="F22" i="1"/>
  <c r="G22" i="1" s="1"/>
  <c r="I22" i="1" s="1"/>
  <c r="F19" i="1"/>
  <c r="G19" i="1" s="1"/>
  <c r="I19" i="1" s="1"/>
  <c r="F30" i="1"/>
  <c r="G30" i="1" s="1"/>
  <c r="I30" i="1" s="1"/>
  <c r="F37" i="1"/>
  <c r="F38" i="1"/>
  <c r="G38" i="1" s="1"/>
  <c r="I38" i="1" s="1"/>
  <c r="F48" i="1"/>
  <c r="G48" i="1" s="1"/>
  <c r="I48" i="1" s="1"/>
  <c r="F42" i="1"/>
  <c r="G42" i="1" s="1"/>
  <c r="I42" i="1" s="1"/>
  <c r="F52" i="1"/>
  <c r="F36" i="1"/>
  <c r="G36" i="1" s="1"/>
  <c r="I36" i="1" s="1"/>
  <c r="F47" i="1"/>
  <c r="G47" i="1" s="1"/>
  <c r="I47" i="1" s="1"/>
  <c r="F50" i="1"/>
  <c r="G50" i="1" s="1"/>
  <c r="I50" i="1" s="1"/>
  <c r="F32" i="1"/>
  <c r="G32" i="1" s="1"/>
  <c r="I32" i="1" s="1"/>
  <c r="F5" i="1"/>
  <c r="G5" i="1" s="1"/>
  <c r="I5" i="1" s="1"/>
  <c r="F7" i="1"/>
  <c r="G7" i="1" s="1"/>
  <c r="I7" i="1" s="1"/>
  <c r="F2" i="1"/>
  <c r="G2" i="1" s="1"/>
  <c r="I2" i="1" s="1"/>
  <c r="F3" i="1"/>
  <c r="G3" i="1" s="1"/>
  <c r="I3" i="1" s="1"/>
  <c r="F4" i="1"/>
  <c r="F14" i="1"/>
  <c r="F21" i="1"/>
  <c r="G21" i="1" s="1"/>
  <c r="I21" i="1" s="1"/>
  <c r="F16" i="1"/>
  <c r="G16" i="1" s="1"/>
  <c r="I16" i="1" s="1"/>
  <c r="F10" i="1"/>
  <c r="F49" i="1"/>
  <c r="G49" i="1" s="1"/>
  <c r="I49" i="1" s="1"/>
  <c r="F34" i="1"/>
  <c r="G34" i="1" s="1"/>
  <c r="I34" i="1" s="1"/>
  <c r="F45" i="1"/>
  <c r="G45" i="1" s="1"/>
  <c r="I45" i="1" s="1"/>
  <c r="F6" i="1"/>
  <c r="F12" i="1"/>
  <c r="F41" i="1"/>
  <c r="G41" i="1" s="1"/>
  <c r="I41" i="1" s="1"/>
  <c r="F31" i="1"/>
  <c r="G31" i="1" s="1"/>
  <c r="I31" i="1" s="1"/>
  <c r="F33" i="1"/>
  <c r="F40" i="1"/>
  <c r="G40" i="1" s="1"/>
  <c r="I40" i="1" s="1"/>
  <c r="F51" i="1"/>
  <c r="G51" i="1" s="1"/>
  <c r="I51" i="1" s="1"/>
  <c r="F17" i="1"/>
  <c r="G17" i="1" s="1"/>
  <c r="I17" i="1" s="1"/>
  <c r="F20" i="1"/>
  <c r="G20" i="1" s="1"/>
  <c r="I20" i="1" s="1"/>
  <c r="F25" i="1"/>
  <c r="G25" i="1" s="1"/>
  <c r="I25" i="1" s="1"/>
  <c r="F13" i="1"/>
  <c r="G13" i="1" s="1"/>
  <c r="I13" i="1" s="1"/>
  <c r="F53" i="1"/>
  <c r="G53" i="1" s="1"/>
  <c r="I53" i="1" s="1"/>
  <c r="F15" i="1"/>
  <c r="G15" i="1" s="1"/>
  <c r="I15" i="1" s="1"/>
  <c r="F26" i="1"/>
  <c r="G26" i="1" s="1"/>
  <c r="I26" i="1" s="1"/>
  <c r="F39" i="1"/>
  <c r="G39" i="1" s="1"/>
  <c r="I39" i="1" s="1"/>
  <c r="F8" i="1"/>
  <c r="G8" i="1" s="1"/>
  <c r="I8" i="1" s="1"/>
  <c r="F9" i="1"/>
  <c r="G9" i="1" s="1"/>
  <c r="I9" i="1" s="1"/>
  <c r="F11" i="1"/>
  <c r="G11" i="1" s="1"/>
  <c r="I11" i="1" s="1"/>
  <c r="F18" i="1"/>
  <c r="G18" i="1" s="1"/>
  <c r="I18" i="1" s="1"/>
  <c r="F35" i="1"/>
  <c r="G35" i="1" s="1"/>
  <c r="I35" i="1" s="1"/>
  <c r="F43" i="1"/>
  <c r="G43" i="1" s="1"/>
  <c r="I43" i="1" s="1"/>
  <c r="F46" i="1"/>
  <c r="G46" i="1" s="1"/>
  <c r="I46" i="1" s="1"/>
  <c r="F44" i="1"/>
  <c r="G44" i="1" s="1"/>
  <c r="I44" i="1" s="1"/>
  <c r="F27" i="1"/>
  <c r="G27" i="1" s="1"/>
  <c r="I27" i="1" s="1"/>
  <c r="E4" i="1"/>
  <c r="E6" i="1"/>
  <c r="E53" i="1"/>
  <c r="E38" i="1"/>
  <c r="D23" i="1"/>
  <c r="E23" i="1" s="1"/>
  <c r="D24" i="1"/>
  <c r="E24" i="1" s="1"/>
  <c r="D28" i="1"/>
  <c r="D29" i="1"/>
  <c r="E29" i="1" s="1"/>
  <c r="D22" i="1"/>
  <c r="E22" i="1" s="1"/>
  <c r="D19" i="1"/>
  <c r="E19" i="1" s="1"/>
  <c r="D30" i="1"/>
  <c r="E30" i="1" s="1"/>
  <c r="D37" i="1"/>
  <c r="E37" i="1" s="1"/>
  <c r="D38" i="1"/>
  <c r="D48" i="1"/>
  <c r="E48" i="1" s="1"/>
  <c r="D42" i="1"/>
  <c r="E42" i="1" s="1"/>
  <c r="D52" i="1"/>
  <c r="E52" i="1" s="1"/>
  <c r="D36" i="1"/>
  <c r="E36" i="1" s="1"/>
  <c r="D47" i="1"/>
  <c r="E47" i="1" s="1"/>
  <c r="D50" i="1"/>
  <c r="E50" i="1" s="1"/>
  <c r="D32" i="1"/>
  <c r="E32" i="1" s="1"/>
  <c r="D5" i="1"/>
  <c r="E5" i="1" s="1"/>
  <c r="D7" i="1"/>
  <c r="E7" i="1" s="1"/>
  <c r="D2" i="1"/>
  <c r="E2" i="1" s="1"/>
  <c r="D3" i="1"/>
  <c r="E3" i="1" s="1"/>
  <c r="D4" i="1"/>
  <c r="D14" i="1"/>
  <c r="E14" i="1" s="1"/>
  <c r="D21" i="1"/>
  <c r="E21" i="1" s="1"/>
  <c r="D16" i="1"/>
  <c r="E16" i="1" s="1"/>
  <c r="D10" i="1"/>
  <c r="E10" i="1" s="1"/>
  <c r="D49" i="1"/>
  <c r="E49" i="1" s="1"/>
  <c r="D34" i="1"/>
  <c r="E34" i="1" s="1"/>
  <c r="D45" i="1"/>
  <c r="E45" i="1" s="1"/>
  <c r="D6" i="1"/>
  <c r="D12" i="1"/>
  <c r="E12" i="1" s="1"/>
  <c r="D41" i="1"/>
  <c r="E41" i="1" s="1"/>
  <c r="D31" i="1"/>
  <c r="E31" i="1" s="1"/>
  <c r="D33" i="1"/>
  <c r="E33" i="1" s="1"/>
  <c r="D40" i="1"/>
  <c r="E40" i="1" s="1"/>
  <c r="D51" i="1"/>
  <c r="E51" i="1" s="1"/>
  <c r="D17" i="1"/>
  <c r="E17" i="1" s="1"/>
  <c r="D20" i="1"/>
  <c r="E20" i="1" s="1"/>
  <c r="D25" i="1"/>
  <c r="E25" i="1" s="1"/>
  <c r="D13" i="1"/>
  <c r="E13" i="1" s="1"/>
  <c r="D53" i="1"/>
  <c r="D15" i="1"/>
  <c r="E15" i="1" s="1"/>
  <c r="D26" i="1"/>
  <c r="E26" i="1" s="1"/>
  <c r="D39" i="1"/>
  <c r="E39" i="1" s="1"/>
  <c r="D8" i="1"/>
  <c r="E8" i="1" s="1"/>
  <c r="D9" i="1"/>
  <c r="E9" i="1" s="1"/>
  <c r="D11" i="1"/>
  <c r="E11" i="1" s="1"/>
  <c r="D18" i="1"/>
  <c r="D35" i="1"/>
  <c r="E35" i="1" s="1"/>
  <c r="D43" i="1"/>
  <c r="E43" i="1" s="1"/>
  <c r="D46" i="1"/>
  <c r="E46" i="1" s="1"/>
  <c r="D44" i="1"/>
  <c r="E44" i="1" s="1"/>
  <c r="D27" i="1"/>
  <c r="E27" i="1" s="1"/>
  <c r="C28" i="1"/>
  <c r="C52" i="1"/>
  <c r="C2" i="1"/>
  <c r="C34" i="1"/>
  <c r="B23" i="1"/>
  <c r="B24" i="1"/>
  <c r="C24" i="1" s="1"/>
  <c r="B28" i="1"/>
  <c r="B29" i="1"/>
  <c r="N29" i="1" s="1"/>
  <c r="B22" i="1"/>
  <c r="B19" i="1"/>
  <c r="B30" i="1"/>
  <c r="C30" i="1" s="1"/>
  <c r="B37" i="1"/>
  <c r="N37" i="1" s="1"/>
  <c r="B38" i="1"/>
  <c r="N38" i="1" s="1"/>
  <c r="B48" i="1"/>
  <c r="B42" i="1"/>
  <c r="C42" i="1" s="1"/>
  <c r="B52" i="1"/>
  <c r="N52" i="1" s="1"/>
  <c r="B36" i="1"/>
  <c r="B47" i="1"/>
  <c r="B50" i="1"/>
  <c r="C50" i="1" s="1"/>
  <c r="B32" i="1"/>
  <c r="B5" i="1"/>
  <c r="N5" i="1" s="1"/>
  <c r="B7" i="1"/>
  <c r="C7" i="1" s="1"/>
  <c r="B2" i="1"/>
  <c r="B3" i="1"/>
  <c r="B4" i="1"/>
  <c r="N4" i="1" s="1"/>
  <c r="B14" i="1"/>
  <c r="B21" i="1"/>
  <c r="C21" i="1" s="1"/>
  <c r="B16" i="1"/>
  <c r="B10" i="1"/>
  <c r="N10" i="1" s="1"/>
  <c r="B49" i="1"/>
  <c r="C49" i="1" s="1"/>
  <c r="B34" i="1"/>
  <c r="B45" i="1"/>
  <c r="B6" i="1"/>
  <c r="N6" i="1" s="1"/>
  <c r="B12" i="1"/>
  <c r="B41" i="1"/>
  <c r="N41" i="1" s="1"/>
  <c r="B31" i="1"/>
  <c r="B33" i="1"/>
  <c r="N33" i="1" s="1"/>
  <c r="B40" i="1"/>
  <c r="C40" i="1" s="1"/>
  <c r="B51" i="1"/>
  <c r="C51" i="1" s="1"/>
  <c r="B17" i="1"/>
  <c r="B20" i="1"/>
  <c r="B25" i="1"/>
  <c r="C25" i="1" s="1"/>
  <c r="B13" i="1"/>
  <c r="C13" i="1" s="1"/>
  <c r="B53" i="1"/>
  <c r="N53" i="1" s="1"/>
  <c r="B15" i="1"/>
  <c r="N15" i="1" s="1"/>
  <c r="B26" i="1"/>
  <c r="B39" i="1"/>
  <c r="C39" i="1" s="1"/>
  <c r="B8" i="1"/>
  <c r="N8" i="1" s="1"/>
  <c r="B9" i="1"/>
  <c r="N9" i="1" s="1"/>
  <c r="B11" i="1"/>
  <c r="C11" i="1" s="1"/>
  <c r="B18" i="1"/>
  <c r="C18" i="1" s="1"/>
  <c r="B35" i="1"/>
  <c r="N35" i="1" s="1"/>
  <c r="B43" i="1"/>
  <c r="N43" i="1" s="1"/>
  <c r="B46" i="1"/>
  <c r="C46" i="1" s="1"/>
  <c r="B44" i="1"/>
  <c r="C44" i="1" s="1"/>
  <c r="B27" i="1"/>
  <c r="N27" i="1" s="1"/>
  <c r="N34" i="1" l="1"/>
  <c r="N11" i="1"/>
  <c r="N50" i="1"/>
  <c r="C41" i="1"/>
  <c r="N39" i="1"/>
  <c r="N42" i="1"/>
  <c r="N46" i="1"/>
  <c r="N26" i="1"/>
  <c r="N40" i="1"/>
  <c r="N12" i="1"/>
  <c r="N49" i="1"/>
  <c r="N14" i="1"/>
  <c r="N7" i="1"/>
  <c r="N47" i="1"/>
  <c r="N48" i="1"/>
  <c r="N19" i="1"/>
  <c r="C12" i="1"/>
  <c r="C14" i="1"/>
  <c r="C47" i="1"/>
  <c r="N18" i="1"/>
  <c r="N44" i="1"/>
  <c r="N24" i="1"/>
  <c r="N20" i="1"/>
  <c r="C20" i="1"/>
  <c r="C36" i="1"/>
  <c r="N36" i="1"/>
  <c r="C31" i="1"/>
  <c r="N31" i="1"/>
  <c r="C16" i="1"/>
  <c r="N16" i="1"/>
  <c r="C43" i="1"/>
  <c r="C15" i="1"/>
  <c r="C4" i="1"/>
  <c r="C37" i="1"/>
  <c r="E28" i="1"/>
  <c r="N28" i="1"/>
  <c r="E18" i="1"/>
  <c r="N13" i="1"/>
  <c r="N21" i="1"/>
  <c r="N30" i="1"/>
  <c r="C22" i="1"/>
  <c r="N22" i="1"/>
  <c r="N23" i="1"/>
  <c r="C23" i="1"/>
  <c r="C9" i="1"/>
  <c r="C6" i="1"/>
  <c r="C17" i="1"/>
  <c r="N17" i="1"/>
  <c r="C45" i="1"/>
  <c r="N45" i="1"/>
  <c r="C3" i="1"/>
  <c r="N3" i="1"/>
  <c r="C32" i="1"/>
  <c r="N32" i="1"/>
  <c r="C27" i="1"/>
  <c r="C8" i="1"/>
  <c r="C33" i="1"/>
  <c r="C5" i="1"/>
  <c r="C38" i="1"/>
  <c r="C35" i="1"/>
  <c r="C53" i="1"/>
  <c r="C10" i="1"/>
  <c r="C29" i="1"/>
  <c r="N51" i="1"/>
  <c r="N2" i="1"/>
  <c r="C26" i="1"/>
  <c r="C48" i="1"/>
  <c r="C19" i="1"/>
  <c r="N25" i="1"/>
</calcChain>
</file>

<file path=xl/sharedStrings.xml><?xml version="1.0" encoding="utf-8"?>
<sst xmlns="http://schemas.openxmlformats.org/spreadsheetml/2006/main" count="224" uniqueCount="124">
  <si>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</si>
  <si>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</si>
  <si>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</si>
  <si>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</si>
  <si>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</si>
  <si>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</si>
  <si>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</si>
  <si>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</si>
  <si>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</si>
  <si>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</si>
  <si>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</si>
  <si>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</si>
  <si>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</si>
  <si>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</si>
  <si>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</si>
  <si>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</si>
  <si>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</si>
  <si>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</si>
  <si>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</si>
  <si>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</si>
  <si>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</si>
  <si>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</si>
  <si>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</si>
  <si>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</si>
  <si>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</si>
  <si>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</si>
  <si>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</si>
  <si>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</si>
  <si>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</si>
  <si>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</si>
  <si>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</si>
  <si>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</si>
  <si>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</si>
  <si>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</si>
  <si>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</si>
  <si>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</si>
  <si>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</si>
  <si>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</si>
  <si>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</si>
  <si>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</si>
  <si>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</si>
  <si>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</si>
  <si>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</si>
  <si>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</si>
  <si>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</si>
  <si>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</si>
  <si>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</si>
  <si>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</si>
  <si>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</si>
  <si>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</si>
  <si>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</si>
  <si>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</si>
  <si>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</si>
  <si>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</si>
  <si>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</si>
  <si>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</si>
  <si>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</si>
  <si>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</si>
  <si>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</si>
  <si>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</si>
  <si>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</si>
  <si>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</si>
  <si>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</si>
  <si>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</si>
  <si>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</si>
  <si>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</si>
  <si>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</si>
  <si>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</si>
  <si>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</si>
  <si>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</si>
  <si>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</si>
  <si>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</si>
  <si>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</si>
  <si>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</si>
  <si>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</si>
  <si>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</si>
  <si>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</si>
  <si>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</si>
  <si>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</si>
  <si>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</si>
  <si>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</si>
  <si>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</si>
  <si>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</si>
  <si>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</t>
  </si>
  <si>
    <t>GM</t>
  </si>
  <si>
    <t>TY</t>
  </si>
  <si>
    <t>HO</t>
  </si>
  <si>
    <t>CR</t>
  </si>
  <si>
    <t>HY</t>
  </si>
  <si>
    <t>Ford</t>
  </si>
  <si>
    <t>General Motor</t>
  </si>
  <si>
    <t>Honada</t>
  </si>
  <si>
    <t>Corolla</t>
  </si>
  <si>
    <t>Toyota</t>
  </si>
  <si>
    <t>Hundai</t>
  </si>
  <si>
    <t>HO01ODY040</t>
  </si>
  <si>
    <t>MTG</t>
  </si>
  <si>
    <t>FCS</t>
  </si>
  <si>
    <t>CMR</t>
  </si>
  <si>
    <t>SLV</t>
  </si>
  <si>
    <t>CAM</t>
  </si>
  <si>
    <t>COR</t>
  </si>
  <si>
    <t>CIV</t>
  </si>
  <si>
    <t>ODY</t>
  </si>
  <si>
    <t>PTC</t>
  </si>
  <si>
    <t>CAR</t>
  </si>
  <si>
    <t>ELA</t>
  </si>
  <si>
    <t>Mustang</t>
  </si>
  <si>
    <t>Focus</t>
  </si>
  <si>
    <t>Camero</t>
  </si>
  <si>
    <t>Silverado</t>
  </si>
  <si>
    <t>Camray</t>
  </si>
  <si>
    <t>Civic</t>
  </si>
  <si>
    <t>Odessy</t>
  </si>
  <si>
    <t>PT Cruiser</t>
  </si>
  <si>
    <t>Caravan</t>
  </si>
  <si>
    <t>Elantra</t>
  </si>
  <si>
    <t>GM09CMR014</t>
  </si>
  <si>
    <t>FD06FCS006</t>
  </si>
  <si>
    <t>H013CIV036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</si>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</sst>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db.xlsx]Sheet1!PivotTable1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144647.70000000001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70964.900000000009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305432.39999999997</c:v>
                </c:pt>
                <c:pt idx="13">
                  <c:v>177713.90000000002</c:v>
                </c:pt>
                <c:pt idx="14">
                  <c:v>65964.900000000009</c:v>
                </c:pt>
                <c:pt idx="15">
                  <c:v>130601.60000000001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2-4E8D-B98D-22C637AD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080015"/>
        <c:axId val="1652084335"/>
      </c:barChart>
      <c:catAx>
        <c:axId val="16520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084335"/>
        <c:crosses val="autoZero"/>
        <c:auto val="1"/>
        <c:lblAlgn val="ctr"/>
        <c:lblOffset val="100"/>
        <c:noMultiLvlLbl val="0"/>
      </c:catAx>
      <c:valAx>
        <c:axId val="16520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08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'car-inventory'!$H$1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'car-inventory'!$G$2:$G$67</c:f>
              <c:numCache>
                <c:formatCode>General</c:formatCode>
                <c:ptCount val="66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12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7</c:v>
                </c:pt>
                <c:pt idx="19">
                  <c:v>5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5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2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</c:numCache>
            </c:numRef>
          </c:xVal>
          <c:yVal>
            <c:numRef>
              <c:f>'car-inventory'!$H$2:$H$67</c:f>
              <c:numCache>
                <c:formatCode>General</c:formatCode>
                <c:ptCount val="66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83162.7</c:v>
                </c:pt>
                <c:pt idx="4">
                  <c:v>82374</c:v>
                </c:pt>
                <c:pt idx="5">
                  <c:v>80685.8</c:v>
                </c:pt>
                <c:pt idx="6">
                  <c:v>79420.600000000006</c:v>
                </c:pt>
                <c:pt idx="7">
                  <c:v>77243.100000000006</c:v>
                </c:pt>
                <c:pt idx="8">
                  <c:v>73444.399999999994</c:v>
                </c:pt>
                <c:pt idx="9">
                  <c:v>72527.199999999997</c:v>
                </c:pt>
                <c:pt idx="10">
                  <c:v>69891.899999999994</c:v>
                </c:pt>
                <c:pt idx="11">
                  <c:v>68658.899999999994</c:v>
                </c:pt>
                <c:pt idx="12">
                  <c:v>67829.100000000006</c:v>
                </c:pt>
                <c:pt idx="13">
                  <c:v>64542</c:v>
                </c:pt>
                <c:pt idx="14">
                  <c:v>64467.4</c:v>
                </c:pt>
                <c:pt idx="15">
                  <c:v>60389.5</c:v>
                </c:pt>
                <c:pt idx="16">
                  <c:v>52699.4</c:v>
                </c:pt>
                <c:pt idx="17">
                  <c:v>52229.5</c:v>
                </c:pt>
                <c:pt idx="18">
                  <c:v>50854.1</c:v>
                </c:pt>
                <c:pt idx="19">
                  <c:v>48114.2</c:v>
                </c:pt>
                <c:pt idx="20">
                  <c:v>46311.4</c:v>
                </c:pt>
                <c:pt idx="21">
                  <c:v>44974.8</c:v>
                </c:pt>
                <c:pt idx="22">
                  <c:v>44946.5</c:v>
                </c:pt>
                <c:pt idx="23">
                  <c:v>42504.6</c:v>
                </c:pt>
                <c:pt idx="24">
                  <c:v>42074.2</c:v>
                </c:pt>
                <c:pt idx="25">
                  <c:v>40326.800000000003</c:v>
                </c:pt>
                <c:pt idx="26">
                  <c:v>37558.800000000003</c:v>
                </c:pt>
                <c:pt idx="27">
                  <c:v>36438.5</c:v>
                </c:pt>
                <c:pt idx="28">
                  <c:v>35137</c:v>
                </c:pt>
                <c:pt idx="29">
                  <c:v>33477.199999999997</c:v>
                </c:pt>
                <c:pt idx="30">
                  <c:v>31144.400000000001</c:v>
                </c:pt>
                <c:pt idx="31">
                  <c:v>30555.3</c:v>
                </c:pt>
                <c:pt idx="32">
                  <c:v>29601.9</c:v>
                </c:pt>
                <c:pt idx="33">
                  <c:v>29102.3</c:v>
                </c:pt>
                <c:pt idx="34">
                  <c:v>28464.799999999999</c:v>
                </c:pt>
                <c:pt idx="35">
                  <c:v>27637.1</c:v>
                </c:pt>
                <c:pt idx="36">
                  <c:v>27534.799999999999</c:v>
                </c:pt>
                <c:pt idx="37">
                  <c:v>27394.2</c:v>
                </c:pt>
                <c:pt idx="38">
                  <c:v>24513.200000000001</c:v>
                </c:pt>
                <c:pt idx="39">
                  <c:v>22573</c:v>
                </c:pt>
                <c:pt idx="40">
                  <c:v>22521.599999999999</c:v>
                </c:pt>
                <c:pt idx="41">
                  <c:v>22282</c:v>
                </c:pt>
                <c:pt idx="42">
                  <c:v>22188.5</c:v>
                </c:pt>
                <c:pt idx="43">
                  <c:v>22128.2</c:v>
                </c:pt>
                <c:pt idx="44">
                  <c:v>20223.900000000001</c:v>
                </c:pt>
                <c:pt idx="45">
                  <c:v>19421.099999999999</c:v>
                </c:pt>
                <c:pt idx="46">
                  <c:v>19341.7</c:v>
                </c:pt>
                <c:pt idx="47">
                  <c:v>17556.3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7-4DBB-89C9-B6A0064492F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27859887"/>
        <c:axId val="1527876687"/>
      </c:scatterChart>
      <c:valAx>
        <c:axId val="152785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76687"/>
        <c:crosses val="autoZero"/>
        <c:crossBetween val="midCat"/>
      </c:valAx>
      <c:valAx>
        <c:axId val="15278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0</xdr:rowOff>
    </xdr:from>
    <xdr:to>
      <xdr:col>9</xdr:col>
      <xdr:colOff>320040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0AB45-4EBC-2AA0-586A-66234B049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381000</xdr:rowOff>
    </xdr:from>
    <xdr:to>
      <xdr:col>21</xdr:col>
      <xdr:colOff>304800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E0678-5EA1-DAE0-53A3-BFD932F00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2.527938078703" createdVersion="8" refreshedVersion="8" minRefreshableVersion="3" recordCount="52" xr:uid="{5930337F-EF27-454A-A3B4-8079458AFB40}">
  <cacheSource type="worksheet">
    <worksheetSource ref="A1:N53" sheet="car-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0">
      <sharedItems containsSemiMixedTypes="0" containsString="0" containsNumber="1" minValue="3708.1" maxValue="114660.6"/>
    </cacheField>
    <cacheField name="Miles / Year" numFmtId="2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Chan"/>
        <s v="Swartz"/>
        <s v="Ewenty"/>
        <s v="Santos"/>
        <s v="Rodriguez"/>
        <s v="Vizzini"/>
        <s v="Hulinski"/>
        <s v="Jones"/>
        <s v="Gaul"/>
        <s v="Bard"/>
        <s v="Smith"/>
        <s v="Howard"/>
        <s v="Lyon"/>
        <s v="McCall"/>
        <s v="Torrens"/>
        <s v="Praulty"/>
        <s v="Yousef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Y96CAM020"/>
    <s v="TY"/>
    <s v="Toyota"/>
    <s v="CAM"/>
    <s v="Camray"/>
    <s v="96"/>
    <n v="18"/>
    <n v="114660.6"/>
    <n v="6197.8702702702703"/>
    <s v="Green"/>
    <x v="0"/>
    <n v="100000"/>
    <s v="Y"/>
    <s v="TY96CAMGRE020"/>
  </r>
  <r>
    <s v="TY98CAM021"/>
    <s v="TY"/>
    <s v="Toyota"/>
    <s v="CAM"/>
    <s v="Camray"/>
    <s v="98"/>
    <n v="16"/>
    <n v="93382.6"/>
    <n v="5659.5515151515156"/>
    <s v="Black"/>
    <x v="1"/>
    <n v="100000"/>
    <s v="Not covered"/>
    <s v="TY98CAMBLA021"/>
  </r>
  <r>
    <s v="TY00CAM022"/>
    <s v="TY"/>
    <s v="Toyota"/>
    <s v="CAM"/>
    <s v="Camray"/>
    <s v="00"/>
    <n v="14"/>
    <n v="85928"/>
    <n v="5926.0689655172409"/>
    <s v="Green"/>
    <x v="2"/>
    <n v="100000"/>
    <s v="Not covered"/>
    <s v="TY00CAMGRE022"/>
  </r>
  <r>
    <s v="GM98SLV018"/>
    <s v="GM"/>
    <s v="General Motor"/>
    <s v="SLV"/>
    <s v="Silverado"/>
    <s v="98"/>
    <n v="16"/>
    <n v="83162.7"/>
    <n v="5040.1636363636362"/>
    <s v="Black"/>
    <x v="3"/>
    <n v="100000"/>
    <s v="Not covered"/>
    <s v="GM98SLVBLA018"/>
  </r>
  <r>
    <s v="HO99CIV030"/>
    <s v="HO"/>
    <s v="Honada"/>
    <s v="CIV"/>
    <s v="Civic"/>
    <s v="99"/>
    <n v="15"/>
    <n v="82374"/>
    <n v="5314.4516129032254"/>
    <s v="White"/>
    <x v="4"/>
    <n v="75000"/>
    <s v="Y"/>
    <s v="HO99CIVWHI030"/>
  </r>
  <r>
    <s v="GM00SLV019"/>
    <s v="GM"/>
    <s v="General Motor"/>
    <s v="SLV"/>
    <s v="Silverado"/>
    <s v="00"/>
    <n v="14"/>
    <n v="80685.8"/>
    <n v="5564.5379310344833"/>
    <s v="Blue"/>
    <x v="5"/>
    <n v="100000"/>
    <s v="Not covered"/>
    <s v="GM00SLVBLU019"/>
  </r>
  <r>
    <s v="CR99CAR045"/>
    <s v="CR"/>
    <s v="Corolla"/>
    <s v="CAR"/>
    <s v="Caravan"/>
    <s v="99"/>
    <n v="15"/>
    <n v="79420.600000000006"/>
    <n v="5123.9096774193549"/>
    <s v="Green"/>
    <x v="6"/>
    <n v="75000"/>
    <s v="Y"/>
    <s v="CR99CARGRE045"/>
  </r>
  <r>
    <s v="CR00CAR046"/>
    <s v="CR"/>
    <s v="Corolla"/>
    <s v="CAR"/>
    <s v="Caravan"/>
    <s v="00"/>
    <n v="14"/>
    <n v="77243.100000000006"/>
    <n v="5327.1103448275862"/>
    <s v="Black"/>
    <x v="7"/>
    <n v="75000"/>
    <s v="Y"/>
    <s v="CR00CARBLA046"/>
  </r>
  <r>
    <s v="TY03COR026"/>
    <s v="TY"/>
    <s v="Toyota"/>
    <s v="COR"/>
    <s v="Corolla"/>
    <s v="03"/>
    <n v="11"/>
    <n v="73444.399999999994"/>
    <n v="6386.4695652173905"/>
    <s v="Black"/>
    <x v="8"/>
    <n v="100000"/>
    <s v="Not covered"/>
    <s v="TY03CORBLA026"/>
  </r>
  <r>
    <s v="CR04CAR047"/>
    <s v="CR"/>
    <s v="Corolla"/>
    <s v="CAR"/>
    <s v="Caravan"/>
    <s v="04"/>
    <n v="10"/>
    <n v="72527.199999999997"/>
    <n v="6907.3523809523804"/>
    <s v="White"/>
    <x v="9"/>
    <n v="75000"/>
    <s v="Not covered"/>
    <s v="CR04CARWHI047"/>
  </r>
  <r>
    <s v="HO01CIV031"/>
    <s v="HO"/>
    <s v="Honada"/>
    <s v="CIV"/>
    <s v="Civic"/>
    <s v="01"/>
    <n v="13"/>
    <n v="69891.899999999994"/>
    <n v="5177.177777777777"/>
    <s v="Blue"/>
    <x v="7"/>
    <n v="75000"/>
    <s v="Not covered"/>
    <s v="HO01CIVBLU031"/>
  </r>
  <r>
    <s v="HO01ODY040"/>
    <s v="HO"/>
    <s v="Honada"/>
    <s v="ODY"/>
    <s v="Odessy"/>
    <s v="01"/>
    <n v="13"/>
    <n v="68658.899999999994"/>
    <n v="5085.844444444444"/>
    <s v="Black"/>
    <x v="10"/>
    <n v="100000"/>
    <s v="Not covered"/>
    <s v="HO01ODYBLA040"/>
  </r>
  <r>
    <s v="TY02CAM023"/>
    <s v="TY"/>
    <s v="Toyota"/>
    <s v="CAM"/>
    <s v="Camray"/>
    <s v="02"/>
    <n v="12"/>
    <n v="67829.100000000006"/>
    <n v="5426.3280000000004"/>
    <s v="Black"/>
    <x v="10"/>
    <n v="100000"/>
    <s v="Not covered"/>
    <s v="TY02CAMBLA023"/>
  </r>
  <r>
    <s v="CR04PTC042"/>
    <s v="CR"/>
    <s v="Corolla"/>
    <s v="PTC"/>
    <s v="PT Cruiser"/>
    <s v="04"/>
    <n v="10"/>
    <n v="64542"/>
    <n v="6146.8571428571431"/>
    <s v="Blue"/>
    <x v="10"/>
    <n v="75000"/>
    <s v="Not covered"/>
    <s v="CR04PTCBLU042"/>
  </r>
  <r>
    <s v="TY02COR025"/>
    <s v="TY"/>
    <s v="Toyota"/>
    <s v="COR"/>
    <s v="Corolla"/>
    <s v="02"/>
    <n v="12"/>
    <n v="64467.4"/>
    <n v="5157.3919999999998"/>
    <s v="Red"/>
    <x v="8"/>
    <n v="100000"/>
    <s v="Not covered"/>
    <s v="TY02CORRED025"/>
  </r>
  <r>
    <s v="HO05ODY037"/>
    <s v="HO"/>
    <s v="Honada"/>
    <s v="ODY"/>
    <s v="Odessy"/>
    <s v="05"/>
    <n v="9"/>
    <n v="60389.5"/>
    <n v="6356.7894736842109"/>
    <s v="White"/>
    <x v="11"/>
    <n v="100000"/>
    <s v="Not covered"/>
    <s v="HO05ODYWHI037"/>
  </r>
  <r>
    <s v="CR04CAR048"/>
    <s v="CR"/>
    <s v="Corolla"/>
    <s v="CAR"/>
    <s v="Caravan"/>
    <s v="04"/>
    <n v="10"/>
    <n v="52699.4"/>
    <n v="5018.9904761904763"/>
    <s v="Red"/>
    <x v="9"/>
    <n v="75000"/>
    <s v="Not covered"/>
    <s v="CR04CARRED048"/>
  </r>
  <r>
    <s v="FD06FCS007"/>
    <s v="FD"/>
    <s v="Ford"/>
    <s v="FCS"/>
    <s v="Focus"/>
    <s v="06"/>
    <n v="8"/>
    <n v="52229.5"/>
    <n v="6144.6470588235297"/>
    <s v="Green"/>
    <x v="12"/>
    <n v="75000"/>
    <s v="Not covered"/>
    <s v="FD06FCSGRE007"/>
  </r>
  <r>
    <s v="HO07ODY038"/>
    <s v="HO"/>
    <s v="Honada"/>
    <s v="ODY"/>
    <s v="Odessy"/>
    <s v="07"/>
    <n v="7"/>
    <n v="50854.1"/>
    <n v="6780.5466666666662"/>
    <s v="Black"/>
    <x v="1"/>
    <n v="100000"/>
    <s v="Not covered"/>
    <s v="HO07ODYBLA038"/>
  </r>
  <r>
    <s v="TY09CAM024"/>
    <s v="TY"/>
    <s v="Toyota"/>
    <s v="CAM"/>
    <s v="Camray"/>
    <s v="09"/>
    <n v="5"/>
    <n v="48114.2"/>
    <n v="8748.0363636363636"/>
    <s v="White"/>
    <x v="11"/>
    <n v="100000"/>
    <s v="Not covered"/>
    <s v="TY09CAMWHI024"/>
  </r>
  <r>
    <s v="FD06FCS006"/>
    <s v="FD"/>
    <s v="Ford"/>
    <s v="FCS"/>
    <s v="Focus"/>
    <s v="06"/>
    <n v="8"/>
    <n v="46311.4"/>
    <n v="5448.4000000000005"/>
    <s v="Green"/>
    <x v="2"/>
    <n v="75000"/>
    <s v="Not covered"/>
    <s v="FD06FCSGRE006"/>
  </r>
  <r>
    <s v="FD06MTG002"/>
    <s v="FD"/>
    <s v="Ford"/>
    <s v="MTG"/>
    <s v="Mustang"/>
    <s v="06"/>
    <n v="8"/>
    <n v="44974.8"/>
    <n v="5291.1529411764714"/>
    <s v="White"/>
    <x v="13"/>
    <n v="50000"/>
    <s v="Not covered"/>
    <s v="FD06MTGWHI002"/>
  </r>
  <r>
    <s v="FD08MTG003"/>
    <s v="FD"/>
    <s v="Ford"/>
    <s v="MTG"/>
    <s v="Mustang"/>
    <s v="08"/>
    <n v="6"/>
    <n v="44946.5"/>
    <n v="6914.8461538461543"/>
    <s v="Green"/>
    <x v="12"/>
    <n v="50000"/>
    <s v="Not covered"/>
    <s v="FD08MTGGRE003"/>
  </r>
  <r>
    <s v="HO08ODY039"/>
    <s v="HO"/>
    <s v="Honada"/>
    <s v="ODY"/>
    <s v="Odessy"/>
    <s v="08"/>
    <n v="6"/>
    <n v="42504.6"/>
    <n v="6539.1692307692301"/>
    <s v="White"/>
    <x v="4"/>
    <n v="100000"/>
    <s v="Not covered"/>
    <s v="HO08ODYWHI039"/>
  </r>
  <r>
    <s v="CR07PTC043"/>
    <s v="CR"/>
    <s v="Corolla"/>
    <s v="PTC"/>
    <s v="PT Cruiser"/>
    <s v="07"/>
    <n v="7"/>
    <n v="42074.2"/>
    <n v="5609.8933333333325"/>
    <s v="Green"/>
    <x v="8"/>
    <n v="75000"/>
    <s v="Not covered"/>
    <s v="CR07PTCGRE043"/>
  </r>
  <r>
    <s v="FD06MTG001"/>
    <s v="FD"/>
    <s v="Ford"/>
    <s v="MTG"/>
    <s v="Mustang"/>
    <s v="06"/>
    <n v="8"/>
    <n v="40326.800000000003"/>
    <n v="4744.3294117647065"/>
    <s v="Black"/>
    <x v="10"/>
    <n v="50000"/>
    <s v="Not covered"/>
    <s v="FD06MTGBLA001"/>
  </r>
  <r>
    <s v="FD08MTG004"/>
    <s v="FD"/>
    <s v="Ford"/>
    <s v="MTG"/>
    <s v="Mustang"/>
    <s v="08"/>
    <n v="6"/>
    <n v="37558.800000000003"/>
    <n v="5778.2769230769236"/>
    <s v="Black"/>
    <x v="7"/>
    <n v="50000"/>
    <s v="Not covered"/>
    <s v="FD08MTGBLA004"/>
  </r>
  <r>
    <s v="FD08MTG005"/>
    <s v="FD"/>
    <s v="Ford"/>
    <s v="MTG"/>
    <s v="Mustang"/>
    <s v="08"/>
    <n v="6"/>
    <n v="36438.5"/>
    <n v="5605.9230769230771"/>
    <s v="White"/>
    <x v="10"/>
    <n v="50000"/>
    <s v="Not covered"/>
    <s v="FD08MTGWHI005"/>
  </r>
  <r>
    <s v="FD09FCS008"/>
    <s v="FD"/>
    <s v="Ford"/>
    <s v="FCS"/>
    <s v="Focus"/>
    <s v="09"/>
    <n v="5"/>
    <n v="35137"/>
    <n v="6388.545454545455"/>
    <s v="Black"/>
    <x v="11"/>
    <n v="75000"/>
    <s v="Not covered"/>
    <s v="FD09FCSBLA008"/>
  </r>
  <r>
    <s v="HO10CIV033"/>
    <s v="HO"/>
    <s v="Honada"/>
    <s v="CIV"/>
    <s v="Civic"/>
    <s v="10"/>
    <n v="4"/>
    <n v="33477.199999999997"/>
    <n v="7439.3777777777768"/>
    <s v="Black"/>
    <x v="1"/>
    <n v="75000"/>
    <s v="Not covered"/>
    <s v="HO10CIVBLA033"/>
  </r>
  <r>
    <s v="GM10SLV017"/>
    <s v="GM"/>
    <s v="General Motor"/>
    <s v="SLV"/>
    <s v="Silverado"/>
    <s v="10"/>
    <n v="4"/>
    <n v="31144.400000000001"/>
    <n v="6920.9777777777781"/>
    <s v="Black"/>
    <x v="6"/>
    <n v="100000"/>
    <s v="Not covered"/>
    <s v="GM10SLVBLA017"/>
  </r>
  <r>
    <s v="HO11CIV034"/>
    <s v="HO"/>
    <s v="Honada"/>
    <s v="CIV"/>
    <s v="Civic"/>
    <s v="11"/>
    <n v="3"/>
    <n v="30555.3"/>
    <n v="8730.0857142857149"/>
    <s v="Black"/>
    <x v="12"/>
    <n v="75000"/>
    <s v="Not covered"/>
    <s v="HO11CIVBLA034"/>
  </r>
  <r>
    <s v="TY12COR028"/>
    <s v="TY"/>
    <s v="Toyota"/>
    <s v="COR"/>
    <s v="Corolla"/>
    <s v="12"/>
    <n v="2"/>
    <n v="29601.9"/>
    <n v="11840.76"/>
    <s v="Black"/>
    <x v="3"/>
    <n v="100000"/>
    <s v="Not covered"/>
    <s v="TY12CORBLA028"/>
  </r>
  <r>
    <s v="HY11ELA049"/>
    <s v="HY"/>
    <s v="Hundai"/>
    <s v="ELA"/>
    <s v="Elantra"/>
    <s v="11"/>
    <n v="3"/>
    <n v="29102.3"/>
    <n v="8314.9428571428562"/>
    <s v="Black"/>
    <x v="14"/>
    <n v="100000"/>
    <s v="Not covered"/>
    <s v="HY11ELABLA049"/>
  </r>
  <r>
    <s v="GM09CMR014"/>
    <s v="GM"/>
    <s v="General Motor"/>
    <s v="CMR"/>
    <s v="Camero"/>
    <s v="09"/>
    <n v="5"/>
    <n v="28464.799999999999"/>
    <n v="5175.4181818181814"/>
    <s v="White"/>
    <x v="3"/>
    <n v="100000"/>
    <s v="Not covered"/>
    <s v="GM09CMRWHI014"/>
  </r>
  <r>
    <s v="FD13FCS009"/>
    <s v="FD"/>
    <s v="Ford"/>
    <s v="FCS"/>
    <s v="Focus"/>
    <s v="13"/>
    <n v="1"/>
    <n v="27637.1"/>
    <n v="18424.733333333334"/>
    <s v="Black"/>
    <x v="10"/>
    <n v="75000"/>
    <s v="Not covered"/>
    <s v="FD13FCSBLA009"/>
  </r>
  <r>
    <s v="FD13FCS010"/>
    <s v="FD"/>
    <s v="Ford"/>
    <s v="FCS"/>
    <s v="Focus"/>
    <s v="13"/>
    <n v="1"/>
    <n v="27534.799999999999"/>
    <n v="18356.533333333333"/>
    <s v="White"/>
    <x v="15"/>
    <n v="75000"/>
    <s v="Not covered"/>
    <s v="FD13FCSWHI010"/>
  </r>
  <r>
    <s v="CR11PTC044"/>
    <s v="CR"/>
    <s v="Corolla"/>
    <s v="PTC"/>
    <s v="PT Cruiser"/>
    <s v="11"/>
    <n v="3"/>
    <n v="27394.2"/>
    <n v="7826.9142857142861"/>
    <s v="Black"/>
    <x v="5"/>
    <n v="75000"/>
    <s v="Not covered"/>
    <s v="CR11PTCBLA044"/>
  </r>
  <r>
    <s v="HO12CIV035"/>
    <s v="HO"/>
    <s v="Honada"/>
    <s v="CIV"/>
    <s v="Civic"/>
    <s v="12"/>
    <n v="2"/>
    <n v="24513.200000000001"/>
    <n v="9805.2800000000007"/>
    <s v="Black"/>
    <x v="6"/>
    <n v="75000"/>
    <s v="Not covered"/>
    <s v="HO12CIVBLA035"/>
  </r>
  <r>
    <s v="HO10CIV032"/>
    <s v="HO"/>
    <s v="Honada"/>
    <s v="CIV"/>
    <s v="Civic"/>
    <s v="10"/>
    <n v="4"/>
    <n v="22573"/>
    <n v="5016.2222222222226"/>
    <s v="Blue"/>
    <x v="14"/>
    <n v="75000"/>
    <s v="Not covered"/>
    <s v="HO10CIVBLU032"/>
  </r>
  <r>
    <s v="FD13FCS012"/>
    <s v="FD"/>
    <s v="Ford"/>
    <s v="FCS"/>
    <s v="Focus"/>
    <s v="13"/>
    <n v="1"/>
    <n v="22521.599999999999"/>
    <n v="15014.4"/>
    <s v="Black"/>
    <x v="5"/>
    <n v="75000"/>
    <s v="Not covered"/>
    <s v="FD13FCSBLA012"/>
  </r>
  <r>
    <s v="HY12ELA050"/>
    <s v="HY"/>
    <s v="Hundai"/>
    <s v="ELA"/>
    <s v="Elantra"/>
    <s v="12"/>
    <n v="2"/>
    <n v="22282"/>
    <n v="8912.7999999999993"/>
    <s v="Blue"/>
    <x v="13"/>
    <n v="100000"/>
    <s v="Not covered"/>
    <s v="HY12ELABLU050"/>
  </r>
  <r>
    <s v="HY13ELA052"/>
    <s v="HY"/>
    <s v="Hundai"/>
    <s v="ELA"/>
    <s v="Elantra"/>
    <s v="13"/>
    <n v="1"/>
    <n v="22188.5"/>
    <n v="14792.333333333334"/>
    <s v="Blue"/>
    <x v="2"/>
    <n v="100000"/>
    <s v="Not covered"/>
    <s v="HY13ELABLU052"/>
  </r>
  <r>
    <s v="TY12CAM029"/>
    <s v="TY"/>
    <s v="Toyota"/>
    <s v="CAM"/>
    <s v="Camray"/>
    <s v="12"/>
    <n v="2"/>
    <n v="22128.2"/>
    <n v="8851.2800000000007"/>
    <s v="Blue"/>
    <x v="0"/>
    <n v="100000"/>
    <s v="Not covered"/>
    <s v="TY12CAMBLU029"/>
  </r>
  <r>
    <s v="HY13ELA051"/>
    <s v="HY"/>
    <s v="Hundai"/>
    <s v="ELA"/>
    <s v="Elantra"/>
    <s v="13"/>
    <n v="1"/>
    <n v="20223.900000000001"/>
    <n v="13482.6"/>
    <s v="Black"/>
    <x v="15"/>
    <n v="100000"/>
    <s v="Not covered"/>
    <s v="HY13ELABLA051"/>
  </r>
  <r>
    <s v="GM12CMR015"/>
    <s v="GM"/>
    <s v="General Motor"/>
    <s v="CMR"/>
    <s v="Camero"/>
    <s v="12"/>
    <n v="2"/>
    <n v="19421.099999999999"/>
    <n v="7768.44"/>
    <s v="Black"/>
    <x v="9"/>
    <n v="100000"/>
    <s v="Not covered"/>
    <s v="GM12CMRBLA015"/>
  </r>
  <r>
    <s v="FD12FCS011"/>
    <s v="FD"/>
    <s v="Ford"/>
    <s v="FCS"/>
    <s v="Focus"/>
    <s v="12"/>
    <n v="2"/>
    <n v="19341.7"/>
    <n v="7736.68"/>
    <s v="White"/>
    <x v="16"/>
    <n v="75000"/>
    <s v="Not covered"/>
    <s v="FD12FCSWHI011"/>
  </r>
  <r>
    <s v="TY14COR027"/>
    <s v="TY"/>
    <s v="Toyota"/>
    <s v="COR"/>
    <s v="Corolla"/>
    <s v="14"/>
    <n v="0"/>
    <n v="17556.3"/>
    <n v="35112.6"/>
    <s v="Blue"/>
    <x v="15"/>
    <n v="100000"/>
    <s v="Not covered"/>
    <s v="TY14CORBLU027"/>
  </r>
  <r>
    <s v="GM14CMR016"/>
    <s v="GM"/>
    <s v="General Motor"/>
    <s v="CMR"/>
    <s v="Camero"/>
    <s v="14"/>
    <n v="0"/>
    <n v="14289.6"/>
    <n v="28579.200000000001"/>
    <s v="White"/>
    <x v="14"/>
    <n v="100000"/>
    <s v="Not covered"/>
    <s v="GM14CMRWHI016"/>
  </r>
  <r>
    <s v="H013CIV036"/>
    <s v="H0"/>
    <s v="General Motor"/>
    <s v="CIV"/>
    <s v="Civic"/>
    <s v="13"/>
    <n v="1"/>
    <n v="13867.6"/>
    <n v="9245.0666666666675"/>
    <s v="Black"/>
    <x v="0"/>
    <n v="75000"/>
    <s v="Not covered"/>
    <s v="H013CIVBLA036"/>
  </r>
  <r>
    <s v="FD13FCS013"/>
    <s v="FD"/>
    <s v="Ford"/>
    <s v="FCS"/>
    <s v="Focus"/>
    <s v="13"/>
    <n v="1"/>
    <n v="13682.9"/>
    <n v="9121.9333333333325"/>
    <s v="Black"/>
    <x v="4"/>
    <n v="75000"/>
    <s v="Not covered"/>
    <s v="FD13FCSBLA013"/>
  </r>
  <r>
    <s v="HO14ODY041"/>
    <s v="HO"/>
    <s v="Honada"/>
    <s v="ODY"/>
    <s v="Odessy"/>
    <s v="14"/>
    <n v="0"/>
    <n v="3708.1"/>
    <n v="7416.2"/>
    <s v="Black"/>
    <x v="13"/>
    <n v="100000"/>
    <s v="Not covered"/>
    <s v="HO14ODYBLA0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CF792-24B0-4934-8CDC-2822072D88D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axis="axisRow" showAll="0">
      <items count="18">
        <item x="9"/>
        <item x="0"/>
        <item x="2"/>
        <item x="8"/>
        <item x="11"/>
        <item x="6"/>
        <item x="7"/>
        <item x="12"/>
        <item x="13"/>
        <item x="15"/>
        <item x="4"/>
        <item x="3"/>
        <item x="10"/>
        <item x="1"/>
        <item x="14"/>
        <item x="5"/>
        <item x="16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B74D-00CE-48BE-BAF5-D113C39122A7}">
  <dimension ref="A3:B21"/>
  <sheetViews>
    <sheetView workbookViewId="0">
      <selection activeCell="K10" sqref="K10"/>
    </sheetView>
  </sheetViews>
  <sheetFormatPr defaultRowHeight="14.4" x14ac:dyDescent="0.3"/>
  <cols>
    <col min="1" max="1" width="12.44140625" bestFit="1" customWidth="1"/>
    <col min="2" max="2" width="11.44140625" bestFit="1" customWidth="1"/>
  </cols>
  <sheetData>
    <row r="3" spans="1:2" x14ac:dyDescent="0.3">
      <c r="A3" s="3" t="s">
        <v>121</v>
      </c>
      <c r="B3" t="s">
        <v>123</v>
      </c>
    </row>
    <row r="4" spans="1:2" x14ac:dyDescent="0.3">
      <c r="A4" s="4" t="s">
        <v>41</v>
      </c>
      <c r="B4" s="5">
        <v>144647.70000000001</v>
      </c>
    </row>
    <row r="5" spans="1:2" x14ac:dyDescent="0.3">
      <c r="A5" s="4" t="s">
        <v>50</v>
      </c>
      <c r="B5" s="5">
        <v>150656.40000000002</v>
      </c>
    </row>
    <row r="6" spans="1:2" x14ac:dyDescent="0.3">
      <c r="A6" s="4" t="s">
        <v>26</v>
      </c>
      <c r="B6" s="5">
        <v>154427.9</v>
      </c>
    </row>
    <row r="7" spans="1:2" x14ac:dyDescent="0.3">
      <c r="A7" s="4" t="s">
        <v>58</v>
      </c>
      <c r="B7" s="5">
        <v>179986</v>
      </c>
    </row>
    <row r="8" spans="1:2" x14ac:dyDescent="0.3">
      <c r="A8" s="4" t="s">
        <v>29</v>
      </c>
      <c r="B8" s="5">
        <v>143640.70000000001</v>
      </c>
    </row>
    <row r="9" spans="1:2" x14ac:dyDescent="0.3">
      <c r="A9" s="4" t="s">
        <v>45</v>
      </c>
      <c r="B9" s="5">
        <v>135078.20000000001</v>
      </c>
    </row>
    <row r="10" spans="1:2" x14ac:dyDescent="0.3">
      <c r="A10" s="4" t="s">
        <v>24</v>
      </c>
      <c r="B10" s="5">
        <v>184693.8</v>
      </c>
    </row>
    <row r="11" spans="1:2" x14ac:dyDescent="0.3">
      <c r="A11" s="4" t="s">
        <v>22</v>
      </c>
      <c r="B11" s="5">
        <v>127731.3</v>
      </c>
    </row>
    <row r="12" spans="1:2" x14ac:dyDescent="0.3">
      <c r="A12" s="4" t="s">
        <v>19</v>
      </c>
      <c r="B12" s="5">
        <v>70964.900000000009</v>
      </c>
    </row>
    <row r="13" spans="1:2" x14ac:dyDescent="0.3">
      <c r="A13" s="4" t="s">
        <v>32</v>
      </c>
      <c r="B13" s="5">
        <v>65315</v>
      </c>
    </row>
    <row r="14" spans="1:2" x14ac:dyDescent="0.3">
      <c r="A14" s="4" t="s">
        <v>38</v>
      </c>
      <c r="B14" s="5">
        <v>138561.5</v>
      </c>
    </row>
    <row r="15" spans="1:2" x14ac:dyDescent="0.3">
      <c r="A15" s="4" t="s">
        <v>39</v>
      </c>
      <c r="B15" s="5">
        <v>141229.4</v>
      </c>
    </row>
    <row r="16" spans="1:2" x14ac:dyDescent="0.3">
      <c r="A16" s="4" t="s">
        <v>16</v>
      </c>
      <c r="B16" s="5">
        <v>305432.39999999997</v>
      </c>
    </row>
    <row r="17" spans="1:2" x14ac:dyDescent="0.3">
      <c r="A17" s="4" t="s">
        <v>52</v>
      </c>
      <c r="B17" s="5">
        <v>177713.90000000002</v>
      </c>
    </row>
    <row r="18" spans="1:2" x14ac:dyDescent="0.3">
      <c r="A18" s="4" t="s">
        <v>43</v>
      </c>
      <c r="B18" s="5">
        <v>65964.900000000009</v>
      </c>
    </row>
    <row r="19" spans="1:2" x14ac:dyDescent="0.3">
      <c r="A19" s="4" t="s">
        <v>36</v>
      </c>
      <c r="B19" s="5">
        <v>130601.60000000001</v>
      </c>
    </row>
    <row r="20" spans="1:2" x14ac:dyDescent="0.3">
      <c r="A20" s="4" t="s">
        <v>34</v>
      </c>
      <c r="B20" s="5">
        <v>19341.7</v>
      </c>
    </row>
    <row r="21" spans="1:2" x14ac:dyDescent="0.3">
      <c r="A21" s="4" t="s">
        <v>122</v>
      </c>
      <c r="B21" s="5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5450-6A79-4009-BFFD-56CA96344C94}">
  <dimension ref="A1:N65"/>
  <sheetViews>
    <sheetView tabSelected="1" workbookViewId="0">
      <selection activeCell="H14" sqref="H14"/>
    </sheetView>
  </sheetViews>
  <sheetFormatPr defaultRowHeight="14.4" x14ac:dyDescent="0.3"/>
  <cols>
    <col min="1" max="1" width="13.77734375" customWidth="1"/>
    <col min="3" max="3" width="15.44140625" customWidth="1"/>
    <col min="5" max="5" width="15.77734375" customWidth="1"/>
    <col min="6" max="6" width="13.6640625" customWidth="1"/>
    <col min="8" max="8" width="11" customWidth="1"/>
    <col min="9" max="9" width="12.21875" customWidth="1"/>
    <col min="12" max="12" width="10.6640625" customWidth="1"/>
    <col min="13" max="13" width="12.33203125" customWidth="1"/>
    <col min="14" max="14" width="16" customWidth="1"/>
  </cols>
  <sheetData>
    <row r="1" spans="1:14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49</v>
      </c>
      <c r="B2" t="str">
        <f>LEFT(A2, 2)</f>
        <v>TY</v>
      </c>
      <c r="C2" t="str">
        <f>VLOOKUP(B2, B$55:C$60, 2)</f>
        <v>Toyota</v>
      </c>
      <c r="D2" t="str">
        <f>MID(A2, 5, 3)</f>
        <v>CAM</v>
      </c>
      <c r="E2" t="str">
        <f>VLOOKUP(D2, D$55:E$65, 2)</f>
        <v>Camray</v>
      </c>
      <c r="F2" t="str">
        <f>MID(A2, 3, 2)</f>
        <v>96</v>
      </c>
      <c r="G2">
        <f>IF(14-F2&lt;0, 100-F2+14, 14-F2)</f>
        <v>18</v>
      </c>
      <c r="H2">
        <v>114660.6</v>
      </c>
      <c r="I2" s="2">
        <f>H2/(G2 + 0.5)</f>
        <v>6197.8702702702703</v>
      </c>
      <c r="J2" t="s">
        <v>21</v>
      </c>
      <c r="K2" t="s">
        <v>50</v>
      </c>
      <c r="L2">
        <v>100000</v>
      </c>
      <c r="M2" t="str">
        <f>IF(H2&gt;L2, "Y", "Not covered")</f>
        <v>Y</v>
      </c>
      <c r="N2" t="str">
        <f>_xlfn.CONCAT(B2, F2, D2, UPPER(LEFT(J2, 3)), RIGHT(A2, 3))</f>
        <v>TY96CAMGRE020</v>
      </c>
    </row>
    <row r="3" spans="1:14" x14ac:dyDescent="0.3">
      <c r="A3" t="s">
        <v>51</v>
      </c>
      <c r="B3" t="str">
        <f>LEFT(A3, 2)</f>
        <v>TY</v>
      </c>
      <c r="C3" t="str">
        <f>VLOOKUP(B3, B$55:C$60, 2)</f>
        <v>Toyota</v>
      </c>
      <c r="D3" t="str">
        <f>MID(A3, 5, 3)</f>
        <v>CAM</v>
      </c>
      <c r="E3" t="str">
        <f>VLOOKUP(D3, D$55:E$65, 2)</f>
        <v>Camray</v>
      </c>
      <c r="F3" t="str">
        <f>MID(A3, 3, 2)</f>
        <v>98</v>
      </c>
      <c r="G3">
        <f>IF(14-F3&lt;0, 100-F3+14, 14-F3)</f>
        <v>16</v>
      </c>
      <c r="H3">
        <v>93382.6</v>
      </c>
      <c r="I3" s="2">
        <f>H3/(G3 + 0.5)</f>
        <v>5659.5515151515156</v>
      </c>
      <c r="J3" t="s">
        <v>15</v>
      </c>
      <c r="K3" t="s">
        <v>52</v>
      </c>
      <c r="L3">
        <v>100000</v>
      </c>
      <c r="M3" t="str">
        <f>IF(H3&gt;L3, "Y", "Not covered")</f>
        <v>Not covered</v>
      </c>
      <c r="N3" t="str">
        <f>_xlfn.CONCAT(B3, F3, D3, UPPER(LEFT(J3, 3)), RIGHT(A3, 3))</f>
        <v>TY98CAMBLA021</v>
      </c>
    </row>
    <row r="4" spans="1:14" x14ac:dyDescent="0.3">
      <c r="A4" t="s">
        <v>53</v>
      </c>
      <c r="B4" t="str">
        <f>LEFT(A4, 2)</f>
        <v>TY</v>
      </c>
      <c r="C4" t="str">
        <f>VLOOKUP(B4, B$55:C$60, 2)</f>
        <v>Toyota</v>
      </c>
      <c r="D4" t="str">
        <f>MID(A4, 5, 3)</f>
        <v>CAM</v>
      </c>
      <c r="E4" t="str">
        <f>VLOOKUP(D4, D$55:E$65, 2)</f>
        <v>Camray</v>
      </c>
      <c r="F4" t="str">
        <f>MID(A4, 3, 2)</f>
        <v>00</v>
      </c>
      <c r="G4">
        <f>IF(14-F4&lt;0, 100-F4+14, 14-F4)</f>
        <v>14</v>
      </c>
      <c r="H4">
        <v>85928</v>
      </c>
      <c r="I4" s="2">
        <f>H4/(G4 + 0.5)</f>
        <v>5926.0689655172409</v>
      </c>
      <c r="J4" t="s">
        <v>21</v>
      </c>
      <c r="K4" t="s">
        <v>26</v>
      </c>
      <c r="L4">
        <v>100000</v>
      </c>
      <c r="M4" t="str">
        <f>IF(H4&gt;L4, "Y", "Not covered")</f>
        <v>Not covered</v>
      </c>
      <c r="N4" t="str">
        <f>_xlfn.CONCAT(B4, F4, D4, UPPER(LEFT(J4, 3)), RIGHT(A4, 3))</f>
        <v>TY00CAMGRE022</v>
      </c>
    </row>
    <row r="5" spans="1:14" x14ac:dyDescent="0.3">
      <c r="A5" t="s">
        <v>46</v>
      </c>
      <c r="B5" t="str">
        <f>LEFT(A5, 2)</f>
        <v>GM</v>
      </c>
      <c r="C5" t="str">
        <f>VLOOKUP(B5, B$55:C$60, 2)</f>
        <v>General Motor</v>
      </c>
      <c r="D5" t="str">
        <f>MID(A5, 5, 3)</f>
        <v>SLV</v>
      </c>
      <c r="E5" t="str">
        <f>VLOOKUP(D5, D$55:E$65, 2)</f>
        <v>Silverado</v>
      </c>
      <c r="F5" t="str">
        <f>MID(A5, 3, 2)</f>
        <v>98</v>
      </c>
      <c r="G5">
        <f>IF(14-F5&lt;0, 100-F5+14, 14-F5)</f>
        <v>16</v>
      </c>
      <c r="H5">
        <v>83162.7</v>
      </c>
      <c r="I5" s="2">
        <f>H5/(G5 + 0.5)</f>
        <v>5040.1636363636362</v>
      </c>
      <c r="J5" t="s">
        <v>15</v>
      </c>
      <c r="K5" t="s">
        <v>39</v>
      </c>
      <c r="L5">
        <v>100000</v>
      </c>
      <c r="M5" t="str">
        <f>IF(H5&gt;L5, "Y", "Not covered")</f>
        <v>Not covered</v>
      </c>
      <c r="N5" t="str">
        <f>_xlfn.CONCAT(B5, F5, D5, UPPER(LEFT(J5, 3)), RIGHT(A5, 3))</f>
        <v>GM98SLVBLA018</v>
      </c>
    </row>
    <row r="6" spans="1:14" x14ac:dyDescent="0.3">
      <c r="A6" t="s">
        <v>63</v>
      </c>
      <c r="B6" t="str">
        <f>LEFT(A6, 2)</f>
        <v>HO</v>
      </c>
      <c r="C6" t="str">
        <f>VLOOKUP(B6, B$55:C$60, 2)</f>
        <v>Honada</v>
      </c>
      <c r="D6" t="str">
        <f>MID(A6, 5, 3)</f>
        <v>CIV</v>
      </c>
      <c r="E6" t="str">
        <f>VLOOKUP(D6, D$55:E$65, 2)</f>
        <v>Civic</v>
      </c>
      <c r="F6" t="str">
        <f>MID(A6, 3, 2)</f>
        <v>99</v>
      </c>
      <c r="G6">
        <f>IF(14-F6&lt;0, 100-F6+14, 14-F6)</f>
        <v>15</v>
      </c>
      <c r="H6">
        <v>82374</v>
      </c>
      <c r="I6" s="2">
        <f>H6/(G6 + 0.5)</f>
        <v>5314.4516129032254</v>
      </c>
      <c r="J6" t="s">
        <v>18</v>
      </c>
      <c r="K6" t="s">
        <v>38</v>
      </c>
      <c r="L6">
        <v>75000</v>
      </c>
      <c r="M6" t="str">
        <f>IF(H6&gt;L6, "Y", "Not covered")</f>
        <v>Y</v>
      </c>
      <c r="N6" t="str">
        <f>_xlfn.CONCAT(B6, F6, D6, UPPER(LEFT(J6, 3)), RIGHT(A6, 3))</f>
        <v>HO99CIVWHI030</v>
      </c>
    </row>
    <row r="7" spans="1:14" x14ac:dyDescent="0.3">
      <c r="A7" t="s">
        <v>47</v>
      </c>
      <c r="B7" t="str">
        <f>LEFT(A7, 2)</f>
        <v>GM</v>
      </c>
      <c r="C7" t="str">
        <f>VLOOKUP(B7, B$55:C$60, 2)</f>
        <v>General Motor</v>
      </c>
      <c r="D7" t="str">
        <f>MID(A7, 5, 3)</f>
        <v>SLV</v>
      </c>
      <c r="E7" t="str">
        <f>VLOOKUP(D7, D$55:E$65, 2)</f>
        <v>Silverado</v>
      </c>
      <c r="F7" t="str">
        <f>MID(A7, 3, 2)</f>
        <v>00</v>
      </c>
      <c r="G7">
        <f>IF(14-F7&lt;0, 100-F7+14, 14-F7)</f>
        <v>14</v>
      </c>
      <c r="H7">
        <v>80685.8</v>
      </c>
      <c r="I7" s="2">
        <f>H7/(G7 + 0.5)</f>
        <v>5564.5379310344833</v>
      </c>
      <c r="J7" t="s">
        <v>48</v>
      </c>
      <c r="K7" t="s">
        <v>36</v>
      </c>
      <c r="L7">
        <v>100000</v>
      </c>
      <c r="M7" t="str">
        <f>IF(H7&gt;L7, "Y", "Not covered")</f>
        <v>Not covered</v>
      </c>
      <c r="N7" t="str">
        <f>_xlfn.CONCAT(B7, F7, D7, UPPER(LEFT(J7, 3)), RIGHT(A7, 3))</f>
        <v>GM00SLVBLU019</v>
      </c>
    </row>
    <row r="8" spans="1:14" x14ac:dyDescent="0.3">
      <c r="A8" t="s">
        <v>75</v>
      </c>
      <c r="B8" t="str">
        <f>LEFT(A8, 2)</f>
        <v>CR</v>
      </c>
      <c r="C8" t="str">
        <f>VLOOKUP(B8, B$55:C$60, 2)</f>
        <v>Corolla</v>
      </c>
      <c r="D8" t="str">
        <f>MID(A8, 5, 3)</f>
        <v>CAR</v>
      </c>
      <c r="E8" t="str">
        <f>VLOOKUP(D8, D$55:E$65, 2)</f>
        <v>Caravan</v>
      </c>
      <c r="F8" t="str">
        <f>MID(A8, 3, 2)</f>
        <v>99</v>
      </c>
      <c r="G8">
        <f>IF(14-F8&lt;0, 100-F8+14, 14-F8)</f>
        <v>15</v>
      </c>
      <c r="H8">
        <v>79420.600000000006</v>
      </c>
      <c r="I8" s="2">
        <f>H8/(G8 + 0.5)</f>
        <v>5123.9096774193549</v>
      </c>
      <c r="J8" t="s">
        <v>21</v>
      </c>
      <c r="K8" t="s">
        <v>45</v>
      </c>
      <c r="L8">
        <v>75000</v>
      </c>
      <c r="M8" t="str">
        <f>IF(H8&gt;L8, "Y", "Not covered")</f>
        <v>Y</v>
      </c>
      <c r="N8" t="str">
        <f>_xlfn.CONCAT(B8, F8, D8, UPPER(LEFT(J8, 3)), RIGHT(A8, 3))</f>
        <v>CR99CARGRE045</v>
      </c>
    </row>
    <row r="9" spans="1:14" x14ac:dyDescent="0.3">
      <c r="A9" t="s">
        <v>76</v>
      </c>
      <c r="B9" t="str">
        <f>LEFT(A9, 2)</f>
        <v>CR</v>
      </c>
      <c r="C9" t="str">
        <f>VLOOKUP(B9, B$55:C$60, 2)</f>
        <v>Corolla</v>
      </c>
      <c r="D9" t="str">
        <f>MID(A9, 5, 3)</f>
        <v>CAR</v>
      </c>
      <c r="E9" t="str">
        <f>VLOOKUP(D9, D$55:E$65, 2)</f>
        <v>Caravan</v>
      </c>
      <c r="F9" t="str">
        <f>MID(A9, 3, 2)</f>
        <v>00</v>
      </c>
      <c r="G9">
        <f>IF(14-F9&lt;0, 100-F9+14, 14-F9)</f>
        <v>14</v>
      </c>
      <c r="H9">
        <v>77243.100000000006</v>
      </c>
      <c r="I9" s="2">
        <f>H9/(G9 + 0.5)</f>
        <v>5327.1103448275862</v>
      </c>
      <c r="J9" t="s">
        <v>15</v>
      </c>
      <c r="K9" t="s">
        <v>24</v>
      </c>
      <c r="L9">
        <v>75000</v>
      </c>
      <c r="M9" t="str">
        <f>IF(H9&gt;L9, "Y", "Not covered")</f>
        <v>Y</v>
      </c>
      <c r="N9" t="str">
        <f>_xlfn.CONCAT(B9, F9, D9, UPPER(LEFT(J9, 3)), RIGHT(A9, 3))</f>
        <v>CR00CARBLA046</v>
      </c>
    </row>
    <row r="10" spans="1:14" x14ac:dyDescent="0.3">
      <c r="A10" t="s">
        <v>59</v>
      </c>
      <c r="B10" t="str">
        <f>LEFT(A10, 2)</f>
        <v>TY</v>
      </c>
      <c r="C10" t="str">
        <f>VLOOKUP(B10, B$55:C$60, 2)</f>
        <v>Toyota</v>
      </c>
      <c r="D10" t="str">
        <f>MID(A10, 5, 3)</f>
        <v>COR</v>
      </c>
      <c r="E10" t="str">
        <f>VLOOKUP(D10, D$55:E$65, 2)</f>
        <v>Corolla</v>
      </c>
      <c r="F10" t="str">
        <f>MID(A10, 3, 2)</f>
        <v>03</v>
      </c>
      <c r="G10">
        <f>IF(14-F10&lt;0, 100-F10+14, 14-F10)</f>
        <v>11</v>
      </c>
      <c r="H10">
        <v>73444.399999999994</v>
      </c>
      <c r="I10" s="2">
        <f>H10/(G10 + 0.5)</f>
        <v>6386.4695652173905</v>
      </c>
      <c r="J10" t="s">
        <v>15</v>
      </c>
      <c r="K10" t="s">
        <v>58</v>
      </c>
      <c r="L10">
        <v>100000</v>
      </c>
      <c r="M10" t="str">
        <f>IF(H10&gt;L10, "Y", "Not covered")</f>
        <v>Not covered</v>
      </c>
      <c r="N10" t="str">
        <f>_xlfn.CONCAT(B10, F10, D10, UPPER(LEFT(J10, 3)), RIGHT(A10, 3))</f>
        <v>TY03CORBLA026</v>
      </c>
    </row>
    <row r="11" spans="1:14" x14ac:dyDescent="0.3">
      <c r="A11" t="s">
        <v>77</v>
      </c>
      <c r="B11" t="str">
        <f>LEFT(A11, 2)</f>
        <v>CR</v>
      </c>
      <c r="C11" t="str">
        <f>VLOOKUP(B11, B$55:C$60, 2)</f>
        <v>Corolla</v>
      </c>
      <c r="D11" t="str">
        <f>MID(A11, 5, 3)</f>
        <v>CAR</v>
      </c>
      <c r="E11" t="str">
        <f>VLOOKUP(D11, D$55:E$65, 2)</f>
        <v>Caravan</v>
      </c>
      <c r="F11" t="str">
        <f>MID(A11, 3, 2)</f>
        <v>04</v>
      </c>
      <c r="G11">
        <f>IF(14-F11&lt;0, 100-F11+14, 14-F11)</f>
        <v>10</v>
      </c>
      <c r="H11">
        <v>72527.199999999997</v>
      </c>
      <c r="I11" s="2">
        <f>H11/(G11 + 0.5)</f>
        <v>6907.3523809523804</v>
      </c>
      <c r="J11" t="s">
        <v>18</v>
      </c>
      <c r="K11" t="s">
        <v>41</v>
      </c>
      <c r="L11">
        <v>75000</v>
      </c>
      <c r="M11" t="str">
        <f>IF(H11&gt;L11, "Y", "Not covered")</f>
        <v>Not covered</v>
      </c>
      <c r="N11" t="str">
        <f>_xlfn.CONCAT(B11, F11, D11, UPPER(LEFT(J11, 3)), RIGHT(A11, 3))</f>
        <v>CR04CARWHI047</v>
      </c>
    </row>
    <row r="12" spans="1:14" x14ac:dyDescent="0.3">
      <c r="A12" t="s">
        <v>64</v>
      </c>
      <c r="B12" t="str">
        <f>LEFT(A12, 2)</f>
        <v>HO</v>
      </c>
      <c r="C12" t="str">
        <f>VLOOKUP(B12, B$55:C$60, 2)</f>
        <v>Honada</v>
      </c>
      <c r="D12" t="str">
        <f>MID(A12, 5, 3)</f>
        <v>CIV</v>
      </c>
      <c r="E12" t="str">
        <f>VLOOKUP(D12, D$55:E$65, 2)</f>
        <v>Civic</v>
      </c>
      <c r="F12" t="str">
        <f>MID(A12, 3, 2)</f>
        <v>01</v>
      </c>
      <c r="G12">
        <f>IF(14-F12&lt;0, 100-F12+14, 14-F12)</f>
        <v>13</v>
      </c>
      <c r="H12">
        <v>69891.899999999994</v>
      </c>
      <c r="I12" s="2">
        <f>H12/(G12 + 0.5)</f>
        <v>5177.177777777777</v>
      </c>
      <c r="J12" t="s">
        <v>48</v>
      </c>
      <c r="K12" t="s">
        <v>24</v>
      </c>
      <c r="L12">
        <v>75000</v>
      </c>
      <c r="M12" t="str">
        <f>IF(H12&gt;L12, "Y", "Not covered")</f>
        <v>Not covered</v>
      </c>
      <c r="N12" t="str">
        <f>_xlfn.CONCAT(B12, F12, D12, UPPER(LEFT(J12, 3)), RIGHT(A12, 3))</f>
        <v>HO01CIVBLU031</v>
      </c>
    </row>
    <row r="13" spans="1:14" x14ac:dyDescent="0.3">
      <c r="A13" t="s">
        <v>95</v>
      </c>
      <c r="B13" t="str">
        <f>LEFT(A13, 2)</f>
        <v>HO</v>
      </c>
      <c r="C13" t="str">
        <f>VLOOKUP(B13, B$55:C$60, 2)</f>
        <v>Honada</v>
      </c>
      <c r="D13" t="str">
        <f>MID(A13, 5, 3)</f>
        <v>ODY</v>
      </c>
      <c r="E13" t="str">
        <f>VLOOKUP(D13, D$55:E$65, 2)</f>
        <v>Odessy</v>
      </c>
      <c r="F13" t="str">
        <f>MID(A13, 3, 2)</f>
        <v>01</v>
      </c>
      <c r="G13">
        <f>IF(14-F13&lt;0, 100-F13+14, 14-F13)</f>
        <v>13</v>
      </c>
      <c r="H13">
        <v>68658.899999999994</v>
      </c>
      <c r="I13" s="2">
        <f>H13/(G13 + 0.5)</f>
        <v>5085.844444444444</v>
      </c>
      <c r="J13" t="s">
        <v>15</v>
      </c>
      <c r="K13" t="s">
        <v>16</v>
      </c>
      <c r="L13">
        <v>100000</v>
      </c>
      <c r="M13" t="str">
        <f>IF(H13&gt;L13, "Y", "Not covered")</f>
        <v>Not covered</v>
      </c>
      <c r="N13" t="str">
        <f>_xlfn.CONCAT(B13, F13, D13, UPPER(LEFT(J13, 3)), RIGHT(A13, 3))</f>
        <v>HO01ODYBLA040</v>
      </c>
    </row>
    <row r="14" spans="1:14" x14ac:dyDescent="0.3">
      <c r="A14" t="s">
        <v>54</v>
      </c>
      <c r="B14" t="str">
        <f>LEFT(A14, 2)</f>
        <v>TY</v>
      </c>
      <c r="C14" t="str">
        <f>VLOOKUP(B14, B$55:C$60, 2)</f>
        <v>Toyota</v>
      </c>
      <c r="D14" t="str">
        <f>MID(A14, 5, 3)</f>
        <v>CAM</v>
      </c>
      <c r="E14" t="str">
        <f>VLOOKUP(D14, D$55:E$65, 2)</f>
        <v>Camray</v>
      </c>
      <c r="F14" t="str">
        <f>MID(A14, 3, 2)</f>
        <v>02</v>
      </c>
      <c r="G14">
        <f>IF(14-F14&lt;0, 100-F14+14, 14-F14)</f>
        <v>12</v>
      </c>
      <c r="H14">
        <v>67829.100000000006</v>
      </c>
      <c r="I14" s="2">
        <f>H14/(G14 + 0.5)</f>
        <v>5426.3280000000004</v>
      </c>
      <c r="J14" t="s">
        <v>15</v>
      </c>
      <c r="K14" t="s">
        <v>16</v>
      </c>
      <c r="L14">
        <v>100000</v>
      </c>
      <c r="M14" t="str">
        <f>IF(H14&gt;L14, "Y", "Not covered")</f>
        <v>Not covered</v>
      </c>
      <c r="N14" t="str">
        <f>_xlfn.CONCAT(B14, F14, D14, UPPER(LEFT(J14, 3)), RIGHT(A14, 3))</f>
        <v>TY02CAMBLA023</v>
      </c>
    </row>
    <row r="15" spans="1:14" x14ac:dyDescent="0.3">
      <c r="A15" t="s">
        <v>72</v>
      </c>
      <c r="B15" t="str">
        <f>LEFT(A15, 2)</f>
        <v>CR</v>
      </c>
      <c r="C15" t="str">
        <f>VLOOKUP(B15, B$55:C$60, 2)</f>
        <v>Corolla</v>
      </c>
      <c r="D15" t="str">
        <f>MID(A15, 5, 3)</f>
        <v>PTC</v>
      </c>
      <c r="E15" t="str">
        <f>VLOOKUP(D15, D$55:E$65, 2)</f>
        <v>PT Cruiser</v>
      </c>
      <c r="F15" t="str">
        <f>MID(A15, 3, 2)</f>
        <v>04</v>
      </c>
      <c r="G15">
        <f>IF(14-F15&lt;0, 100-F15+14, 14-F15)</f>
        <v>10</v>
      </c>
      <c r="H15">
        <v>64542</v>
      </c>
      <c r="I15" s="2">
        <f>H15/(G15 + 0.5)</f>
        <v>6146.8571428571431</v>
      </c>
      <c r="J15" t="s">
        <v>48</v>
      </c>
      <c r="K15" t="s">
        <v>16</v>
      </c>
      <c r="L15">
        <v>75000</v>
      </c>
      <c r="M15" t="str">
        <f>IF(H15&gt;L15, "Y", "Not covered")</f>
        <v>Not covered</v>
      </c>
      <c r="N15" t="str">
        <f>_xlfn.CONCAT(B15, F15, D15, UPPER(LEFT(J15, 3)), RIGHT(A15, 3))</f>
        <v>CR04PTCBLU042</v>
      </c>
    </row>
    <row r="16" spans="1:14" x14ac:dyDescent="0.3">
      <c r="A16" t="s">
        <v>56</v>
      </c>
      <c r="B16" t="str">
        <f>LEFT(A16, 2)</f>
        <v>TY</v>
      </c>
      <c r="C16" t="str">
        <f>VLOOKUP(B16, B$55:C$60, 2)</f>
        <v>Toyota</v>
      </c>
      <c r="D16" t="str">
        <f>MID(A16, 5, 3)</f>
        <v>COR</v>
      </c>
      <c r="E16" t="str">
        <f>VLOOKUP(D16, D$55:E$65, 2)</f>
        <v>Corolla</v>
      </c>
      <c r="F16" t="str">
        <f>MID(A16, 3, 2)</f>
        <v>02</v>
      </c>
      <c r="G16">
        <f>IF(14-F16&lt;0, 100-F16+14, 14-F16)</f>
        <v>12</v>
      </c>
      <c r="H16">
        <v>64467.4</v>
      </c>
      <c r="I16" s="2">
        <f>H16/(G16 + 0.5)</f>
        <v>5157.3919999999998</v>
      </c>
      <c r="J16" t="s">
        <v>57</v>
      </c>
      <c r="K16" t="s">
        <v>58</v>
      </c>
      <c r="L16">
        <v>100000</v>
      </c>
      <c r="M16" t="str">
        <f>IF(H16&gt;L16, "Y", "Not covered")</f>
        <v>Not covered</v>
      </c>
      <c r="N16" t="str">
        <f>_xlfn.CONCAT(B16, F16, D16, UPPER(LEFT(J16, 3)), RIGHT(A16, 3))</f>
        <v>TY02CORRED025</v>
      </c>
    </row>
    <row r="17" spans="1:14" x14ac:dyDescent="0.3">
      <c r="A17" t="s">
        <v>120</v>
      </c>
      <c r="B17" t="str">
        <f>LEFT(A17, 2)</f>
        <v>HO</v>
      </c>
      <c r="C17" t="str">
        <f>VLOOKUP(B17, B$55:C$60, 2)</f>
        <v>Honada</v>
      </c>
      <c r="D17" t="str">
        <f>MID(A17, 5, 3)</f>
        <v>ODY</v>
      </c>
      <c r="E17" t="str">
        <f>VLOOKUP(D17, D$55:E$65, 2)</f>
        <v>Odessy</v>
      </c>
      <c r="F17" t="str">
        <f>MID(A17, 3, 2)</f>
        <v>05</v>
      </c>
      <c r="G17">
        <f>IF(14-F17&lt;0, 100-F17+14, 14-F17)</f>
        <v>9</v>
      </c>
      <c r="H17">
        <v>60389.5</v>
      </c>
      <c r="I17" s="2">
        <f>H17/(G17 + 0.5)</f>
        <v>6356.7894736842109</v>
      </c>
      <c r="J17" t="s">
        <v>18</v>
      </c>
      <c r="K17" t="s">
        <v>29</v>
      </c>
      <c r="L17">
        <v>100000</v>
      </c>
      <c r="M17" t="str">
        <f>IF(H17&gt;L17, "Y", "Not covered")</f>
        <v>Not covered</v>
      </c>
      <c r="N17" t="str">
        <f>_xlfn.CONCAT(B17, F17, D17, UPPER(LEFT(J17, 3)), RIGHT(A17, 3))</f>
        <v>HO05ODYWHI037</v>
      </c>
    </row>
    <row r="18" spans="1:14" x14ac:dyDescent="0.3">
      <c r="A18" t="s">
        <v>78</v>
      </c>
      <c r="B18" t="str">
        <f>LEFT(A18, 2)</f>
        <v>CR</v>
      </c>
      <c r="C18" t="str">
        <f>VLOOKUP(B18, B$55:C$60, 2)</f>
        <v>Corolla</v>
      </c>
      <c r="D18" t="str">
        <f>MID(A18, 5, 3)</f>
        <v>CAR</v>
      </c>
      <c r="E18" t="str">
        <f>VLOOKUP(D18, D$55:E$65, 2)</f>
        <v>Caravan</v>
      </c>
      <c r="F18" t="str">
        <f>MID(A18, 3, 2)</f>
        <v>04</v>
      </c>
      <c r="G18">
        <f>IF(14-F18&lt;0, 100-F18+14, 14-F18)</f>
        <v>10</v>
      </c>
      <c r="H18">
        <v>52699.4</v>
      </c>
      <c r="I18" s="2">
        <f>H18/(G18 + 0.5)</f>
        <v>5018.9904761904763</v>
      </c>
      <c r="J18" t="s">
        <v>57</v>
      </c>
      <c r="K18" t="s">
        <v>41</v>
      </c>
      <c r="L18">
        <v>75000</v>
      </c>
      <c r="M18" t="str">
        <f>IF(H18&gt;L18, "Y", "Not covered")</f>
        <v>Not covered</v>
      </c>
      <c r="N18" t="str">
        <f>_xlfn.CONCAT(B18, F18, D18, UPPER(LEFT(J18, 3)), RIGHT(A18, 3))</f>
        <v>CR04CARRED048</v>
      </c>
    </row>
    <row r="19" spans="1:14" x14ac:dyDescent="0.3">
      <c r="A19" t="s">
        <v>27</v>
      </c>
      <c r="B19" t="str">
        <f>LEFT(A19, 2)</f>
        <v>FD</v>
      </c>
      <c r="C19" t="str">
        <f>VLOOKUP(B19, B$55:C$60, 2)</f>
        <v>Ford</v>
      </c>
      <c r="D19" t="str">
        <f>MID(A19, 5, 3)</f>
        <v>FCS</v>
      </c>
      <c r="E19" t="str">
        <f>VLOOKUP(D19, D$55:E$65, 2)</f>
        <v>Focus</v>
      </c>
      <c r="F19" t="str">
        <f>MID(A19, 3, 2)</f>
        <v>06</v>
      </c>
      <c r="G19">
        <f>IF(14-F19&lt;0, 100-F19+14, 14-F19)</f>
        <v>8</v>
      </c>
      <c r="H19">
        <v>52229.5</v>
      </c>
      <c r="I19" s="2">
        <f>H19/(G19 + 0.5)</f>
        <v>6144.6470588235297</v>
      </c>
      <c r="J19" t="s">
        <v>21</v>
      </c>
      <c r="K19" t="s">
        <v>22</v>
      </c>
      <c r="L19">
        <v>75000</v>
      </c>
      <c r="M19" t="str">
        <f>IF(H19&gt;L19, "Y", "Not covered")</f>
        <v>Not covered</v>
      </c>
      <c r="N19" t="str">
        <f>_xlfn.CONCAT(B19, F19, D19, UPPER(LEFT(J19, 3)), RIGHT(A19, 3))</f>
        <v>FD06FCSGRE007</v>
      </c>
    </row>
    <row r="20" spans="1:14" x14ac:dyDescent="0.3">
      <c r="A20" t="s">
        <v>69</v>
      </c>
      <c r="B20" t="str">
        <f>LEFT(A20, 2)</f>
        <v>HO</v>
      </c>
      <c r="C20" t="str">
        <f>VLOOKUP(B20, B$55:C$60, 2)</f>
        <v>Honada</v>
      </c>
      <c r="D20" t="str">
        <f>MID(A20, 5, 3)</f>
        <v>ODY</v>
      </c>
      <c r="E20" t="str">
        <f>VLOOKUP(D20, D$55:E$65, 2)</f>
        <v>Odessy</v>
      </c>
      <c r="F20" t="str">
        <f>MID(A20, 3, 2)</f>
        <v>07</v>
      </c>
      <c r="G20">
        <f>IF(14-F20&lt;0, 100-F20+14, 14-F20)</f>
        <v>7</v>
      </c>
      <c r="H20">
        <v>50854.1</v>
      </c>
      <c r="I20" s="2">
        <f>H20/(G20 + 0.5)</f>
        <v>6780.5466666666662</v>
      </c>
      <c r="J20" t="s">
        <v>15</v>
      </c>
      <c r="K20" t="s">
        <v>52</v>
      </c>
      <c r="L20">
        <v>100000</v>
      </c>
      <c r="M20" t="str">
        <f>IF(H20&gt;L20, "Y", "Not covered")</f>
        <v>Not covered</v>
      </c>
      <c r="N20" t="str">
        <f>_xlfn.CONCAT(B20, F20, D20, UPPER(LEFT(J20, 3)), RIGHT(A20, 3))</f>
        <v>HO07ODYBLA038</v>
      </c>
    </row>
    <row r="21" spans="1:14" x14ac:dyDescent="0.3">
      <c r="A21" t="s">
        <v>55</v>
      </c>
      <c r="B21" t="str">
        <f>LEFT(A21, 2)</f>
        <v>TY</v>
      </c>
      <c r="C21" t="str">
        <f>VLOOKUP(B21, B$55:C$60, 2)</f>
        <v>Toyota</v>
      </c>
      <c r="D21" t="str">
        <f>MID(A21, 5, 3)</f>
        <v>CAM</v>
      </c>
      <c r="E21" t="str">
        <f>VLOOKUP(D21, D$55:E$65, 2)</f>
        <v>Camray</v>
      </c>
      <c r="F21" t="str">
        <f>MID(A21, 3, 2)</f>
        <v>09</v>
      </c>
      <c r="G21">
        <f>IF(14-F21&lt;0, 100-F21+14, 14-F21)</f>
        <v>5</v>
      </c>
      <c r="H21">
        <v>48114.2</v>
      </c>
      <c r="I21" s="2">
        <f>H21/(G21 + 0.5)</f>
        <v>8748.0363636363636</v>
      </c>
      <c r="J21" t="s">
        <v>18</v>
      </c>
      <c r="K21" t="s">
        <v>29</v>
      </c>
      <c r="L21">
        <v>100000</v>
      </c>
      <c r="M21" t="str">
        <f>IF(H21&gt;L21, "Y", "Not covered")</f>
        <v>Not covered</v>
      </c>
      <c r="N21" t="str">
        <f>_xlfn.CONCAT(B21, F21, D21, UPPER(LEFT(J21, 3)), RIGHT(A21, 3))</f>
        <v>TY09CAMWHI024</v>
      </c>
    </row>
    <row r="22" spans="1:14" x14ac:dyDescent="0.3">
      <c r="A22" t="s">
        <v>118</v>
      </c>
      <c r="B22" t="str">
        <f>LEFT(A22, 2)</f>
        <v>FD</v>
      </c>
      <c r="C22" t="str">
        <f>VLOOKUP(B22, B$55:C$60, 2)</f>
        <v>Ford</v>
      </c>
      <c r="D22" t="str">
        <f>MID(A22, 5, 3)</f>
        <v>FCS</v>
      </c>
      <c r="E22" t="str">
        <f>VLOOKUP(D22, D$55:E$65, 2)</f>
        <v>Focus</v>
      </c>
      <c r="F22" t="str">
        <f>MID(A22, 3, 2)</f>
        <v>06</v>
      </c>
      <c r="G22">
        <f>IF(14-F22&lt;0, 100-F22+14, 14-F22)</f>
        <v>8</v>
      </c>
      <c r="H22">
        <v>46311.4</v>
      </c>
      <c r="I22" s="2">
        <f>H22/(G22 + 0.5)</f>
        <v>5448.4000000000005</v>
      </c>
      <c r="J22" t="s">
        <v>21</v>
      </c>
      <c r="K22" t="s">
        <v>26</v>
      </c>
      <c r="L22">
        <v>75000</v>
      </c>
      <c r="M22" t="str">
        <f>IF(H22&gt;L22, "Y", "Not covered")</f>
        <v>Not covered</v>
      </c>
      <c r="N22" t="str">
        <f>_xlfn.CONCAT(B22, F22, D22, UPPER(LEFT(J22, 3)), RIGHT(A22, 3))</f>
        <v>FD06FCSGRE006</v>
      </c>
    </row>
    <row r="23" spans="1:14" x14ac:dyDescent="0.3">
      <c r="A23" t="s">
        <v>17</v>
      </c>
      <c r="B23" t="str">
        <f>LEFT(A23, 2)</f>
        <v>FD</v>
      </c>
      <c r="C23" t="str">
        <f>VLOOKUP(B23, B$55:C$60, 2)</f>
        <v>Ford</v>
      </c>
      <c r="D23" t="str">
        <f>MID(A23, 5, 3)</f>
        <v>MTG</v>
      </c>
      <c r="E23" t="str">
        <f>VLOOKUP(D23, D$55:E$65, 2)</f>
        <v>Mustang</v>
      </c>
      <c r="F23" t="str">
        <f>MID(A23, 3, 2)</f>
        <v>06</v>
      </c>
      <c r="G23">
        <f>IF(14-F23&lt;0, 100-F23+14, 14-F23)</f>
        <v>8</v>
      </c>
      <c r="H23">
        <v>44974.8</v>
      </c>
      <c r="I23" s="2">
        <f>H23/(G23 + 0.5)</f>
        <v>5291.1529411764714</v>
      </c>
      <c r="J23" t="s">
        <v>18</v>
      </c>
      <c r="K23" t="s">
        <v>19</v>
      </c>
      <c r="L23">
        <v>50000</v>
      </c>
      <c r="M23" t="str">
        <f>IF(H23&gt;L23, "Y", "Not covered")</f>
        <v>Not covered</v>
      </c>
      <c r="N23" t="str">
        <f>_xlfn.CONCAT(B23, F23, D23, UPPER(LEFT(J23, 3)), RIGHT(A23, 3))</f>
        <v>FD06MTGWHI002</v>
      </c>
    </row>
    <row r="24" spans="1:14" x14ac:dyDescent="0.3">
      <c r="A24" t="s">
        <v>20</v>
      </c>
      <c r="B24" t="str">
        <f>LEFT(A24, 2)</f>
        <v>FD</v>
      </c>
      <c r="C24" t="str">
        <f>VLOOKUP(B24, B$55:C$60, 2)</f>
        <v>Ford</v>
      </c>
      <c r="D24" t="str">
        <f>MID(A24, 5, 3)</f>
        <v>MTG</v>
      </c>
      <c r="E24" t="str">
        <f>VLOOKUP(D24, D$55:E$65, 2)</f>
        <v>Mustang</v>
      </c>
      <c r="F24" t="str">
        <f>MID(A24, 3, 2)</f>
        <v>08</v>
      </c>
      <c r="G24">
        <f>IF(14-F24&lt;0, 100-F24+14, 14-F24)</f>
        <v>6</v>
      </c>
      <c r="H24">
        <v>44946.5</v>
      </c>
      <c r="I24" s="2">
        <f>H24/(G24 + 0.5)</f>
        <v>6914.8461538461543</v>
      </c>
      <c r="J24" t="s">
        <v>21</v>
      </c>
      <c r="K24" t="s">
        <v>22</v>
      </c>
      <c r="L24">
        <v>50000</v>
      </c>
      <c r="M24" t="str">
        <f>IF(H24&gt;L24, "Y", "Not covered")</f>
        <v>Not covered</v>
      </c>
      <c r="N24" t="str">
        <f>_xlfn.CONCAT(B24, F24, D24, UPPER(LEFT(J24, 3)), RIGHT(A24, 3))</f>
        <v>FD08MTGGRE003</v>
      </c>
    </row>
    <row r="25" spans="1:14" x14ac:dyDescent="0.3">
      <c r="A25" t="s">
        <v>70</v>
      </c>
      <c r="B25" t="str">
        <f>LEFT(A25, 2)</f>
        <v>HO</v>
      </c>
      <c r="C25" t="str">
        <f>VLOOKUP(B25, B$55:C$60, 2)</f>
        <v>Honada</v>
      </c>
      <c r="D25" t="str">
        <f>MID(A25, 5, 3)</f>
        <v>ODY</v>
      </c>
      <c r="E25" t="str">
        <f>VLOOKUP(D25, D$55:E$65, 2)</f>
        <v>Odessy</v>
      </c>
      <c r="F25" t="str">
        <f>MID(A25, 3, 2)</f>
        <v>08</v>
      </c>
      <c r="G25">
        <f>IF(14-F25&lt;0, 100-F25+14, 14-F25)</f>
        <v>6</v>
      </c>
      <c r="H25">
        <v>42504.6</v>
      </c>
      <c r="I25" s="2">
        <f>H25/(G25 + 0.5)</f>
        <v>6539.1692307692301</v>
      </c>
      <c r="J25" t="s">
        <v>18</v>
      </c>
      <c r="K25" t="s">
        <v>38</v>
      </c>
      <c r="L25">
        <v>100000</v>
      </c>
      <c r="M25" t="str">
        <f>IF(H25&gt;L25, "Y", "Not covered")</f>
        <v>Not covered</v>
      </c>
      <c r="N25" t="str">
        <f>_xlfn.CONCAT(B25, F25, D25, UPPER(LEFT(J25, 3)), RIGHT(A25, 3))</f>
        <v>HO08ODYWHI039</v>
      </c>
    </row>
    <row r="26" spans="1:14" x14ac:dyDescent="0.3">
      <c r="A26" t="s">
        <v>73</v>
      </c>
      <c r="B26" t="str">
        <f>LEFT(A26, 2)</f>
        <v>CR</v>
      </c>
      <c r="C26" t="str">
        <f>VLOOKUP(B26, B$55:C$60, 2)</f>
        <v>Corolla</v>
      </c>
      <c r="D26" t="str">
        <f>MID(A26, 5, 3)</f>
        <v>PTC</v>
      </c>
      <c r="E26" t="str">
        <f>VLOOKUP(D26, D$55:E$65, 2)</f>
        <v>PT Cruiser</v>
      </c>
      <c r="F26" t="str">
        <f>MID(A26, 3, 2)</f>
        <v>07</v>
      </c>
      <c r="G26">
        <f>IF(14-F26&lt;0, 100-F26+14, 14-F26)</f>
        <v>7</v>
      </c>
      <c r="H26">
        <v>42074.2</v>
      </c>
      <c r="I26" s="2">
        <f>H26/(G26 + 0.5)</f>
        <v>5609.8933333333325</v>
      </c>
      <c r="J26" t="s">
        <v>21</v>
      </c>
      <c r="K26" t="s">
        <v>58</v>
      </c>
      <c r="L26">
        <v>75000</v>
      </c>
      <c r="M26" t="str">
        <f>IF(H26&gt;L26, "Y", "Not covered")</f>
        <v>Not covered</v>
      </c>
      <c r="N26" t="str">
        <f>_xlfn.CONCAT(B26, F26, D26, UPPER(LEFT(J26, 3)), RIGHT(A26, 3))</f>
        <v>CR07PTCGRE043</v>
      </c>
    </row>
    <row r="27" spans="1:14" x14ac:dyDescent="0.3">
      <c r="A27" t="s">
        <v>14</v>
      </c>
      <c r="B27" t="str">
        <f>LEFT(A27, 2)</f>
        <v>FD</v>
      </c>
      <c r="C27" t="str">
        <f>VLOOKUP(B27, B$55:C$60, 2)</f>
        <v>Ford</v>
      </c>
      <c r="D27" t="str">
        <f>MID(A27, 5, 3)</f>
        <v>MTG</v>
      </c>
      <c r="E27" t="str">
        <f>VLOOKUP(D27, D$55:E$65, 2)</f>
        <v>Mustang</v>
      </c>
      <c r="F27" t="str">
        <f>MID(A27, 3, 2)</f>
        <v>06</v>
      </c>
      <c r="G27">
        <f>IF(14-F27&lt;0, 100-F27+14, 14-F27)</f>
        <v>8</v>
      </c>
      <c r="H27">
        <v>40326.800000000003</v>
      </c>
      <c r="I27" s="2">
        <f>H27/(G27 + 0.5)</f>
        <v>4744.3294117647065</v>
      </c>
      <c r="J27" t="s">
        <v>15</v>
      </c>
      <c r="K27" t="s">
        <v>16</v>
      </c>
      <c r="L27">
        <v>50000</v>
      </c>
      <c r="M27" t="str">
        <f>IF(H27&gt;L27, "Y", "Not covered")</f>
        <v>Not covered</v>
      </c>
      <c r="N27" t="str">
        <f>_xlfn.CONCAT(B27, F27, D27, UPPER(LEFT(J27, 3)), RIGHT(A27, 3))</f>
        <v>FD06MTGBLA001</v>
      </c>
    </row>
    <row r="28" spans="1:14" x14ac:dyDescent="0.3">
      <c r="A28" t="s">
        <v>23</v>
      </c>
      <c r="B28" t="str">
        <f>LEFT(A28, 2)</f>
        <v>FD</v>
      </c>
      <c r="C28" t="str">
        <f>VLOOKUP(B28, B$55:C$60, 2)</f>
        <v>Ford</v>
      </c>
      <c r="D28" t="str">
        <f>MID(A28, 5, 3)</f>
        <v>MTG</v>
      </c>
      <c r="E28" t="str">
        <f>VLOOKUP(D28, D$55:E$65, 2)</f>
        <v>Mustang</v>
      </c>
      <c r="F28" t="str">
        <f>MID(A28, 3, 2)</f>
        <v>08</v>
      </c>
      <c r="G28">
        <f>IF(14-F28&lt;0, 100-F28+14, 14-F28)</f>
        <v>6</v>
      </c>
      <c r="H28">
        <v>37558.800000000003</v>
      </c>
      <c r="I28" s="2">
        <f>H28/(G28 + 0.5)</f>
        <v>5778.2769230769236</v>
      </c>
      <c r="J28" t="s">
        <v>15</v>
      </c>
      <c r="K28" t="s">
        <v>24</v>
      </c>
      <c r="L28">
        <v>50000</v>
      </c>
      <c r="M28" t="str">
        <f>IF(H28&gt;L28, "Y", "Not covered")</f>
        <v>Not covered</v>
      </c>
      <c r="N28" t="str">
        <f>_xlfn.CONCAT(B28, F28, D28, UPPER(LEFT(J28, 3)), RIGHT(A28, 3))</f>
        <v>FD08MTGBLA004</v>
      </c>
    </row>
    <row r="29" spans="1:14" x14ac:dyDescent="0.3">
      <c r="A29" t="s">
        <v>25</v>
      </c>
      <c r="B29" t="str">
        <f>LEFT(A29, 2)</f>
        <v>FD</v>
      </c>
      <c r="C29" t="str">
        <f>VLOOKUP(B29, B$55:C$60, 2)</f>
        <v>Ford</v>
      </c>
      <c r="D29" t="str">
        <f>MID(A29, 5, 3)</f>
        <v>MTG</v>
      </c>
      <c r="E29" t="str">
        <f>VLOOKUP(D29, D$55:E$65, 2)</f>
        <v>Mustang</v>
      </c>
      <c r="F29" t="str">
        <f>MID(A29, 3, 2)</f>
        <v>08</v>
      </c>
      <c r="G29">
        <f>IF(14-F29&lt;0, 100-F29+14, 14-F29)</f>
        <v>6</v>
      </c>
      <c r="H29">
        <v>36438.5</v>
      </c>
      <c r="I29" s="2">
        <f>H29/(G29 + 0.5)</f>
        <v>5605.9230769230771</v>
      </c>
      <c r="J29" t="s">
        <v>18</v>
      </c>
      <c r="K29" t="s">
        <v>16</v>
      </c>
      <c r="L29">
        <v>50000</v>
      </c>
      <c r="M29" t="str">
        <f>IF(H29&gt;L29, "Y", "Not covered")</f>
        <v>Not covered</v>
      </c>
      <c r="N29" t="str">
        <f>_xlfn.CONCAT(B29, F29, D29, UPPER(LEFT(J29, 3)), RIGHT(A29, 3))</f>
        <v>FD08MTGWHI005</v>
      </c>
    </row>
    <row r="30" spans="1:14" x14ac:dyDescent="0.3">
      <c r="A30" t="s">
        <v>28</v>
      </c>
      <c r="B30" t="str">
        <f>LEFT(A30, 2)</f>
        <v>FD</v>
      </c>
      <c r="C30" t="str">
        <f>VLOOKUP(B30, B$55:C$60, 2)</f>
        <v>Ford</v>
      </c>
      <c r="D30" t="str">
        <f>MID(A30, 5, 3)</f>
        <v>FCS</v>
      </c>
      <c r="E30" t="str">
        <f>VLOOKUP(D30, D$55:E$65, 2)</f>
        <v>Focus</v>
      </c>
      <c r="F30" t="str">
        <f>MID(A30, 3, 2)</f>
        <v>09</v>
      </c>
      <c r="G30">
        <f>IF(14-F30&lt;0, 100-F30+14, 14-F30)</f>
        <v>5</v>
      </c>
      <c r="H30">
        <v>35137</v>
      </c>
      <c r="I30" s="2">
        <f>H30/(G30 + 0.5)</f>
        <v>6388.545454545455</v>
      </c>
      <c r="J30" t="s">
        <v>15</v>
      </c>
      <c r="K30" t="s">
        <v>29</v>
      </c>
      <c r="L30">
        <v>75000</v>
      </c>
      <c r="M30" t="str">
        <f>IF(H30&gt;L30, "Y", "Not covered")</f>
        <v>Not covered</v>
      </c>
      <c r="N30" t="str">
        <f>_xlfn.CONCAT(B30, F30, D30, UPPER(LEFT(J30, 3)), RIGHT(A30, 3))</f>
        <v>FD09FCSBLA008</v>
      </c>
    </row>
    <row r="31" spans="1:14" x14ac:dyDescent="0.3">
      <c r="A31" t="s">
        <v>66</v>
      </c>
      <c r="B31" t="str">
        <f>LEFT(A31, 2)</f>
        <v>HO</v>
      </c>
      <c r="C31" t="str">
        <f>VLOOKUP(B31, B$55:C$60, 2)</f>
        <v>Honada</v>
      </c>
      <c r="D31" t="str">
        <f>MID(A31, 5, 3)</f>
        <v>CIV</v>
      </c>
      <c r="E31" t="str">
        <f>VLOOKUP(D31, D$55:E$65, 2)</f>
        <v>Civic</v>
      </c>
      <c r="F31" t="str">
        <f>MID(A31, 3, 2)</f>
        <v>10</v>
      </c>
      <c r="G31">
        <f>IF(14-F31&lt;0, 100-F31+14, 14-F31)</f>
        <v>4</v>
      </c>
      <c r="H31">
        <v>33477.199999999997</v>
      </c>
      <c r="I31" s="2">
        <f>H31/(G31 + 0.5)</f>
        <v>7439.3777777777768</v>
      </c>
      <c r="J31" t="s">
        <v>15</v>
      </c>
      <c r="K31" t="s">
        <v>52</v>
      </c>
      <c r="L31">
        <v>75000</v>
      </c>
      <c r="M31" t="str">
        <f>IF(H31&gt;L31, "Y", "Not covered")</f>
        <v>Not covered</v>
      </c>
      <c r="N31" t="str">
        <f>_xlfn.CONCAT(B31, F31, D31, UPPER(LEFT(J31, 3)), RIGHT(A31, 3))</f>
        <v>HO10CIVBLA033</v>
      </c>
    </row>
    <row r="32" spans="1:14" x14ac:dyDescent="0.3">
      <c r="A32" t="s">
        <v>44</v>
      </c>
      <c r="B32" t="str">
        <f>LEFT(A32, 2)</f>
        <v>GM</v>
      </c>
      <c r="C32" t="str">
        <f>VLOOKUP(B32, B$55:C$60, 2)</f>
        <v>General Motor</v>
      </c>
      <c r="D32" t="str">
        <f>MID(A32, 5, 3)</f>
        <v>SLV</v>
      </c>
      <c r="E32" t="str">
        <f>VLOOKUP(D32, D$55:E$65, 2)</f>
        <v>Silverado</v>
      </c>
      <c r="F32" t="str">
        <f>MID(A32, 3, 2)</f>
        <v>10</v>
      </c>
      <c r="G32">
        <f>IF(14-F32&lt;0, 100-F32+14, 14-F32)</f>
        <v>4</v>
      </c>
      <c r="H32">
        <v>31144.400000000001</v>
      </c>
      <c r="I32" s="2">
        <f>H32/(G32 + 0.5)</f>
        <v>6920.9777777777781</v>
      </c>
      <c r="J32" t="s">
        <v>15</v>
      </c>
      <c r="K32" t="s">
        <v>45</v>
      </c>
      <c r="L32">
        <v>100000</v>
      </c>
      <c r="M32" t="str">
        <f>IF(H32&gt;L32, "Y", "Not covered")</f>
        <v>Not covered</v>
      </c>
      <c r="N32" t="str">
        <f>_xlfn.CONCAT(B32, F32, D32, UPPER(LEFT(J32, 3)), RIGHT(A32, 3))</f>
        <v>GM10SLVBLA017</v>
      </c>
    </row>
    <row r="33" spans="1:14" x14ac:dyDescent="0.3">
      <c r="A33" t="s">
        <v>67</v>
      </c>
      <c r="B33" t="str">
        <f>LEFT(A33, 2)</f>
        <v>HO</v>
      </c>
      <c r="C33" t="str">
        <f>VLOOKUP(B33, B$55:C$60, 2)</f>
        <v>Honada</v>
      </c>
      <c r="D33" t="str">
        <f>MID(A33, 5, 3)</f>
        <v>CIV</v>
      </c>
      <c r="E33" t="str">
        <f>VLOOKUP(D33, D$55:E$65, 2)</f>
        <v>Civic</v>
      </c>
      <c r="F33" t="str">
        <f>MID(A33, 3, 2)</f>
        <v>11</v>
      </c>
      <c r="G33">
        <f>IF(14-F33&lt;0, 100-F33+14, 14-F33)</f>
        <v>3</v>
      </c>
      <c r="H33">
        <v>30555.3</v>
      </c>
      <c r="I33" s="2">
        <f>H33/(G33 + 0.5)</f>
        <v>8730.0857142857149</v>
      </c>
      <c r="J33" t="s">
        <v>15</v>
      </c>
      <c r="K33" t="s">
        <v>22</v>
      </c>
      <c r="L33">
        <v>75000</v>
      </c>
      <c r="M33" t="str">
        <f>IF(H33&gt;L33, "Y", "Not covered")</f>
        <v>Not covered</v>
      </c>
      <c r="N33" t="str">
        <f>_xlfn.CONCAT(B33, F33, D33, UPPER(LEFT(J33, 3)), RIGHT(A33, 3))</f>
        <v>HO11CIVBLA034</v>
      </c>
    </row>
    <row r="34" spans="1:14" x14ac:dyDescent="0.3">
      <c r="A34" t="s">
        <v>61</v>
      </c>
      <c r="B34" t="str">
        <f>LEFT(A34, 2)</f>
        <v>TY</v>
      </c>
      <c r="C34" t="str">
        <f>VLOOKUP(B34, B$55:C$60, 2)</f>
        <v>Toyota</v>
      </c>
      <c r="D34" t="str">
        <f>MID(A34, 5, 3)</f>
        <v>COR</v>
      </c>
      <c r="E34" t="str">
        <f>VLOOKUP(D34, D$55:E$65, 2)</f>
        <v>Corolla</v>
      </c>
      <c r="F34" t="str">
        <f>MID(A34, 3, 2)</f>
        <v>12</v>
      </c>
      <c r="G34">
        <f>IF(14-F34&lt;0, 100-F34+14, 14-F34)</f>
        <v>2</v>
      </c>
      <c r="H34">
        <v>29601.9</v>
      </c>
      <c r="I34" s="2">
        <f>H34/(G34 + 0.5)</f>
        <v>11840.76</v>
      </c>
      <c r="J34" t="s">
        <v>15</v>
      </c>
      <c r="K34" t="s">
        <v>39</v>
      </c>
      <c r="L34">
        <v>100000</v>
      </c>
      <c r="M34" t="str">
        <f>IF(H34&gt;L34, "Y", "Not covered")</f>
        <v>Not covered</v>
      </c>
      <c r="N34" t="str">
        <f>_xlfn.CONCAT(B34, F34, D34, UPPER(LEFT(J34, 3)), RIGHT(A34, 3))</f>
        <v>TY12CORBLA028</v>
      </c>
    </row>
    <row r="35" spans="1:14" x14ac:dyDescent="0.3">
      <c r="A35" t="s">
        <v>79</v>
      </c>
      <c r="B35" t="str">
        <f>LEFT(A35, 2)</f>
        <v>HY</v>
      </c>
      <c r="C35" t="str">
        <f>VLOOKUP(B35, B$55:C$60, 2)</f>
        <v>Hundai</v>
      </c>
      <c r="D35" t="str">
        <f>MID(A35, 5, 3)</f>
        <v>ELA</v>
      </c>
      <c r="E35" t="str">
        <f>VLOOKUP(D35, D$55:E$65, 2)</f>
        <v>Elantra</v>
      </c>
      <c r="F35" t="str">
        <f>MID(A35, 3, 2)</f>
        <v>11</v>
      </c>
      <c r="G35">
        <f>IF(14-F35&lt;0, 100-F35+14, 14-F35)</f>
        <v>3</v>
      </c>
      <c r="H35">
        <v>29102.3</v>
      </c>
      <c r="I35" s="2">
        <f>H35/(G35 + 0.5)</f>
        <v>8314.9428571428562</v>
      </c>
      <c r="J35" t="s">
        <v>15</v>
      </c>
      <c r="K35" t="s">
        <v>43</v>
      </c>
      <c r="L35">
        <v>100000</v>
      </c>
      <c r="M35" t="str">
        <f>IF(H35&gt;L35, "Y", "Not covered")</f>
        <v>Not covered</v>
      </c>
      <c r="N35" t="str">
        <f>_xlfn.CONCAT(B35, F35, D35, UPPER(LEFT(J35, 3)), RIGHT(A35, 3))</f>
        <v>HY11ELABLA049</v>
      </c>
    </row>
    <row r="36" spans="1:14" x14ac:dyDescent="0.3">
      <c r="A36" t="s">
        <v>117</v>
      </c>
      <c r="B36" t="str">
        <f>LEFT(A36, 2)</f>
        <v>GM</v>
      </c>
      <c r="C36" t="str">
        <f>VLOOKUP(B36, B$55:C$60, 2)</f>
        <v>General Motor</v>
      </c>
      <c r="D36" t="str">
        <f>MID(A36, 5, 3)</f>
        <v>CMR</v>
      </c>
      <c r="E36" t="str">
        <f>VLOOKUP(D36, D$55:E$65, 2)</f>
        <v>Camero</v>
      </c>
      <c r="F36" t="str">
        <f>MID(A36, 3, 2)</f>
        <v>09</v>
      </c>
      <c r="G36">
        <f>IF(14-F36&lt;0, 100-F36+14, 14-F36)</f>
        <v>5</v>
      </c>
      <c r="H36">
        <v>28464.799999999999</v>
      </c>
      <c r="I36" s="2">
        <f>H36/(G36 + 0.5)</f>
        <v>5175.4181818181814</v>
      </c>
      <c r="J36" t="s">
        <v>18</v>
      </c>
      <c r="K36" t="s">
        <v>39</v>
      </c>
      <c r="L36">
        <v>100000</v>
      </c>
      <c r="M36" t="str">
        <f>IF(H36&gt;L36, "Y", "Not covered")</f>
        <v>Not covered</v>
      </c>
      <c r="N36" t="str">
        <f>_xlfn.CONCAT(B36, F36, D36, UPPER(LEFT(J36, 3)), RIGHT(A36, 3))</f>
        <v>GM09CMRWHI014</v>
      </c>
    </row>
    <row r="37" spans="1:14" x14ac:dyDescent="0.3">
      <c r="A37" t="s">
        <v>30</v>
      </c>
      <c r="B37" t="str">
        <f>LEFT(A37, 2)</f>
        <v>FD</v>
      </c>
      <c r="C37" t="str">
        <f>VLOOKUP(B37, B$55:C$60, 2)</f>
        <v>Ford</v>
      </c>
      <c r="D37" t="str">
        <f>MID(A37, 5, 3)</f>
        <v>FCS</v>
      </c>
      <c r="E37" t="str">
        <f>VLOOKUP(D37, D$55:E$65, 2)</f>
        <v>Focus</v>
      </c>
      <c r="F37" t="str">
        <f>MID(A37, 3, 2)</f>
        <v>13</v>
      </c>
      <c r="G37">
        <f>IF(14-F37&lt;0, 100-F37+14, 14-F37)</f>
        <v>1</v>
      </c>
      <c r="H37">
        <v>27637.1</v>
      </c>
      <c r="I37" s="2">
        <f>H37/(G37 + 0.5)</f>
        <v>18424.733333333334</v>
      </c>
      <c r="J37" t="s">
        <v>15</v>
      </c>
      <c r="K37" t="s">
        <v>16</v>
      </c>
      <c r="L37">
        <v>75000</v>
      </c>
      <c r="M37" t="str">
        <f>IF(H37&gt;L37, "Y", "Not covered")</f>
        <v>Not covered</v>
      </c>
      <c r="N37" t="str">
        <f>_xlfn.CONCAT(B37, F37, D37, UPPER(LEFT(J37, 3)), RIGHT(A37, 3))</f>
        <v>FD13FCSBLA009</v>
      </c>
    </row>
    <row r="38" spans="1:14" x14ac:dyDescent="0.3">
      <c r="A38" t="s">
        <v>31</v>
      </c>
      <c r="B38" t="str">
        <f>LEFT(A38, 2)</f>
        <v>FD</v>
      </c>
      <c r="C38" t="str">
        <f>VLOOKUP(B38, B$55:C$60, 2)</f>
        <v>Ford</v>
      </c>
      <c r="D38" t="str">
        <f>MID(A38, 5, 3)</f>
        <v>FCS</v>
      </c>
      <c r="E38" t="str">
        <f>VLOOKUP(D38, D$55:E$65, 2)</f>
        <v>Focus</v>
      </c>
      <c r="F38" t="str">
        <f>MID(A38, 3, 2)</f>
        <v>13</v>
      </c>
      <c r="G38">
        <f>IF(14-F38&lt;0, 100-F38+14, 14-F38)</f>
        <v>1</v>
      </c>
      <c r="H38">
        <v>27534.799999999999</v>
      </c>
      <c r="I38" s="2">
        <f>H38/(G38 + 0.5)</f>
        <v>18356.533333333333</v>
      </c>
      <c r="J38" t="s">
        <v>18</v>
      </c>
      <c r="K38" t="s">
        <v>32</v>
      </c>
      <c r="L38">
        <v>75000</v>
      </c>
      <c r="M38" t="str">
        <f>IF(H38&gt;L38, "Y", "Not covered")</f>
        <v>Not covered</v>
      </c>
      <c r="N38" t="str">
        <f>_xlfn.CONCAT(B38, F38, D38, UPPER(LEFT(J38, 3)), RIGHT(A38, 3))</f>
        <v>FD13FCSWHI010</v>
      </c>
    </row>
    <row r="39" spans="1:14" x14ac:dyDescent="0.3">
      <c r="A39" t="s">
        <v>74</v>
      </c>
      <c r="B39" t="str">
        <f>LEFT(A39, 2)</f>
        <v>CR</v>
      </c>
      <c r="C39" t="str">
        <f>VLOOKUP(B39, B$55:C$60, 2)</f>
        <v>Corolla</v>
      </c>
      <c r="D39" t="str">
        <f>MID(A39, 5, 3)</f>
        <v>PTC</v>
      </c>
      <c r="E39" t="str">
        <f>VLOOKUP(D39, D$55:E$65, 2)</f>
        <v>PT Cruiser</v>
      </c>
      <c r="F39" t="str">
        <f>MID(A39, 3, 2)</f>
        <v>11</v>
      </c>
      <c r="G39">
        <f>IF(14-F39&lt;0, 100-F39+14, 14-F39)</f>
        <v>3</v>
      </c>
      <c r="H39">
        <v>27394.2</v>
      </c>
      <c r="I39" s="2">
        <f>H39/(G39 + 0.5)</f>
        <v>7826.9142857142861</v>
      </c>
      <c r="J39" t="s">
        <v>15</v>
      </c>
      <c r="K39" t="s">
        <v>36</v>
      </c>
      <c r="L39">
        <v>75000</v>
      </c>
      <c r="M39" t="str">
        <f>IF(H39&gt;L39, "Y", "Not covered")</f>
        <v>Not covered</v>
      </c>
      <c r="N39" t="str">
        <f>_xlfn.CONCAT(B39, F39, D39, UPPER(LEFT(J39, 3)), RIGHT(A39, 3))</f>
        <v>CR11PTCBLA044</v>
      </c>
    </row>
    <row r="40" spans="1:14" x14ac:dyDescent="0.3">
      <c r="A40" t="s">
        <v>68</v>
      </c>
      <c r="B40" t="str">
        <f>LEFT(A40, 2)</f>
        <v>HO</v>
      </c>
      <c r="C40" t="str">
        <f>VLOOKUP(B40, B$55:C$60, 2)</f>
        <v>Honada</v>
      </c>
      <c r="D40" t="str">
        <f>MID(A40, 5, 3)</f>
        <v>CIV</v>
      </c>
      <c r="E40" t="str">
        <f>VLOOKUP(D40, D$55:E$65, 2)</f>
        <v>Civic</v>
      </c>
      <c r="F40" t="str">
        <f>MID(A40, 3, 2)</f>
        <v>12</v>
      </c>
      <c r="G40">
        <f>IF(14-F40&lt;0, 100-F40+14, 14-F40)</f>
        <v>2</v>
      </c>
      <c r="H40">
        <v>24513.200000000001</v>
      </c>
      <c r="I40" s="2">
        <f>H40/(G40 + 0.5)</f>
        <v>9805.2800000000007</v>
      </c>
      <c r="J40" t="s">
        <v>15</v>
      </c>
      <c r="K40" t="s">
        <v>45</v>
      </c>
      <c r="L40">
        <v>75000</v>
      </c>
      <c r="M40" t="str">
        <f>IF(H40&gt;L40, "Y", "Not covered")</f>
        <v>Not covered</v>
      </c>
      <c r="N40" t="str">
        <f>_xlfn.CONCAT(B40, F40, D40, UPPER(LEFT(J40, 3)), RIGHT(A40, 3))</f>
        <v>HO12CIVBLA035</v>
      </c>
    </row>
    <row r="41" spans="1:14" x14ac:dyDescent="0.3">
      <c r="A41" t="s">
        <v>65</v>
      </c>
      <c r="B41" t="str">
        <f>LEFT(A41, 2)</f>
        <v>HO</v>
      </c>
      <c r="C41" t="str">
        <f>VLOOKUP(B41, B$55:C$60, 2)</f>
        <v>Honada</v>
      </c>
      <c r="D41" t="str">
        <f>MID(A41, 5, 3)</f>
        <v>CIV</v>
      </c>
      <c r="E41" t="str">
        <f>VLOOKUP(D41, D$55:E$65, 2)</f>
        <v>Civic</v>
      </c>
      <c r="F41" t="str">
        <f>MID(A41, 3, 2)</f>
        <v>10</v>
      </c>
      <c r="G41">
        <f>IF(14-F41&lt;0, 100-F41+14, 14-F41)</f>
        <v>4</v>
      </c>
      <c r="H41">
        <v>22573</v>
      </c>
      <c r="I41" s="2">
        <f>H41/(G41 + 0.5)</f>
        <v>5016.2222222222226</v>
      </c>
      <c r="J41" t="s">
        <v>48</v>
      </c>
      <c r="K41" t="s">
        <v>43</v>
      </c>
      <c r="L41">
        <v>75000</v>
      </c>
      <c r="M41" t="str">
        <f>IF(H41&gt;L41, "Y", "Not covered")</f>
        <v>Not covered</v>
      </c>
      <c r="N41" t="str">
        <f>_xlfn.CONCAT(B41, F41, D41, UPPER(LEFT(J41, 3)), RIGHT(A41, 3))</f>
        <v>HO10CIVBLU032</v>
      </c>
    </row>
    <row r="42" spans="1:14" x14ac:dyDescent="0.3">
      <c r="A42" t="s">
        <v>35</v>
      </c>
      <c r="B42" t="str">
        <f>LEFT(A42, 2)</f>
        <v>FD</v>
      </c>
      <c r="C42" t="str">
        <f>VLOOKUP(B42, B$55:C$60, 2)</f>
        <v>Ford</v>
      </c>
      <c r="D42" t="str">
        <f>MID(A42, 5, 3)</f>
        <v>FCS</v>
      </c>
      <c r="E42" t="str">
        <f>VLOOKUP(D42, D$55:E$65, 2)</f>
        <v>Focus</v>
      </c>
      <c r="F42" t="str">
        <f>MID(A42, 3, 2)</f>
        <v>13</v>
      </c>
      <c r="G42">
        <f>IF(14-F42&lt;0, 100-F42+14, 14-F42)</f>
        <v>1</v>
      </c>
      <c r="H42">
        <v>22521.599999999999</v>
      </c>
      <c r="I42" s="2">
        <f>H42/(G42 + 0.5)</f>
        <v>15014.4</v>
      </c>
      <c r="J42" t="s">
        <v>15</v>
      </c>
      <c r="K42" t="s">
        <v>36</v>
      </c>
      <c r="L42">
        <v>75000</v>
      </c>
      <c r="M42" t="str">
        <f>IF(H42&gt;L42, "Y", "Not covered")</f>
        <v>Not covered</v>
      </c>
      <c r="N42" t="str">
        <f>_xlfn.CONCAT(B42, F42, D42, UPPER(LEFT(J42, 3)), RIGHT(A42, 3))</f>
        <v>FD13FCSBLA012</v>
      </c>
    </row>
    <row r="43" spans="1:14" x14ac:dyDescent="0.3">
      <c r="A43" t="s">
        <v>80</v>
      </c>
      <c r="B43" t="str">
        <f>LEFT(A43, 2)</f>
        <v>HY</v>
      </c>
      <c r="C43" t="str">
        <f>VLOOKUP(B43, B$55:C$60, 2)</f>
        <v>Hundai</v>
      </c>
      <c r="D43" t="str">
        <f>MID(A43, 5, 3)</f>
        <v>ELA</v>
      </c>
      <c r="E43" t="str">
        <f>VLOOKUP(D43, D$55:E$65, 2)</f>
        <v>Elantra</v>
      </c>
      <c r="F43" t="str">
        <f>MID(A43, 3, 2)</f>
        <v>12</v>
      </c>
      <c r="G43">
        <f>IF(14-F43&lt;0, 100-F43+14, 14-F43)</f>
        <v>2</v>
      </c>
      <c r="H43">
        <v>22282</v>
      </c>
      <c r="I43" s="2">
        <f>H43/(G43 + 0.5)</f>
        <v>8912.7999999999993</v>
      </c>
      <c r="J43" t="s">
        <v>48</v>
      </c>
      <c r="K43" t="s">
        <v>19</v>
      </c>
      <c r="L43">
        <v>100000</v>
      </c>
      <c r="M43" t="str">
        <f>IF(H43&gt;L43, "Y", "Not covered")</f>
        <v>Not covered</v>
      </c>
      <c r="N43" t="str">
        <f>_xlfn.CONCAT(B43, F43, D43, UPPER(LEFT(J43, 3)), RIGHT(A43, 3))</f>
        <v>HY12ELABLU050</v>
      </c>
    </row>
    <row r="44" spans="1:14" x14ac:dyDescent="0.3">
      <c r="A44" t="s">
        <v>82</v>
      </c>
      <c r="B44" t="str">
        <f>LEFT(A44, 2)</f>
        <v>HY</v>
      </c>
      <c r="C44" t="str">
        <f>VLOOKUP(B44, B$55:C$60, 2)</f>
        <v>Hundai</v>
      </c>
      <c r="D44" t="str">
        <f>MID(A44, 5, 3)</f>
        <v>ELA</v>
      </c>
      <c r="E44" t="str">
        <f>VLOOKUP(D44, D$55:E$65, 2)</f>
        <v>Elantra</v>
      </c>
      <c r="F44" t="str">
        <f>MID(A44, 3, 2)</f>
        <v>13</v>
      </c>
      <c r="G44">
        <f>IF(14-F44&lt;0, 100-F44+14, 14-F44)</f>
        <v>1</v>
      </c>
      <c r="H44">
        <v>22188.5</v>
      </c>
      <c r="I44" s="2">
        <f>H44/(G44 + 0.5)</f>
        <v>14792.333333333334</v>
      </c>
      <c r="J44" t="s">
        <v>48</v>
      </c>
      <c r="K44" t="s">
        <v>26</v>
      </c>
      <c r="L44">
        <v>100000</v>
      </c>
      <c r="M44" t="str">
        <f>IF(H44&gt;L44, "Y", "Not covered")</f>
        <v>Not covered</v>
      </c>
      <c r="N44" t="str">
        <f>_xlfn.CONCAT(B44, F44, D44, UPPER(LEFT(J44, 3)), RIGHT(A44, 3))</f>
        <v>HY13ELABLU052</v>
      </c>
    </row>
    <row r="45" spans="1:14" x14ac:dyDescent="0.3">
      <c r="A45" t="s">
        <v>62</v>
      </c>
      <c r="B45" t="str">
        <f>LEFT(A45, 2)</f>
        <v>TY</v>
      </c>
      <c r="C45" t="str">
        <f>VLOOKUP(B45, B$55:C$60, 2)</f>
        <v>Toyota</v>
      </c>
      <c r="D45" t="str">
        <f>MID(A45, 5, 3)</f>
        <v>CAM</v>
      </c>
      <c r="E45" t="str">
        <f>VLOOKUP(D45, D$55:E$65, 2)</f>
        <v>Camray</v>
      </c>
      <c r="F45" t="str">
        <f>MID(A45, 3, 2)</f>
        <v>12</v>
      </c>
      <c r="G45">
        <f>IF(14-F45&lt;0, 100-F45+14, 14-F45)</f>
        <v>2</v>
      </c>
      <c r="H45">
        <v>22128.2</v>
      </c>
      <c r="I45" s="2">
        <f>H45/(G45 + 0.5)</f>
        <v>8851.2800000000007</v>
      </c>
      <c r="J45" t="s">
        <v>48</v>
      </c>
      <c r="K45" t="s">
        <v>50</v>
      </c>
      <c r="L45">
        <v>100000</v>
      </c>
      <c r="M45" t="str">
        <f>IF(H45&gt;L45, "Y", "Not covered")</f>
        <v>Not covered</v>
      </c>
      <c r="N45" t="str">
        <f>_xlfn.CONCAT(B45, F45, D45, UPPER(LEFT(J45, 3)), RIGHT(A45, 3))</f>
        <v>TY12CAMBLU029</v>
      </c>
    </row>
    <row r="46" spans="1:14" x14ac:dyDescent="0.3">
      <c r="A46" t="s">
        <v>81</v>
      </c>
      <c r="B46" t="str">
        <f>LEFT(A46, 2)</f>
        <v>HY</v>
      </c>
      <c r="C46" t="str">
        <f>VLOOKUP(B46, B$55:C$60, 2)</f>
        <v>Hundai</v>
      </c>
      <c r="D46" t="str">
        <f>MID(A46, 5, 3)</f>
        <v>ELA</v>
      </c>
      <c r="E46" t="str">
        <f>VLOOKUP(D46, D$55:E$65, 2)</f>
        <v>Elantra</v>
      </c>
      <c r="F46" t="str">
        <f>MID(A46, 3, 2)</f>
        <v>13</v>
      </c>
      <c r="G46">
        <f>IF(14-F46&lt;0, 100-F46+14, 14-F46)</f>
        <v>1</v>
      </c>
      <c r="H46">
        <v>20223.900000000001</v>
      </c>
      <c r="I46" s="2">
        <f>H46/(G46 + 0.5)</f>
        <v>13482.6</v>
      </c>
      <c r="J46" t="s">
        <v>15</v>
      </c>
      <c r="K46" t="s">
        <v>32</v>
      </c>
      <c r="L46">
        <v>100000</v>
      </c>
      <c r="M46" t="str">
        <f>IF(H46&gt;L46, "Y", "Not covered")</f>
        <v>Not covered</v>
      </c>
      <c r="N46" t="str">
        <f>_xlfn.CONCAT(B46, F46, D46, UPPER(LEFT(J46, 3)), RIGHT(A46, 3))</f>
        <v>HY13ELABLA051</v>
      </c>
    </row>
    <row r="47" spans="1:14" x14ac:dyDescent="0.3">
      <c r="A47" t="s">
        <v>40</v>
      </c>
      <c r="B47" t="str">
        <f>LEFT(A47, 2)</f>
        <v>GM</v>
      </c>
      <c r="C47" t="str">
        <f>VLOOKUP(B47, B$55:C$60, 2)</f>
        <v>General Motor</v>
      </c>
      <c r="D47" t="str">
        <f>MID(A47, 5, 3)</f>
        <v>CMR</v>
      </c>
      <c r="E47" t="str">
        <f>VLOOKUP(D47, D$55:E$65, 2)</f>
        <v>Camero</v>
      </c>
      <c r="F47" t="str">
        <f>MID(A47, 3, 2)</f>
        <v>12</v>
      </c>
      <c r="G47">
        <f>IF(14-F47&lt;0, 100-F47+14, 14-F47)</f>
        <v>2</v>
      </c>
      <c r="H47">
        <v>19421.099999999999</v>
      </c>
      <c r="I47" s="2">
        <f>H47/(G47 + 0.5)</f>
        <v>7768.44</v>
      </c>
      <c r="J47" t="s">
        <v>15</v>
      </c>
      <c r="K47" t="s">
        <v>41</v>
      </c>
      <c r="L47">
        <v>100000</v>
      </c>
      <c r="M47" t="str">
        <f>IF(H47&gt;L47, "Y", "Not covered")</f>
        <v>Not covered</v>
      </c>
      <c r="N47" t="str">
        <f>_xlfn.CONCAT(B47, F47, D47, UPPER(LEFT(J47, 3)), RIGHT(A47, 3))</f>
        <v>GM12CMRBLA015</v>
      </c>
    </row>
    <row r="48" spans="1:14" x14ac:dyDescent="0.3">
      <c r="A48" t="s">
        <v>33</v>
      </c>
      <c r="B48" t="str">
        <f>LEFT(A48, 2)</f>
        <v>FD</v>
      </c>
      <c r="C48" t="str">
        <f>VLOOKUP(B48, B$55:C$60, 2)</f>
        <v>Ford</v>
      </c>
      <c r="D48" t="str">
        <f>MID(A48, 5, 3)</f>
        <v>FCS</v>
      </c>
      <c r="E48" t="str">
        <f>VLOOKUP(D48, D$55:E$65, 2)</f>
        <v>Focus</v>
      </c>
      <c r="F48" t="str">
        <f>MID(A48, 3, 2)</f>
        <v>12</v>
      </c>
      <c r="G48">
        <f>IF(14-F48&lt;0, 100-F48+14, 14-F48)</f>
        <v>2</v>
      </c>
      <c r="H48">
        <v>19341.7</v>
      </c>
      <c r="I48" s="2">
        <f>H48/(G48 + 0.5)</f>
        <v>7736.68</v>
      </c>
      <c r="J48" t="s">
        <v>18</v>
      </c>
      <c r="K48" t="s">
        <v>34</v>
      </c>
      <c r="L48">
        <v>75000</v>
      </c>
      <c r="M48" t="str">
        <f>IF(H48&gt;L48, "Y", "Not covered")</f>
        <v>Not covered</v>
      </c>
      <c r="N48" t="str">
        <f>_xlfn.CONCAT(B48, F48, D48, UPPER(LEFT(J48, 3)), RIGHT(A48, 3))</f>
        <v>FD12FCSWHI011</v>
      </c>
    </row>
    <row r="49" spans="1:14" x14ac:dyDescent="0.3">
      <c r="A49" t="s">
        <v>60</v>
      </c>
      <c r="B49" t="str">
        <f>LEFT(A49, 2)</f>
        <v>TY</v>
      </c>
      <c r="C49" t="str">
        <f>VLOOKUP(B49, B$55:C$60, 2)</f>
        <v>Toyota</v>
      </c>
      <c r="D49" t="str">
        <f>MID(A49, 5, 3)</f>
        <v>COR</v>
      </c>
      <c r="E49" t="str">
        <f>VLOOKUP(D49, D$55:E$65, 2)</f>
        <v>Corolla</v>
      </c>
      <c r="F49" t="str">
        <f>MID(A49, 3, 2)</f>
        <v>14</v>
      </c>
      <c r="G49">
        <f>IF(14-F49&lt;0, 100-F49+14, 14-F49)</f>
        <v>0</v>
      </c>
      <c r="H49">
        <v>17556.3</v>
      </c>
      <c r="I49" s="2">
        <f>H49/(G49 + 0.5)</f>
        <v>35112.6</v>
      </c>
      <c r="J49" t="s">
        <v>48</v>
      </c>
      <c r="K49" t="s">
        <v>32</v>
      </c>
      <c r="L49">
        <v>100000</v>
      </c>
      <c r="M49" t="str">
        <f>IF(H49&gt;L49, "Y", "Not covered")</f>
        <v>Not covered</v>
      </c>
      <c r="N49" t="str">
        <f>_xlfn.CONCAT(B49, F49, D49, UPPER(LEFT(J49, 3)), RIGHT(A49, 3))</f>
        <v>TY14CORBLU027</v>
      </c>
    </row>
    <row r="50" spans="1:14" x14ac:dyDescent="0.3">
      <c r="A50" t="s">
        <v>42</v>
      </c>
      <c r="B50" t="str">
        <f>LEFT(A50, 2)</f>
        <v>GM</v>
      </c>
      <c r="C50" t="str">
        <f>VLOOKUP(B50, B$55:C$60, 2)</f>
        <v>General Motor</v>
      </c>
      <c r="D50" t="str">
        <f>MID(A50, 5, 3)</f>
        <v>CMR</v>
      </c>
      <c r="E50" t="str">
        <f>VLOOKUP(D50, D$55:E$65, 2)</f>
        <v>Camero</v>
      </c>
      <c r="F50" t="str">
        <f>MID(A50, 3, 2)</f>
        <v>14</v>
      </c>
      <c r="G50">
        <f>IF(14-F50&lt;0, 100-F50+14, 14-F50)</f>
        <v>0</v>
      </c>
      <c r="H50">
        <v>14289.6</v>
      </c>
      <c r="I50" s="2">
        <f>H50/(G50 + 0.5)</f>
        <v>28579.200000000001</v>
      </c>
      <c r="J50" t="s">
        <v>18</v>
      </c>
      <c r="K50" t="s">
        <v>43</v>
      </c>
      <c r="L50">
        <v>100000</v>
      </c>
      <c r="M50" t="str">
        <f>IF(H50&gt;L50, "Y", "Not covered")</f>
        <v>Not covered</v>
      </c>
      <c r="N50" t="str">
        <f>_xlfn.CONCAT(B50, F50, D50, UPPER(LEFT(J50, 3)), RIGHT(A50, 3))</f>
        <v>GM14CMRWHI016</v>
      </c>
    </row>
    <row r="51" spans="1:14" x14ac:dyDescent="0.3">
      <c r="A51" t="s">
        <v>119</v>
      </c>
      <c r="B51" t="str">
        <f>LEFT(A51, 2)</f>
        <v>H0</v>
      </c>
      <c r="C51" t="str">
        <f>VLOOKUP(B51, B$55:C$60, 2)</f>
        <v>General Motor</v>
      </c>
      <c r="D51" t="str">
        <f>MID(A51, 5, 3)</f>
        <v>CIV</v>
      </c>
      <c r="E51" t="str">
        <f>VLOOKUP(D51, D$55:E$65, 2)</f>
        <v>Civic</v>
      </c>
      <c r="F51" t="str">
        <f>MID(A51, 3, 2)</f>
        <v>13</v>
      </c>
      <c r="G51">
        <f>IF(14-F51&lt;0, 100-F51+14, 14-F51)</f>
        <v>1</v>
      </c>
      <c r="H51">
        <v>13867.6</v>
      </c>
      <c r="I51" s="2">
        <f>H51/(G51 + 0.5)</f>
        <v>9245.0666666666675</v>
      </c>
      <c r="J51" t="s">
        <v>15</v>
      </c>
      <c r="K51" t="s">
        <v>50</v>
      </c>
      <c r="L51">
        <v>75000</v>
      </c>
      <c r="M51" t="str">
        <f>IF(H51&gt;L51, "Y", "Not covered")</f>
        <v>Not covered</v>
      </c>
      <c r="N51" t="str">
        <f>_xlfn.CONCAT(B51, F51, D51, UPPER(LEFT(J51, 3)), RIGHT(A51, 3))</f>
        <v>H013CIVBLA036</v>
      </c>
    </row>
    <row r="52" spans="1:14" x14ac:dyDescent="0.3">
      <c r="A52" t="s">
        <v>37</v>
      </c>
      <c r="B52" t="str">
        <f>LEFT(A52, 2)</f>
        <v>FD</v>
      </c>
      <c r="C52" t="str">
        <f>VLOOKUP(B52, B$55:C$60, 2)</f>
        <v>Ford</v>
      </c>
      <c r="D52" t="str">
        <f>MID(A52, 5, 3)</f>
        <v>FCS</v>
      </c>
      <c r="E52" t="str">
        <f>VLOOKUP(D52, D$55:E$65, 2)</f>
        <v>Focus</v>
      </c>
      <c r="F52" t="str">
        <f>MID(A52, 3, 2)</f>
        <v>13</v>
      </c>
      <c r="G52">
        <f>IF(14-F52&lt;0, 100-F52+14, 14-F52)</f>
        <v>1</v>
      </c>
      <c r="H52">
        <v>13682.9</v>
      </c>
      <c r="I52" s="2">
        <f>H52/(G52 + 0.5)</f>
        <v>9121.9333333333325</v>
      </c>
      <c r="J52" t="s">
        <v>15</v>
      </c>
      <c r="K52" t="s">
        <v>38</v>
      </c>
      <c r="L52">
        <v>75000</v>
      </c>
      <c r="M52" t="str">
        <f>IF(H52&gt;L52, "Y", "Not covered")</f>
        <v>Not covered</v>
      </c>
      <c r="N52" t="str">
        <f>_xlfn.CONCAT(B52, F52, D52, UPPER(LEFT(J52, 3)), RIGHT(A52, 3))</f>
        <v>FD13FCSBLA013</v>
      </c>
    </row>
    <row r="53" spans="1:14" x14ac:dyDescent="0.3">
      <c r="A53" t="s">
        <v>71</v>
      </c>
      <c r="B53" t="str">
        <f>LEFT(A53, 2)</f>
        <v>HO</v>
      </c>
      <c r="C53" t="str">
        <f>VLOOKUP(B53, B$55:C$60, 2)</f>
        <v>Honada</v>
      </c>
      <c r="D53" t="str">
        <f>MID(A53, 5, 3)</f>
        <v>ODY</v>
      </c>
      <c r="E53" t="str">
        <f>VLOOKUP(D53, D$55:E$65, 2)</f>
        <v>Odessy</v>
      </c>
      <c r="F53" t="str">
        <f>MID(A53, 3, 2)</f>
        <v>14</v>
      </c>
      <c r="G53">
        <f>IF(14-F53&lt;0, 100-F53+14, 14-F53)</f>
        <v>0</v>
      </c>
      <c r="H53">
        <v>3708.1</v>
      </c>
      <c r="I53" s="2">
        <f>H53/(G53 + 0.5)</f>
        <v>7416.2</v>
      </c>
      <c r="J53" t="s">
        <v>15</v>
      </c>
      <c r="K53" t="s">
        <v>19</v>
      </c>
      <c r="L53">
        <v>100000</v>
      </c>
      <c r="M53" t="str">
        <f>IF(H53&gt;L53, "Y", "Not covered")</f>
        <v>Not covered</v>
      </c>
      <c r="N53" t="str">
        <f>_xlfn.CONCAT(B53, F53, D53, UPPER(LEFT(J53, 3)), RIGHT(A53, 3))</f>
        <v>HO14ODYBLA041</v>
      </c>
    </row>
    <row r="55" spans="1:14" x14ac:dyDescent="0.3">
      <c r="B55" t="s">
        <v>87</v>
      </c>
      <c r="C55" t="s">
        <v>92</v>
      </c>
      <c r="D55" t="s">
        <v>100</v>
      </c>
      <c r="E55" t="s">
        <v>111</v>
      </c>
    </row>
    <row r="56" spans="1:14" x14ac:dyDescent="0.3">
      <c r="B56" t="s">
        <v>83</v>
      </c>
      <c r="C56" t="s">
        <v>89</v>
      </c>
      <c r="D56" t="s">
        <v>105</v>
      </c>
      <c r="E56" t="s">
        <v>115</v>
      </c>
    </row>
    <row r="57" spans="1:14" x14ac:dyDescent="0.3">
      <c r="B57" t="s">
        <v>84</v>
      </c>
      <c r="C57" t="s">
        <v>90</v>
      </c>
      <c r="D57" t="s">
        <v>102</v>
      </c>
      <c r="E57" t="s">
        <v>112</v>
      </c>
    </row>
    <row r="58" spans="1:14" x14ac:dyDescent="0.3">
      <c r="B58" t="s">
        <v>86</v>
      </c>
      <c r="C58" t="s">
        <v>91</v>
      </c>
      <c r="D58" t="s">
        <v>98</v>
      </c>
      <c r="E58" t="s">
        <v>109</v>
      </c>
    </row>
    <row r="59" spans="1:14" x14ac:dyDescent="0.3">
      <c r="B59" t="s">
        <v>88</v>
      </c>
      <c r="C59" t="s">
        <v>94</v>
      </c>
      <c r="D59" t="s">
        <v>101</v>
      </c>
      <c r="E59" t="s">
        <v>92</v>
      </c>
    </row>
    <row r="60" spans="1:14" x14ac:dyDescent="0.3">
      <c r="B60" t="s">
        <v>85</v>
      </c>
      <c r="C60" t="s">
        <v>93</v>
      </c>
      <c r="D60" t="s">
        <v>106</v>
      </c>
      <c r="E60" t="s">
        <v>116</v>
      </c>
    </row>
    <row r="61" spans="1:14" x14ac:dyDescent="0.3">
      <c r="D61" t="s">
        <v>97</v>
      </c>
      <c r="E61" t="s">
        <v>108</v>
      </c>
    </row>
    <row r="62" spans="1:14" x14ac:dyDescent="0.3">
      <c r="D62" t="s">
        <v>96</v>
      </c>
      <c r="E62" t="s">
        <v>107</v>
      </c>
    </row>
    <row r="63" spans="1:14" x14ac:dyDescent="0.3">
      <c r="D63" t="s">
        <v>103</v>
      </c>
      <c r="E63" t="s">
        <v>113</v>
      </c>
    </row>
    <row r="64" spans="1:14" x14ac:dyDescent="0.3">
      <c r="D64" t="s">
        <v>104</v>
      </c>
      <c r="E64" t="s">
        <v>114</v>
      </c>
    </row>
    <row r="65" spans="4:5" x14ac:dyDescent="0.3">
      <c r="D65" t="s">
        <v>99</v>
      </c>
      <c r="E65" t="s">
        <v>110</v>
      </c>
    </row>
  </sheetData>
  <sortState xmlns:xlrd2="http://schemas.microsoft.com/office/spreadsheetml/2017/richdata2" ref="A1:N53">
    <sortCondition descending="1" ref="H1:H53"/>
  </sortState>
  <conditionalFormatting sqref="H1:H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car-inventory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2026-08-17T08:41:51Z</dcterms:created>
  <dcterms:modified xsi:type="dcterms:W3CDTF">2026-08-18T08:16:10Z</dcterms:modified>
</cp:coreProperties>
</file>