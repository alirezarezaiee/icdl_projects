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9F28B817-8BB2-4A6B-B5F1-74761179DE3D}" xr6:coauthVersionLast="47" xr6:coauthVersionMax="47" xr10:uidLastSave="{00000000-0000-0000-0000-000000000000}"/>
  <bookViews>
    <workbookView xWindow="24" yWindow="24" windowWidth="23016" windowHeight="12216" xr2:uid="{E57D46B5-B95C-46A1-975E-5190EFB49CD9}"/>
  </bookViews>
  <sheets>
    <sheet name="Sheet6" sheetId="7" r:id="rId1"/>
    <sheet name="Sheet1" sheetId="1" r:id="rId2"/>
  </sheets>
  <definedNames>
    <definedName name="_xlnm._FilterDatabase" localSheetId="1" hidden="1">Sheet1!$A$1:$K$50</definedName>
  </definedNames>
  <calcPr calcId="191029"/>
  <pivotCaches>
    <pivotCache cacheId="1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1" l="1"/>
  <c r="E53" i="1"/>
  <c r="E52" i="1"/>
  <c r="H17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2" i="1"/>
  <c r="H2" i="1" s="1"/>
</calcChain>
</file>

<file path=xl/sharedStrings.xml><?xml version="1.0" encoding="utf-8"?>
<sst xmlns="http://schemas.openxmlformats.org/spreadsheetml/2006/main" count="274" uniqueCount="54">
  <si>
    <t>month</t>
  </si>
  <si>
    <t>transaction number</t>
  </si>
  <si>
    <t>product code</t>
  </si>
  <si>
    <t xml:space="preserve">product description </t>
  </si>
  <si>
    <t>store cost</t>
  </si>
  <si>
    <t xml:space="preserve">sales price </t>
  </si>
  <si>
    <t>profit</t>
  </si>
  <si>
    <t>comission 10% for items less than 50$. 20% for items more than 50%</t>
  </si>
  <si>
    <t>first name</t>
  </si>
  <si>
    <t>last name</t>
  </si>
  <si>
    <t>sales location</t>
  </si>
  <si>
    <t>Dec</t>
  </si>
  <si>
    <t>Aug</t>
  </si>
  <si>
    <t>Jul</t>
  </si>
  <si>
    <t>Mar</t>
  </si>
  <si>
    <t>Jan</t>
  </si>
  <si>
    <t>Feb</t>
  </si>
  <si>
    <t>pool cover</t>
  </si>
  <si>
    <t>net</t>
  </si>
  <si>
    <t>muratic acid</t>
  </si>
  <si>
    <t>hose</t>
  </si>
  <si>
    <t>water pump</t>
  </si>
  <si>
    <t>chlorine test kit</t>
  </si>
  <si>
    <t>skimmer</t>
  </si>
  <si>
    <t>autoVac</t>
  </si>
  <si>
    <t>Nemat</t>
  </si>
  <si>
    <t>Ali</t>
  </si>
  <si>
    <t>Laila</t>
  </si>
  <si>
    <t>Ehsan</t>
  </si>
  <si>
    <t>Omid</t>
  </si>
  <si>
    <t>Hassani</t>
  </si>
  <si>
    <t>Najafi</t>
  </si>
  <si>
    <t>Alawi</t>
  </si>
  <si>
    <t>Mohammadi</t>
  </si>
  <si>
    <t>CA</t>
  </si>
  <si>
    <t>NM</t>
  </si>
  <si>
    <t>AZ</t>
  </si>
  <si>
    <t>CO</t>
  </si>
  <si>
    <t>WA</t>
  </si>
  <si>
    <t>NJ</t>
  </si>
  <si>
    <t>NB</t>
  </si>
  <si>
    <t>text to columns</t>
  </si>
  <si>
    <t>if</t>
  </si>
  <si>
    <t>sumif</t>
  </si>
  <si>
    <t>sort</t>
  </si>
  <si>
    <t>filter</t>
  </si>
  <si>
    <t>pivot table</t>
  </si>
  <si>
    <t>pi chart</t>
  </si>
  <si>
    <t>sum of all items</t>
  </si>
  <si>
    <t>sum of items valued more than 50$</t>
  </si>
  <si>
    <t>sum of items valued less than or equal to 50$</t>
  </si>
  <si>
    <t>Row Labels</t>
  </si>
  <si>
    <t>Grand Total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</si>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</sst>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5"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report.xlsx]Sheet6!PivotTable4</c:name>
    <c:fmtId val="3"/>
  </c:pivotSource>
  <c:chart>
    <c:title>
      <c:layout>
        <c:manualLayout>
          <c:xMode val="edge"/>
          <c:yMode val="edge"/>
          <c:x val="0.4492707786526684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3749999999999997E-2"/>
          <c:y val="0.21991980169145522"/>
          <c:w val="0.7680555555555556"/>
          <c:h val="0.67529709827938178"/>
        </c:manualLayout>
      </c:layout>
      <c:pie3D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Sheet6!$A$4:$A$9</c:f>
              <c:strCache>
                <c:ptCount val="5"/>
                <c:pt idx="0">
                  <c:v>Ali</c:v>
                </c:pt>
                <c:pt idx="1">
                  <c:v>Ehsan</c:v>
                </c:pt>
                <c:pt idx="2">
                  <c:v>Laila</c:v>
                </c:pt>
                <c:pt idx="3">
                  <c:v>Nemat</c:v>
                </c:pt>
                <c:pt idx="4">
                  <c:v>Omid</c:v>
                </c:pt>
              </c:strCache>
            </c:strRef>
          </c:cat>
          <c:val>
            <c:numRef>
              <c:f>Sheet6!$B$4:$B$9</c:f>
              <c:numCache>
                <c:formatCode>_([$$-409]* #,##0.00_);_([$$-409]* \(#,##0.00\);_([$$-409]* "-"??_);_(@_)</c:formatCode>
                <c:ptCount val="5"/>
                <c:pt idx="0">
                  <c:v>543</c:v>
                </c:pt>
                <c:pt idx="1">
                  <c:v>103</c:v>
                </c:pt>
                <c:pt idx="2">
                  <c:v>252</c:v>
                </c:pt>
                <c:pt idx="3">
                  <c:v>248</c:v>
                </c:pt>
                <c:pt idx="4">
                  <c:v>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0E-499B-9F55-23DE4CC0C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2</xdr:row>
      <xdr:rowOff>7620</xdr:rowOff>
    </xdr:from>
    <xdr:to>
      <xdr:col>9</xdr:col>
      <xdr:colOff>342900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45A4FA-E679-24FB-6FD9-E9ECAF5707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50.613380902774" createdVersion="8" refreshedVersion="8" minRefreshableVersion="3" recordCount="49" xr:uid="{18FD5AA4-5955-4E26-9102-DA5786681044}">
  <cacheSource type="worksheet">
    <worksheetSource ref="A1:K50" sheet="Sheet1"/>
  </cacheSource>
  <cacheFields count="11">
    <cacheField name="month" numFmtId="0">
      <sharedItems/>
    </cacheField>
    <cacheField name="transaction number" numFmtId="0">
      <sharedItems containsSemiMixedTypes="0" containsString="0" containsNumber="1" containsInteger="1" minValue="1001" maxValue="1049"/>
    </cacheField>
    <cacheField name="product code" numFmtId="0">
      <sharedItems containsSemiMixedTypes="0" containsString="0" containsNumber="1" containsInteger="1" minValue="1153" maxValue="7898"/>
    </cacheField>
    <cacheField name="product description " numFmtId="0">
      <sharedItems/>
    </cacheField>
    <cacheField name="store cost" numFmtId="0">
      <sharedItems containsSemiMixedTypes="0" containsString="0" containsNumber="1" containsInteger="1" minValue="34" maxValue="87"/>
    </cacheField>
    <cacheField name="sales price " numFmtId="164">
      <sharedItems containsSemiMixedTypes="0" containsString="0" containsNumber="1" containsInteger="1" minValue="33" maxValue="196"/>
    </cacheField>
    <cacheField name="profit" numFmtId="164">
      <sharedItems containsSemiMixedTypes="0" containsString="0" containsNumber="1" containsInteger="1" minValue="-45" maxValue="162"/>
    </cacheField>
    <cacheField name="comission 10% for items less than 50$. 20% for items more than 50%" numFmtId="0">
      <sharedItems containsSemiMixedTypes="0" containsString="0" containsNumber="1" minValue="-6.8000000000000007" maxValue="32.4"/>
    </cacheField>
    <cacheField name="first name" numFmtId="0">
      <sharedItems count="5">
        <s v="Nemat"/>
        <s v="Ali"/>
        <s v="Omid"/>
        <s v="Ehsan"/>
        <s v="Laila"/>
      </sharedItems>
    </cacheField>
    <cacheField name="last name" numFmtId="0">
      <sharedItems count="4">
        <s v="Hassani"/>
        <s v="Najafi"/>
        <s v="Alawi"/>
        <s v="Mohammadi"/>
      </sharedItems>
    </cacheField>
    <cacheField name="sales 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s v="Jan"/>
    <n v="1001"/>
    <n v="1153"/>
    <s v="pool cover"/>
    <n v="46"/>
    <n v="64"/>
    <n v="18"/>
    <n v="3.6"/>
    <x v="0"/>
    <x v="0"/>
    <s v="CA"/>
  </r>
  <r>
    <s v="Jan"/>
    <n v="1002"/>
    <n v="3543"/>
    <s v="net"/>
    <n v="45"/>
    <n v="94"/>
    <n v="49"/>
    <n v="9.8000000000000007"/>
    <x v="1"/>
    <x v="1"/>
    <s v="NM"/>
  </r>
  <r>
    <s v="Jan"/>
    <n v="1003"/>
    <n v="2553"/>
    <s v="muratic acid"/>
    <n v="45"/>
    <n v="64"/>
    <n v="19"/>
    <n v="3.8000000000000003"/>
    <x v="0"/>
    <x v="0"/>
    <s v="CA"/>
  </r>
  <r>
    <s v="Jan"/>
    <n v="1004"/>
    <n v="3453"/>
    <s v="hose"/>
    <n v="75"/>
    <n v="86"/>
    <n v="11"/>
    <n v="2.2000000000000002"/>
    <x v="2"/>
    <x v="2"/>
    <s v="NJ"/>
  </r>
  <r>
    <s v="Jan"/>
    <n v="1005"/>
    <n v="3476"/>
    <s v="water pump"/>
    <n v="34"/>
    <n v="53"/>
    <n v="19"/>
    <n v="3.8000000000000003"/>
    <x v="2"/>
    <x v="2"/>
    <s v="NJ"/>
  </r>
  <r>
    <s v="Jan"/>
    <n v="1006"/>
    <n v="7898"/>
    <s v="chlorine test kit"/>
    <n v="87"/>
    <n v="53"/>
    <n v="-34"/>
    <n v="-6.8000000000000007"/>
    <x v="0"/>
    <x v="0"/>
    <s v="CA"/>
  </r>
  <r>
    <s v="Jan"/>
    <n v="1007"/>
    <n v="3453"/>
    <s v="hose"/>
    <n v="75"/>
    <n v="175"/>
    <n v="100"/>
    <n v="20"/>
    <x v="1"/>
    <x v="1"/>
    <s v="CO"/>
  </r>
  <r>
    <s v="Jan"/>
    <n v="1008"/>
    <n v="7898"/>
    <s v="chlorine test kit"/>
    <n v="87"/>
    <n v="42"/>
    <n v="-45"/>
    <n v="-4.5"/>
    <x v="3"/>
    <x v="3"/>
    <s v="WA"/>
  </r>
  <r>
    <s v="Jan"/>
    <n v="1009"/>
    <n v="6444"/>
    <s v="skimmer"/>
    <n v="34"/>
    <n v="175"/>
    <n v="141"/>
    <n v="28.200000000000003"/>
    <x v="0"/>
    <x v="0"/>
    <s v="CA"/>
  </r>
  <r>
    <s v="Jan"/>
    <n v="1010"/>
    <n v="2553"/>
    <s v="muratic acid"/>
    <n v="45"/>
    <n v="73"/>
    <n v="28"/>
    <n v="5.6000000000000005"/>
    <x v="4"/>
    <x v="1"/>
    <s v="NB"/>
  </r>
  <r>
    <s v="Jan"/>
    <n v="1011"/>
    <n v="3476"/>
    <s v="water pump"/>
    <n v="34"/>
    <n v="73"/>
    <n v="39"/>
    <n v="7.8000000000000007"/>
    <x v="1"/>
    <x v="1"/>
    <s v="CO"/>
  </r>
  <r>
    <s v="Jan"/>
    <n v="1012"/>
    <n v="3543"/>
    <s v="net"/>
    <n v="45"/>
    <n v="84"/>
    <n v="39"/>
    <n v="7.8000000000000007"/>
    <x v="2"/>
    <x v="2"/>
    <s v="NJ"/>
  </r>
  <r>
    <s v="Feb"/>
    <n v="1013"/>
    <n v="6343"/>
    <s v="autoVac"/>
    <n v="75"/>
    <n v="62"/>
    <n v="-13"/>
    <n v="-2.6"/>
    <x v="0"/>
    <x v="0"/>
    <s v="CA"/>
  </r>
  <r>
    <s v="Feb"/>
    <n v="1014"/>
    <n v="1153"/>
    <s v="pool cover"/>
    <n v="46"/>
    <n v="73"/>
    <n v="27"/>
    <n v="5.4"/>
    <x v="3"/>
    <x v="3"/>
    <s v="WA"/>
  </r>
  <r>
    <s v="Feb"/>
    <n v="1015"/>
    <n v="3476"/>
    <s v="water pump"/>
    <n v="34"/>
    <n v="196"/>
    <n v="162"/>
    <n v="32.4"/>
    <x v="1"/>
    <x v="1"/>
    <s v="NM"/>
  </r>
  <r>
    <s v="Feb"/>
    <n v="1016"/>
    <n v="3476"/>
    <s v="water pump"/>
    <n v="34"/>
    <n v="75"/>
    <n v="41"/>
    <n v="8.2000000000000011"/>
    <x v="0"/>
    <x v="0"/>
    <s v="CA"/>
  </r>
  <r>
    <s v="Feb"/>
    <n v="1017"/>
    <n v="6444"/>
    <s v="skimmer"/>
    <n v="34"/>
    <n v="93"/>
    <n v="59"/>
    <n v="11.8"/>
    <x v="2"/>
    <x v="2"/>
    <s v="NJ"/>
  </r>
  <r>
    <s v="Feb"/>
    <n v="1018"/>
    <n v="2553"/>
    <s v="muratic acid"/>
    <n v="45"/>
    <n v="99"/>
    <n v="54"/>
    <n v="10.8"/>
    <x v="3"/>
    <x v="3"/>
    <s v="WA"/>
  </r>
  <r>
    <s v="Feb"/>
    <n v="1019"/>
    <n v="6444"/>
    <s v="skimmer"/>
    <n v="34"/>
    <n v="89"/>
    <n v="55"/>
    <n v="11"/>
    <x v="4"/>
    <x v="1"/>
    <s v="AZ"/>
  </r>
  <r>
    <s v="Feb"/>
    <n v="1020"/>
    <n v="3476"/>
    <s v="water pump"/>
    <n v="34"/>
    <n v="75"/>
    <n v="41"/>
    <n v="8.2000000000000011"/>
    <x v="4"/>
    <x v="1"/>
    <s v="AZ"/>
  </r>
  <r>
    <s v="Feb"/>
    <n v="1021"/>
    <n v="3543"/>
    <s v="net"/>
    <n v="45"/>
    <n v="185"/>
    <n v="140"/>
    <n v="28"/>
    <x v="1"/>
    <x v="1"/>
    <s v="AZ"/>
  </r>
  <r>
    <s v="Feb"/>
    <n v="1022"/>
    <n v="7898"/>
    <s v="chlorine test kit"/>
    <n v="87"/>
    <n v="43"/>
    <n v="-44"/>
    <n v="-4.4000000000000004"/>
    <x v="2"/>
    <x v="2"/>
    <s v="NJ"/>
  </r>
  <r>
    <s v="Feb"/>
    <n v="1023"/>
    <n v="7898"/>
    <s v="chlorine test kit"/>
    <n v="87"/>
    <n v="175"/>
    <n v="88"/>
    <n v="17.600000000000001"/>
    <x v="2"/>
    <x v="2"/>
    <s v="NJ"/>
  </r>
  <r>
    <s v="Mar"/>
    <n v="1024"/>
    <n v="3543"/>
    <s v="hose"/>
    <n v="75"/>
    <n v="53"/>
    <n v="-22"/>
    <n v="-4.4000000000000004"/>
    <x v="0"/>
    <x v="0"/>
    <s v="CA"/>
  </r>
  <r>
    <s v="Mar"/>
    <n v="1025"/>
    <n v="3453"/>
    <s v="hose"/>
    <n v="75"/>
    <n v="72"/>
    <n v="-3"/>
    <n v="-0.60000000000000009"/>
    <x v="3"/>
    <x v="3"/>
    <s v="WA"/>
  </r>
  <r>
    <s v="Mar"/>
    <n v="1026"/>
    <n v="3476"/>
    <s v="water pump"/>
    <n v="34"/>
    <n v="83"/>
    <n v="49"/>
    <n v="9.8000000000000007"/>
    <x v="1"/>
    <x v="1"/>
    <s v="CO"/>
  </r>
  <r>
    <s v="Mar"/>
    <n v="1027"/>
    <n v="3543"/>
    <s v="net"/>
    <n v="45"/>
    <n v="34"/>
    <n v="-11"/>
    <n v="-1.1000000000000001"/>
    <x v="1"/>
    <x v="1"/>
    <s v="WA"/>
  </r>
  <r>
    <s v="Mar"/>
    <n v="1028"/>
    <n v="2553"/>
    <s v="muratic acid"/>
    <n v="45"/>
    <n v="66"/>
    <n v="21"/>
    <n v="4.2"/>
    <x v="3"/>
    <x v="3"/>
    <s v="WA"/>
  </r>
  <r>
    <s v="Mar"/>
    <n v="1029"/>
    <n v="3453"/>
    <s v="hose"/>
    <n v="75"/>
    <n v="85"/>
    <n v="10"/>
    <n v="2"/>
    <x v="0"/>
    <x v="0"/>
    <s v="CA"/>
  </r>
  <r>
    <s v="Mar"/>
    <n v="1030"/>
    <n v="6343"/>
    <s v="autoVac"/>
    <n v="75"/>
    <n v="174"/>
    <n v="99"/>
    <n v="19.8"/>
    <x v="4"/>
    <x v="1"/>
    <s v="AZ"/>
  </r>
  <r>
    <s v="Mar"/>
    <n v="1031"/>
    <n v="6343"/>
    <s v="autoVac"/>
    <n v="75"/>
    <n v="62"/>
    <n v="-13"/>
    <n v="-2.6"/>
    <x v="1"/>
    <x v="1"/>
    <s v="NJ"/>
  </r>
  <r>
    <s v="Jul"/>
    <n v="1032"/>
    <n v="6444"/>
    <s v="skimmer"/>
    <n v="34"/>
    <n v="62"/>
    <n v="28"/>
    <n v="5.6000000000000005"/>
    <x v="1"/>
    <x v="1"/>
    <s v="NM"/>
  </r>
  <r>
    <s v="Jul"/>
    <n v="1033"/>
    <n v="1153"/>
    <s v="pool cover"/>
    <n v="46"/>
    <n v="74"/>
    <n v="28"/>
    <n v="5.6000000000000005"/>
    <x v="2"/>
    <x v="2"/>
    <s v="NJ"/>
  </r>
  <r>
    <s v="Aug"/>
    <n v="1034"/>
    <n v="7898"/>
    <s v="chlorine test kit"/>
    <n v="87"/>
    <n v="88"/>
    <n v="1"/>
    <n v="0.2"/>
    <x v="0"/>
    <x v="0"/>
    <s v="CA"/>
  </r>
  <r>
    <s v="Aug"/>
    <n v="1035"/>
    <n v="3543"/>
    <s v="net"/>
    <n v="45"/>
    <n v="53"/>
    <n v="8"/>
    <n v="1.6"/>
    <x v="3"/>
    <x v="3"/>
    <s v="WA"/>
  </r>
  <r>
    <s v="Aug"/>
    <n v="1036"/>
    <n v="3476"/>
    <s v="water pump"/>
    <n v="34"/>
    <n v="63"/>
    <n v="29"/>
    <n v="5.8000000000000007"/>
    <x v="2"/>
    <x v="2"/>
    <s v="NJ"/>
  </r>
  <r>
    <s v="Aug"/>
    <n v="1037"/>
    <n v="3543"/>
    <s v="net"/>
    <n v="45"/>
    <n v="175"/>
    <n v="130"/>
    <n v="26"/>
    <x v="2"/>
    <x v="2"/>
    <s v="NJ"/>
  </r>
  <r>
    <s v="Aug"/>
    <n v="1038"/>
    <n v="6343"/>
    <s v="autoVac"/>
    <n v="75"/>
    <n v="83"/>
    <n v="8"/>
    <n v="1.6"/>
    <x v="0"/>
    <x v="0"/>
    <s v="CA"/>
  </r>
  <r>
    <s v="Aug"/>
    <n v="1039"/>
    <n v="6444"/>
    <s v="skimmer"/>
    <n v="34"/>
    <n v="63"/>
    <n v="29"/>
    <n v="5.8000000000000007"/>
    <x v="4"/>
    <x v="1"/>
    <s v="CA"/>
  </r>
  <r>
    <s v="Aug"/>
    <n v="1040"/>
    <n v="3543"/>
    <s v="net"/>
    <n v="45"/>
    <n v="42"/>
    <n v="-3"/>
    <n v="-0.30000000000000004"/>
    <x v="3"/>
    <x v="3"/>
    <s v="WA"/>
  </r>
  <r>
    <s v="Aug"/>
    <n v="1041"/>
    <n v="3476"/>
    <s v="water pump"/>
    <n v="34"/>
    <n v="96"/>
    <n v="62"/>
    <n v="12.4"/>
    <x v="0"/>
    <x v="0"/>
    <s v="CA"/>
  </r>
  <r>
    <s v="Aug"/>
    <n v="1042"/>
    <n v="2553"/>
    <s v="muratic acid"/>
    <n v="45"/>
    <n v="64"/>
    <n v="19"/>
    <n v="3.8000000000000003"/>
    <x v="2"/>
    <x v="2"/>
    <s v="NJ"/>
  </r>
  <r>
    <s v="Aug"/>
    <n v="1043"/>
    <n v="2553"/>
    <s v="muratic acid"/>
    <n v="45"/>
    <n v="123"/>
    <n v="78"/>
    <n v="15.600000000000001"/>
    <x v="3"/>
    <x v="3"/>
    <s v="AZ"/>
  </r>
  <r>
    <s v="Dec"/>
    <n v="1044"/>
    <n v="6444"/>
    <s v="skimmer"/>
    <n v="34"/>
    <n v="33"/>
    <n v="-1"/>
    <n v="-0.1"/>
    <x v="3"/>
    <x v="3"/>
    <s v="AZ"/>
  </r>
  <r>
    <s v="Dec"/>
    <n v="1045"/>
    <n v="1153"/>
    <s v="pool cover"/>
    <n v="46"/>
    <n v="53"/>
    <n v="7"/>
    <n v="1.4000000000000001"/>
    <x v="0"/>
    <x v="0"/>
    <s v="CA"/>
  </r>
  <r>
    <s v="Dec"/>
    <n v="1046"/>
    <n v="3453"/>
    <s v="hose"/>
    <n v="75"/>
    <n v="42"/>
    <n v="-33"/>
    <n v="-3.3000000000000003"/>
    <x v="3"/>
    <x v="3"/>
    <s v="WA"/>
  </r>
  <r>
    <s v="Dec"/>
    <n v="1047"/>
    <n v="6444"/>
    <s v="skimmer"/>
    <n v="34"/>
    <n v="43"/>
    <n v="9"/>
    <n v="0.9"/>
    <x v="2"/>
    <x v="2"/>
    <s v="NJ"/>
  </r>
  <r>
    <s v="Dec"/>
    <n v="1048"/>
    <n v="6343"/>
    <s v="autoVac"/>
    <n v="75"/>
    <n v="85"/>
    <n v="10"/>
    <n v="2"/>
    <x v="0"/>
    <x v="0"/>
    <s v="NJ"/>
  </r>
  <r>
    <s v="Dec"/>
    <n v="1049"/>
    <n v="3543"/>
    <s v="net"/>
    <n v="45"/>
    <n v="75"/>
    <n v="30"/>
    <n v="6"/>
    <x v="2"/>
    <x v="2"/>
    <s v="NJ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06AD15-1EEC-4F5E-B94B-737BBE855F26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11">
    <pivotField showAll="0"/>
    <pivotField showAll="0"/>
    <pivotField showAll="0"/>
    <pivotField showAll="0"/>
    <pivotField showAll="0"/>
    <pivotField numFmtId="164" showAll="0"/>
    <pivotField dataField="1" numFmtId="164" showAll="0"/>
    <pivotField showAll="0"/>
    <pivotField axis="axisRow" showAll="0">
      <items count="6">
        <item x="1"/>
        <item x="3"/>
        <item x="4"/>
        <item x="0"/>
        <item x="2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6" baseField="0" baseItem="0" numFmtId="164"/>
  </dataFields>
  <formats count="1">
    <format dxfId="4">
      <pivotArea dataOnly="0" labelOnly="1" outline="0" axis="axisValues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13DAA-F636-4563-9C49-DF11BF863429}">
  <dimension ref="A3:B9"/>
  <sheetViews>
    <sheetView tabSelected="1" workbookViewId="0">
      <selection activeCell="L19" sqref="L19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ht="19.8" customHeight="1" x14ac:dyDescent="0.3">
      <c r="A3" s="4" t="s">
        <v>51</v>
      </c>
      <c r="B3" s="7" t="s">
        <v>53</v>
      </c>
    </row>
    <row r="4" spans="1:2" x14ac:dyDescent="0.3">
      <c r="A4" s="3" t="s">
        <v>26</v>
      </c>
      <c r="B4" s="1">
        <v>543</v>
      </c>
    </row>
    <row r="5" spans="1:2" x14ac:dyDescent="0.3">
      <c r="A5" s="3" t="s">
        <v>28</v>
      </c>
      <c r="B5" s="1">
        <v>103</v>
      </c>
    </row>
    <row r="6" spans="1:2" x14ac:dyDescent="0.3">
      <c r="A6" s="3" t="s">
        <v>27</v>
      </c>
      <c r="B6" s="1">
        <v>252</v>
      </c>
    </row>
    <row r="7" spans="1:2" x14ac:dyDescent="0.3">
      <c r="A7" s="3" t="s">
        <v>25</v>
      </c>
      <c r="B7" s="1">
        <v>248</v>
      </c>
    </row>
    <row r="8" spans="1:2" x14ac:dyDescent="0.3">
      <c r="A8" s="3" t="s">
        <v>29</v>
      </c>
      <c r="B8" s="1">
        <v>417</v>
      </c>
    </row>
    <row r="9" spans="1:2" x14ac:dyDescent="0.3">
      <c r="A9" s="3" t="s">
        <v>52</v>
      </c>
      <c r="B9" s="1">
        <v>1563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41F4D-A415-4485-9DB5-A42D8C395F06}">
  <dimension ref="A1:M54"/>
  <sheetViews>
    <sheetView workbookViewId="0">
      <selection activeCell="A2" sqref="A2:K50"/>
    </sheetView>
  </sheetViews>
  <sheetFormatPr defaultRowHeight="14.4" x14ac:dyDescent="0.3"/>
  <cols>
    <col min="1" max="1" width="6.88671875" customWidth="1"/>
    <col min="2" max="2" width="10.5546875" customWidth="1"/>
    <col min="3" max="3" width="8" customWidth="1"/>
    <col min="4" max="4" width="14.109375" customWidth="1"/>
    <col min="5" max="5" width="12.44140625" customWidth="1"/>
    <col min="6" max="7" width="11.44140625" customWidth="1"/>
    <col min="8" max="8" width="15.44140625" customWidth="1"/>
    <col min="9" max="9" width="13" customWidth="1"/>
    <col min="10" max="10" width="12" customWidth="1"/>
    <col min="11" max="11" width="12.33203125" customWidth="1"/>
    <col min="13" max="13" width="16.109375" customWidth="1"/>
  </cols>
  <sheetData>
    <row r="1" spans="1:13" ht="73.2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3" x14ac:dyDescent="0.3">
      <c r="A2" t="s">
        <v>15</v>
      </c>
      <c r="B2">
        <v>1001</v>
      </c>
      <c r="C2">
        <v>1153</v>
      </c>
      <c r="D2" t="s">
        <v>17</v>
      </c>
      <c r="E2">
        <v>46</v>
      </c>
      <c r="F2" s="1">
        <v>64</v>
      </c>
      <c r="G2" s="1">
        <f t="shared" ref="G2:G33" si="0">F2-E2</f>
        <v>18</v>
      </c>
      <c r="H2">
        <f t="shared" ref="H2:H33" si="1">IF(F2&gt;50, G2*0.2, G2*0.1)</f>
        <v>3.6</v>
      </c>
      <c r="I2" t="s">
        <v>25</v>
      </c>
      <c r="J2" t="s">
        <v>30</v>
      </c>
      <c r="K2" t="s">
        <v>34</v>
      </c>
    </row>
    <row r="3" spans="1:13" x14ac:dyDescent="0.3">
      <c r="A3" t="s">
        <v>15</v>
      </c>
      <c r="B3">
        <v>1002</v>
      </c>
      <c r="C3">
        <v>3543</v>
      </c>
      <c r="D3" t="s">
        <v>18</v>
      </c>
      <c r="E3">
        <v>45</v>
      </c>
      <c r="F3" s="1">
        <v>94</v>
      </c>
      <c r="G3" s="1">
        <f t="shared" si="0"/>
        <v>49</v>
      </c>
      <c r="H3">
        <f t="shared" si="1"/>
        <v>9.8000000000000007</v>
      </c>
      <c r="I3" t="s">
        <v>26</v>
      </c>
      <c r="J3" t="s">
        <v>31</v>
      </c>
      <c r="K3" t="s">
        <v>35</v>
      </c>
      <c r="M3" t="s">
        <v>41</v>
      </c>
    </row>
    <row r="4" spans="1:13" x14ac:dyDescent="0.3">
      <c r="A4" t="s">
        <v>15</v>
      </c>
      <c r="B4">
        <v>1003</v>
      </c>
      <c r="C4">
        <v>2553</v>
      </c>
      <c r="D4" t="s">
        <v>19</v>
      </c>
      <c r="E4">
        <v>45</v>
      </c>
      <c r="F4" s="1">
        <v>64</v>
      </c>
      <c r="G4" s="1">
        <f t="shared" si="0"/>
        <v>19</v>
      </c>
      <c r="H4">
        <f t="shared" si="1"/>
        <v>3.8000000000000003</v>
      </c>
      <c r="I4" t="s">
        <v>25</v>
      </c>
      <c r="J4" t="s">
        <v>30</v>
      </c>
      <c r="K4" t="s">
        <v>34</v>
      </c>
      <c r="M4" t="s">
        <v>42</v>
      </c>
    </row>
    <row r="5" spans="1:13" x14ac:dyDescent="0.3">
      <c r="A5" t="s">
        <v>15</v>
      </c>
      <c r="B5">
        <v>1004</v>
      </c>
      <c r="C5">
        <v>3453</v>
      </c>
      <c r="D5" t="s">
        <v>20</v>
      </c>
      <c r="E5">
        <v>75</v>
      </c>
      <c r="F5" s="1">
        <v>86</v>
      </c>
      <c r="G5" s="1">
        <f t="shared" si="0"/>
        <v>11</v>
      </c>
      <c r="H5">
        <f t="shared" si="1"/>
        <v>2.2000000000000002</v>
      </c>
      <c r="I5" t="s">
        <v>29</v>
      </c>
      <c r="J5" t="s">
        <v>32</v>
      </c>
      <c r="K5" t="s">
        <v>39</v>
      </c>
      <c r="M5" t="s">
        <v>43</v>
      </c>
    </row>
    <row r="6" spans="1:13" x14ac:dyDescent="0.3">
      <c r="A6" t="s">
        <v>15</v>
      </c>
      <c r="B6">
        <v>1005</v>
      </c>
      <c r="C6">
        <v>3476</v>
      </c>
      <c r="D6" t="s">
        <v>21</v>
      </c>
      <c r="E6">
        <v>34</v>
      </c>
      <c r="F6" s="1">
        <v>53</v>
      </c>
      <c r="G6" s="1">
        <f t="shared" si="0"/>
        <v>19</v>
      </c>
      <c r="H6">
        <f t="shared" si="1"/>
        <v>3.8000000000000003</v>
      </c>
      <c r="I6" t="s">
        <v>29</v>
      </c>
      <c r="J6" t="s">
        <v>32</v>
      </c>
      <c r="K6" t="s">
        <v>39</v>
      </c>
      <c r="M6" t="s">
        <v>44</v>
      </c>
    </row>
    <row r="7" spans="1:13" x14ac:dyDescent="0.3">
      <c r="A7" t="s">
        <v>15</v>
      </c>
      <c r="B7">
        <v>1006</v>
      </c>
      <c r="C7">
        <v>7898</v>
      </c>
      <c r="D7" t="s">
        <v>22</v>
      </c>
      <c r="E7">
        <v>87</v>
      </c>
      <c r="F7" s="1">
        <v>53</v>
      </c>
      <c r="G7" s="1">
        <f t="shared" si="0"/>
        <v>-34</v>
      </c>
      <c r="H7">
        <f t="shared" si="1"/>
        <v>-6.8000000000000007</v>
      </c>
      <c r="I7" t="s">
        <v>25</v>
      </c>
      <c r="J7" t="s">
        <v>30</v>
      </c>
      <c r="K7" t="s">
        <v>34</v>
      </c>
      <c r="M7" t="s">
        <v>45</v>
      </c>
    </row>
    <row r="8" spans="1:13" x14ac:dyDescent="0.3">
      <c r="A8" t="s">
        <v>15</v>
      </c>
      <c r="B8">
        <v>1007</v>
      </c>
      <c r="C8">
        <v>3453</v>
      </c>
      <c r="D8" t="s">
        <v>20</v>
      </c>
      <c r="E8">
        <v>75</v>
      </c>
      <c r="F8" s="1">
        <v>175</v>
      </c>
      <c r="G8" s="1">
        <f t="shared" si="0"/>
        <v>100</v>
      </c>
      <c r="H8">
        <f t="shared" si="1"/>
        <v>20</v>
      </c>
      <c r="I8" t="s">
        <v>26</v>
      </c>
      <c r="J8" t="s">
        <v>31</v>
      </c>
      <c r="K8" t="s">
        <v>37</v>
      </c>
      <c r="M8" t="s">
        <v>46</v>
      </c>
    </row>
    <row r="9" spans="1:13" x14ac:dyDescent="0.3">
      <c r="A9" t="s">
        <v>15</v>
      </c>
      <c r="B9">
        <v>1008</v>
      </c>
      <c r="C9">
        <v>7898</v>
      </c>
      <c r="D9" t="s">
        <v>22</v>
      </c>
      <c r="E9">
        <v>87</v>
      </c>
      <c r="F9" s="1">
        <v>42</v>
      </c>
      <c r="G9" s="1">
        <f t="shared" si="0"/>
        <v>-45</v>
      </c>
      <c r="H9">
        <f t="shared" si="1"/>
        <v>-4.5</v>
      </c>
      <c r="I9" t="s">
        <v>28</v>
      </c>
      <c r="J9" t="s">
        <v>33</v>
      </c>
      <c r="K9" t="s">
        <v>38</v>
      </c>
      <c r="M9" t="s">
        <v>47</v>
      </c>
    </row>
    <row r="10" spans="1:13" x14ac:dyDescent="0.3">
      <c r="A10" t="s">
        <v>15</v>
      </c>
      <c r="B10">
        <v>1009</v>
      </c>
      <c r="C10">
        <v>6444</v>
      </c>
      <c r="D10" t="s">
        <v>23</v>
      </c>
      <c r="E10">
        <v>34</v>
      </c>
      <c r="F10" s="1">
        <v>175</v>
      </c>
      <c r="G10" s="1">
        <f t="shared" si="0"/>
        <v>141</v>
      </c>
      <c r="H10">
        <f t="shared" si="1"/>
        <v>28.200000000000003</v>
      </c>
      <c r="I10" t="s">
        <v>25</v>
      </c>
      <c r="J10" t="s">
        <v>30</v>
      </c>
      <c r="K10" t="s">
        <v>34</v>
      </c>
    </row>
    <row r="11" spans="1:13" x14ac:dyDescent="0.3">
      <c r="A11" t="s">
        <v>15</v>
      </c>
      <c r="B11">
        <v>1010</v>
      </c>
      <c r="C11">
        <v>2553</v>
      </c>
      <c r="D11" t="s">
        <v>19</v>
      </c>
      <c r="E11">
        <v>45</v>
      </c>
      <c r="F11" s="1">
        <v>73</v>
      </c>
      <c r="G11" s="1">
        <f t="shared" si="0"/>
        <v>28</v>
      </c>
      <c r="H11">
        <f t="shared" si="1"/>
        <v>5.6000000000000005</v>
      </c>
      <c r="I11" t="s">
        <v>27</v>
      </c>
      <c r="J11" t="s">
        <v>31</v>
      </c>
      <c r="K11" t="s">
        <v>40</v>
      </c>
    </row>
    <row r="12" spans="1:13" x14ac:dyDescent="0.3">
      <c r="A12" t="s">
        <v>15</v>
      </c>
      <c r="B12">
        <v>1011</v>
      </c>
      <c r="C12">
        <v>3476</v>
      </c>
      <c r="D12" t="s">
        <v>21</v>
      </c>
      <c r="E12">
        <v>34</v>
      </c>
      <c r="F12" s="1">
        <v>73</v>
      </c>
      <c r="G12" s="1">
        <f t="shared" si="0"/>
        <v>39</v>
      </c>
      <c r="H12">
        <f t="shared" si="1"/>
        <v>7.8000000000000007</v>
      </c>
      <c r="I12" t="s">
        <v>26</v>
      </c>
      <c r="J12" t="s">
        <v>31</v>
      </c>
      <c r="K12" t="s">
        <v>37</v>
      </c>
    </row>
    <row r="13" spans="1:13" x14ac:dyDescent="0.3">
      <c r="A13" t="s">
        <v>15</v>
      </c>
      <c r="B13">
        <v>1012</v>
      </c>
      <c r="C13">
        <v>3543</v>
      </c>
      <c r="D13" t="s">
        <v>18</v>
      </c>
      <c r="E13">
        <v>45</v>
      </c>
      <c r="F13" s="1">
        <v>84</v>
      </c>
      <c r="G13" s="1">
        <f t="shared" si="0"/>
        <v>39</v>
      </c>
      <c r="H13">
        <f t="shared" si="1"/>
        <v>7.8000000000000007</v>
      </c>
      <c r="I13" t="s">
        <v>29</v>
      </c>
      <c r="J13" t="s">
        <v>32</v>
      </c>
      <c r="K13" t="s">
        <v>39</v>
      </c>
    </row>
    <row r="14" spans="1:13" x14ac:dyDescent="0.3">
      <c r="A14" t="s">
        <v>16</v>
      </c>
      <c r="B14">
        <v>1013</v>
      </c>
      <c r="C14">
        <v>6343</v>
      </c>
      <c r="D14" t="s">
        <v>24</v>
      </c>
      <c r="E14">
        <v>75</v>
      </c>
      <c r="F14" s="1">
        <v>62</v>
      </c>
      <c r="G14" s="1">
        <f t="shared" si="0"/>
        <v>-13</v>
      </c>
      <c r="H14">
        <f t="shared" si="1"/>
        <v>-2.6</v>
      </c>
      <c r="I14" t="s">
        <v>25</v>
      </c>
      <c r="J14" t="s">
        <v>30</v>
      </c>
      <c r="K14" t="s">
        <v>34</v>
      </c>
    </row>
    <row r="15" spans="1:13" x14ac:dyDescent="0.3">
      <c r="A15" t="s">
        <v>16</v>
      </c>
      <c r="B15">
        <v>1014</v>
      </c>
      <c r="C15">
        <v>1153</v>
      </c>
      <c r="D15" t="s">
        <v>17</v>
      </c>
      <c r="E15">
        <v>46</v>
      </c>
      <c r="F15" s="1">
        <v>73</v>
      </c>
      <c r="G15" s="1">
        <f t="shared" si="0"/>
        <v>27</v>
      </c>
      <c r="H15">
        <f t="shared" si="1"/>
        <v>5.4</v>
      </c>
      <c r="I15" t="s">
        <v>28</v>
      </c>
      <c r="J15" t="s">
        <v>33</v>
      </c>
      <c r="K15" t="s">
        <v>38</v>
      </c>
    </row>
    <row r="16" spans="1:13" x14ac:dyDescent="0.3">
      <c r="A16" t="s">
        <v>16</v>
      </c>
      <c r="B16">
        <v>1015</v>
      </c>
      <c r="C16">
        <v>3476</v>
      </c>
      <c r="D16" t="s">
        <v>21</v>
      </c>
      <c r="E16">
        <v>34</v>
      </c>
      <c r="F16" s="1">
        <v>196</v>
      </c>
      <c r="G16" s="1">
        <f t="shared" si="0"/>
        <v>162</v>
      </c>
      <c r="H16">
        <f t="shared" si="1"/>
        <v>32.4</v>
      </c>
      <c r="I16" t="s">
        <v>26</v>
      </c>
      <c r="J16" t="s">
        <v>31</v>
      </c>
      <c r="K16" t="s">
        <v>35</v>
      </c>
    </row>
    <row r="17" spans="1:11" x14ac:dyDescent="0.3">
      <c r="A17" t="s">
        <v>16</v>
      </c>
      <c r="B17">
        <v>1016</v>
      </c>
      <c r="C17">
        <v>3476</v>
      </c>
      <c r="D17" t="s">
        <v>21</v>
      </c>
      <c r="E17">
        <v>34</v>
      </c>
      <c r="F17" s="1">
        <v>75</v>
      </c>
      <c r="G17" s="1">
        <f t="shared" si="0"/>
        <v>41</v>
      </c>
      <c r="H17">
        <f t="shared" si="1"/>
        <v>8.2000000000000011</v>
      </c>
      <c r="I17" t="s">
        <v>25</v>
      </c>
      <c r="J17" t="s">
        <v>30</v>
      </c>
      <c r="K17" t="s">
        <v>34</v>
      </c>
    </row>
    <row r="18" spans="1:11" x14ac:dyDescent="0.3">
      <c r="A18" t="s">
        <v>16</v>
      </c>
      <c r="B18">
        <v>1017</v>
      </c>
      <c r="C18">
        <v>6444</v>
      </c>
      <c r="D18" t="s">
        <v>23</v>
      </c>
      <c r="E18">
        <v>34</v>
      </c>
      <c r="F18" s="1">
        <v>93</v>
      </c>
      <c r="G18" s="1">
        <f t="shared" si="0"/>
        <v>59</v>
      </c>
      <c r="H18">
        <f t="shared" si="1"/>
        <v>11.8</v>
      </c>
      <c r="I18" t="s">
        <v>29</v>
      </c>
      <c r="J18" t="s">
        <v>32</v>
      </c>
      <c r="K18" t="s">
        <v>39</v>
      </c>
    </row>
    <row r="19" spans="1:11" x14ac:dyDescent="0.3">
      <c r="A19" t="s">
        <v>16</v>
      </c>
      <c r="B19">
        <v>1018</v>
      </c>
      <c r="C19">
        <v>2553</v>
      </c>
      <c r="D19" t="s">
        <v>19</v>
      </c>
      <c r="E19">
        <v>45</v>
      </c>
      <c r="F19" s="1">
        <v>99</v>
      </c>
      <c r="G19" s="1">
        <f t="shared" si="0"/>
        <v>54</v>
      </c>
      <c r="H19">
        <f t="shared" si="1"/>
        <v>10.8</v>
      </c>
      <c r="I19" t="s">
        <v>28</v>
      </c>
      <c r="J19" t="s">
        <v>33</v>
      </c>
      <c r="K19" t="s">
        <v>38</v>
      </c>
    </row>
    <row r="20" spans="1:11" x14ac:dyDescent="0.3">
      <c r="A20" t="s">
        <v>16</v>
      </c>
      <c r="B20">
        <v>1019</v>
      </c>
      <c r="C20">
        <v>6444</v>
      </c>
      <c r="D20" t="s">
        <v>23</v>
      </c>
      <c r="E20">
        <v>34</v>
      </c>
      <c r="F20" s="1">
        <v>89</v>
      </c>
      <c r="G20" s="1">
        <f t="shared" si="0"/>
        <v>55</v>
      </c>
      <c r="H20">
        <f t="shared" si="1"/>
        <v>11</v>
      </c>
      <c r="I20" t="s">
        <v>27</v>
      </c>
      <c r="J20" t="s">
        <v>31</v>
      </c>
      <c r="K20" t="s">
        <v>36</v>
      </c>
    </row>
    <row r="21" spans="1:11" x14ac:dyDescent="0.3">
      <c r="A21" t="s">
        <v>16</v>
      </c>
      <c r="B21">
        <v>1020</v>
      </c>
      <c r="C21">
        <v>3476</v>
      </c>
      <c r="D21" t="s">
        <v>21</v>
      </c>
      <c r="E21">
        <v>34</v>
      </c>
      <c r="F21" s="1">
        <v>75</v>
      </c>
      <c r="G21" s="1">
        <f t="shared" si="0"/>
        <v>41</v>
      </c>
      <c r="H21">
        <f t="shared" si="1"/>
        <v>8.2000000000000011</v>
      </c>
      <c r="I21" t="s">
        <v>27</v>
      </c>
      <c r="J21" t="s">
        <v>31</v>
      </c>
      <c r="K21" t="s">
        <v>36</v>
      </c>
    </row>
    <row r="22" spans="1:11" x14ac:dyDescent="0.3">
      <c r="A22" t="s">
        <v>16</v>
      </c>
      <c r="B22">
        <v>1021</v>
      </c>
      <c r="C22">
        <v>3543</v>
      </c>
      <c r="D22" t="s">
        <v>18</v>
      </c>
      <c r="E22">
        <v>45</v>
      </c>
      <c r="F22" s="1">
        <v>185</v>
      </c>
      <c r="G22" s="1">
        <f t="shared" si="0"/>
        <v>140</v>
      </c>
      <c r="H22">
        <f t="shared" si="1"/>
        <v>28</v>
      </c>
      <c r="I22" t="s">
        <v>26</v>
      </c>
      <c r="J22" t="s">
        <v>31</v>
      </c>
      <c r="K22" t="s">
        <v>36</v>
      </c>
    </row>
    <row r="23" spans="1:11" x14ac:dyDescent="0.3">
      <c r="A23" t="s">
        <v>16</v>
      </c>
      <c r="B23">
        <v>1022</v>
      </c>
      <c r="C23">
        <v>7898</v>
      </c>
      <c r="D23" t="s">
        <v>22</v>
      </c>
      <c r="E23">
        <v>87</v>
      </c>
      <c r="F23" s="1">
        <v>43</v>
      </c>
      <c r="G23" s="1">
        <f t="shared" si="0"/>
        <v>-44</v>
      </c>
      <c r="H23">
        <f t="shared" si="1"/>
        <v>-4.4000000000000004</v>
      </c>
      <c r="I23" t="s">
        <v>29</v>
      </c>
      <c r="J23" t="s">
        <v>32</v>
      </c>
      <c r="K23" t="s">
        <v>39</v>
      </c>
    </row>
    <row r="24" spans="1:11" x14ac:dyDescent="0.3">
      <c r="A24" t="s">
        <v>16</v>
      </c>
      <c r="B24">
        <v>1023</v>
      </c>
      <c r="C24">
        <v>7898</v>
      </c>
      <c r="D24" t="s">
        <v>22</v>
      </c>
      <c r="E24">
        <v>87</v>
      </c>
      <c r="F24" s="1">
        <v>175</v>
      </c>
      <c r="G24" s="1">
        <f t="shared" si="0"/>
        <v>88</v>
      </c>
      <c r="H24">
        <f t="shared" si="1"/>
        <v>17.600000000000001</v>
      </c>
      <c r="I24" t="s">
        <v>29</v>
      </c>
      <c r="J24" t="s">
        <v>32</v>
      </c>
      <c r="K24" t="s">
        <v>39</v>
      </c>
    </row>
    <row r="25" spans="1:11" x14ac:dyDescent="0.3">
      <c r="A25" t="s">
        <v>14</v>
      </c>
      <c r="B25">
        <v>1024</v>
      </c>
      <c r="C25">
        <v>3543</v>
      </c>
      <c r="D25" t="s">
        <v>20</v>
      </c>
      <c r="E25">
        <v>75</v>
      </c>
      <c r="F25" s="1">
        <v>53</v>
      </c>
      <c r="G25" s="1">
        <f t="shared" si="0"/>
        <v>-22</v>
      </c>
      <c r="H25">
        <f t="shared" si="1"/>
        <v>-4.4000000000000004</v>
      </c>
      <c r="I25" t="s">
        <v>25</v>
      </c>
      <c r="J25" t="s">
        <v>30</v>
      </c>
      <c r="K25" t="s">
        <v>34</v>
      </c>
    </row>
    <row r="26" spans="1:11" x14ac:dyDescent="0.3">
      <c r="A26" t="s">
        <v>14</v>
      </c>
      <c r="B26">
        <v>1025</v>
      </c>
      <c r="C26">
        <v>3453</v>
      </c>
      <c r="D26" t="s">
        <v>20</v>
      </c>
      <c r="E26">
        <v>75</v>
      </c>
      <c r="F26" s="1">
        <v>72</v>
      </c>
      <c r="G26" s="1">
        <f t="shared" si="0"/>
        <v>-3</v>
      </c>
      <c r="H26">
        <f t="shared" si="1"/>
        <v>-0.60000000000000009</v>
      </c>
      <c r="I26" t="s">
        <v>28</v>
      </c>
      <c r="J26" t="s">
        <v>33</v>
      </c>
      <c r="K26" t="s">
        <v>38</v>
      </c>
    </row>
    <row r="27" spans="1:11" x14ac:dyDescent="0.3">
      <c r="A27" t="s">
        <v>14</v>
      </c>
      <c r="B27">
        <v>1026</v>
      </c>
      <c r="C27">
        <v>3476</v>
      </c>
      <c r="D27" t="s">
        <v>21</v>
      </c>
      <c r="E27">
        <v>34</v>
      </c>
      <c r="F27" s="1">
        <v>83</v>
      </c>
      <c r="G27" s="1">
        <f t="shared" si="0"/>
        <v>49</v>
      </c>
      <c r="H27">
        <f t="shared" si="1"/>
        <v>9.8000000000000007</v>
      </c>
      <c r="I27" t="s">
        <v>26</v>
      </c>
      <c r="J27" t="s">
        <v>31</v>
      </c>
      <c r="K27" t="s">
        <v>37</v>
      </c>
    </row>
    <row r="28" spans="1:11" x14ac:dyDescent="0.3">
      <c r="A28" t="s">
        <v>14</v>
      </c>
      <c r="B28">
        <v>1027</v>
      </c>
      <c r="C28">
        <v>3543</v>
      </c>
      <c r="D28" t="s">
        <v>18</v>
      </c>
      <c r="E28">
        <v>45</v>
      </c>
      <c r="F28" s="1">
        <v>34</v>
      </c>
      <c r="G28" s="1">
        <f t="shared" si="0"/>
        <v>-11</v>
      </c>
      <c r="H28">
        <f t="shared" si="1"/>
        <v>-1.1000000000000001</v>
      </c>
      <c r="I28" t="s">
        <v>26</v>
      </c>
      <c r="J28" t="s">
        <v>31</v>
      </c>
      <c r="K28" t="s">
        <v>38</v>
      </c>
    </row>
    <row r="29" spans="1:11" x14ac:dyDescent="0.3">
      <c r="A29" t="s">
        <v>14</v>
      </c>
      <c r="B29">
        <v>1028</v>
      </c>
      <c r="C29">
        <v>2553</v>
      </c>
      <c r="D29" t="s">
        <v>19</v>
      </c>
      <c r="E29">
        <v>45</v>
      </c>
      <c r="F29" s="1">
        <v>66</v>
      </c>
      <c r="G29" s="1">
        <f t="shared" si="0"/>
        <v>21</v>
      </c>
      <c r="H29">
        <f t="shared" si="1"/>
        <v>4.2</v>
      </c>
      <c r="I29" t="s">
        <v>28</v>
      </c>
      <c r="J29" t="s">
        <v>33</v>
      </c>
      <c r="K29" t="s">
        <v>38</v>
      </c>
    </row>
    <row r="30" spans="1:11" x14ac:dyDescent="0.3">
      <c r="A30" t="s">
        <v>14</v>
      </c>
      <c r="B30">
        <v>1029</v>
      </c>
      <c r="C30">
        <v>3453</v>
      </c>
      <c r="D30" t="s">
        <v>20</v>
      </c>
      <c r="E30">
        <v>75</v>
      </c>
      <c r="F30" s="1">
        <v>85</v>
      </c>
      <c r="G30" s="1">
        <f t="shared" si="0"/>
        <v>10</v>
      </c>
      <c r="H30">
        <f t="shared" si="1"/>
        <v>2</v>
      </c>
      <c r="I30" t="s">
        <v>25</v>
      </c>
      <c r="J30" t="s">
        <v>30</v>
      </c>
      <c r="K30" t="s">
        <v>34</v>
      </c>
    </row>
    <row r="31" spans="1:11" x14ac:dyDescent="0.3">
      <c r="A31" t="s">
        <v>14</v>
      </c>
      <c r="B31">
        <v>1030</v>
      </c>
      <c r="C31">
        <v>6343</v>
      </c>
      <c r="D31" t="s">
        <v>24</v>
      </c>
      <c r="E31">
        <v>75</v>
      </c>
      <c r="F31" s="1">
        <v>174</v>
      </c>
      <c r="G31" s="1">
        <f t="shared" si="0"/>
        <v>99</v>
      </c>
      <c r="H31">
        <f t="shared" si="1"/>
        <v>19.8</v>
      </c>
      <c r="I31" t="s">
        <v>27</v>
      </c>
      <c r="J31" t="s">
        <v>31</v>
      </c>
      <c r="K31" t="s">
        <v>36</v>
      </c>
    </row>
    <row r="32" spans="1:11" x14ac:dyDescent="0.3">
      <c r="A32" t="s">
        <v>14</v>
      </c>
      <c r="B32">
        <v>1031</v>
      </c>
      <c r="C32">
        <v>6343</v>
      </c>
      <c r="D32" t="s">
        <v>24</v>
      </c>
      <c r="E32">
        <v>75</v>
      </c>
      <c r="F32" s="1">
        <v>62</v>
      </c>
      <c r="G32" s="1">
        <f t="shared" si="0"/>
        <v>-13</v>
      </c>
      <c r="H32">
        <f t="shared" si="1"/>
        <v>-2.6</v>
      </c>
      <c r="I32" t="s">
        <v>26</v>
      </c>
      <c r="J32" t="s">
        <v>31</v>
      </c>
      <c r="K32" t="s">
        <v>39</v>
      </c>
    </row>
    <row r="33" spans="1:11" x14ac:dyDescent="0.3">
      <c r="A33" t="s">
        <v>13</v>
      </c>
      <c r="B33">
        <v>1032</v>
      </c>
      <c r="C33">
        <v>6444</v>
      </c>
      <c r="D33" t="s">
        <v>23</v>
      </c>
      <c r="E33">
        <v>34</v>
      </c>
      <c r="F33" s="1">
        <v>62</v>
      </c>
      <c r="G33" s="1">
        <f t="shared" si="0"/>
        <v>28</v>
      </c>
      <c r="H33">
        <f t="shared" si="1"/>
        <v>5.6000000000000005</v>
      </c>
      <c r="I33" t="s">
        <v>26</v>
      </c>
      <c r="J33" t="s">
        <v>31</v>
      </c>
      <c r="K33" t="s">
        <v>35</v>
      </c>
    </row>
    <row r="34" spans="1:11" x14ac:dyDescent="0.3">
      <c r="A34" t="s">
        <v>13</v>
      </c>
      <c r="B34">
        <v>1033</v>
      </c>
      <c r="C34">
        <v>1153</v>
      </c>
      <c r="D34" t="s">
        <v>17</v>
      </c>
      <c r="E34">
        <v>46</v>
      </c>
      <c r="F34" s="1">
        <v>74</v>
      </c>
      <c r="G34" s="1">
        <f t="shared" ref="G34:G65" si="2">F34-E34</f>
        <v>28</v>
      </c>
      <c r="H34">
        <f t="shared" ref="H34:H65" si="3">IF(F34&gt;50, G34*0.2, G34*0.1)</f>
        <v>5.6000000000000005</v>
      </c>
      <c r="I34" t="s">
        <v>29</v>
      </c>
      <c r="J34" t="s">
        <v>32</v>
      </c>
      <c r="K34" t="s">
        <v>39</v>
      </c>
    </row>
    <row r="35" spans="1:11" x14ac:dyDescent="0.3">
      <c r="A35" t="s">
        <v>12</v>
      </c>
      <c r="B35">
        <v>1034</v>
      </c>
      <c r="C35">
        <v>7898</v>
      </c>
      <c r="D35" t="s">
        <v>22</v>
      </c>
      <c r="E35">
        <v>87</v>
      </c>
      <c r="F35" s="1">
        <v>88</v>
      </c>
      <c r="G35" s="1">
        <f t="shared" si="2"/>
        <v>1</v>
      </c>
      <c r="H35">
        <f t="shared" si="3"/>
        <v>0.2</v>
      </c>
      <c r="I35" t="s">
        <v>25</v>
      </c>
      <c r="J35" t="s">
        <v>30</v>
      </c>
      <c r="K35" t="s">
        <v>34</v>
      </c>
    </row>
    <row r="36" spans="1:11" x14ac:dyDescent="0.3">
      <c r="A36" t="s">
        <v>12</v>
      </c>
      <c r="B36">
        <v>1035</v>
      </c>
      <c r="C36">
        <v>3543</v>
      </c>
      <c r="D36" t="s">
        <v>18</v>
      </c>
      <c r="E36">
        <v>45</v>
      </c>
      <c r="F36" s="1">
        <v>53</v>
      </c>
      <c r="G36" s="1">
        <f t="shared" si="2"/>
        <v>8</v>
      </c>
      <c r="H36">
        <f t="shared" si="3"/>
        <v>1.6</v>
      </c>
      <c r="I36" t="s">
        <v>28</v>
      </c>
      <c r="J36" t="s">
        <v>33</v>
      </c>
      <c r="K36" t="s">
        <v>38</v>
      </c>
    </row>
    <row r="37" spans="1:11" x14ac:dyDescent="0.3">
      <c r="A37" t="s">
        <v>12</v>
      </c>
      <c r="B37">
        <v>1036</v>
      </c>
      <c r="C37">
        <v>3476</v>
      </c>
      <c r="D37" t="s">
        <v>21</v>
      </c>
      <c r="E37">
        <v>34</v>
      </c>
      <c r="F37" s="1">
        <v>63</v>
      </c>
      <c r="G37" s="1">
        <f t="shared" si="2"/>
        <v>29</v>
      </c>
      <c r="H37">
        <f t="shared" si="3"/>
        <v>5.8000000000000007</v>
      </c>
      <c r="I37" t="s">
        <v>29</v>
      </c>
      <c r="J37" t="s">
        <v>32</v>
      </c>
      <c r="K37" t="s">
        <v>39</v>
      </c>
    </row>
    <row r="38" spans="1:11" x14ac:dyDescent="0.3">
      <c r="A38" t="s">
        <v>12</v>
      </c>
      <c r="B38">
        <v>1037</v>
      </c>
      <c r="C38">
        <v>3543</v>
      </c>
      <c r="D38" t="s">
        <v>18</v>
      </c>
      <c r="E38">
        <v>45</v>
      </c>
      <c r="F38" s="1">
        <v>175</v>
      </c>
      <c r="G38" s="1">
        <f t="shared" si="2"/>
        <v>130</v>
      </c>
      <c r="H38">
        <f t="shared" si="3"/>
        <v>26</v>
      </c>
      <c r="I38" t="s">
        <v>29</v>
      </c>
      <c r="J38" t="s">
        <v>32</v>
      </c>
      <c r="K38" t="s">
        <v>39</v>
      </c>
    </row>
    <row r="39" spans="1:11" x14ac:dyDescent="0.3">
      <c r="A39" t="s">
        <v>12</v>
      </c>
      <c r="B39">
        <v>1038</v>
      </c>
      <c r="C39">
        <v>6343</v>
      </c>
      <c r="D39" t="s">
        <v>24</v>
      </c>
      <c r="E39">
        <v>75</v>
      </c>
      <c r="F39" s="1">
        <v>83</v>
      </c>
      <c r="G39" s="1">
        <f t="shared" si="2"/>
        <v>8</v>
      </c>
      <c r="H39">
        <f t="shared" si="3"/>
        <v>1.6</v>
      </c>
      <c r="I39" t="s">
        <v>25</v>
      </c>
      <c r="J39" t="s">
        <v>30</v>
      </c>
      <c r="K39" t="s">
        <v>34</v>
      </c>
    </row>
    <row r="40" spans="1:11" x14ac:dyDescent="0.3">
      <c r="A40" t="s">
        <v>12</v>
      </c>
      <c r="B40">
        <v>1039</v>
      </c>
      <c r="C40">
        <v>6444</v>
      </c>
      <c r="D40" t="s">
        <v>23</v>
      </c>
      <c r="E40">
        <v>34</v>
      </c>
      <c r="F40" s="1">
        <v>63</v>
      </c>
      <c r="G40" s="1">
        <f t="shared" si="2"/>
        <v>29</v>
      </c>
      <c r="H40">
        <f t="shared" si="3"/>
        <v>5.8000000000000007</v>
      </c>
      <c r="I40" t="s">
        <v>27</v>
      </c>
      <c r="J40" t="s">
        <v>31</v>
      </c>
      <c r="K40" t="s">
        <v>34</v>
      </c>
    </row>
    <row r="41" spans="1:11" x14ac:dyDescent="0.3">
      <c r="A41" t="s">
        <v>12</v>
      </c>
      <c r="B41">
        <v>1040</v>
      </c>
      <c r="C41">
        <v>3543</v>
      </c>
      <c r="D41" t="s">
        <v>18</v>
      </c>
      <c r="E41">
        <v>45</v>
      </c>
      <c r="F41" s="1">
        <v>42</v>
      </c>
      <c r="G41" s="1">
        <f t="shared" si="2"/>
        <v>-3</v>
      </c>
      <c r="H41">
        <f t="shared" si="3"/>
        <v>-0.30000000000000004</v>
      </c>
      <c r="I41" t="s">
        <v>28</v>
      </c>
      <c r="J41" t="s">
        <v>33</v>
      </c>
      <c r="K41" t="s">
        <v>38</v>
      </c>
    </row>
    <row r="42" spans="1:11" x14ac:dyDescent="0.3">
      <c r="A42" t="s">
        <v>12</v>
      </c>
      <c r="B42">
        <v>1041</v>
      </c>
      <c r="C42">
        <v>3476</v>
      </c>
      <c r="D42" t="s">
        <v>21</v>
      </c>
      <c r="E42">
        <v>34</v>
      </c>
      <c r="F42" s="1">
        <v>96</v>
      </c>
      <c r="G42" s="1">
        <f t="shared" si="2"/>
        <v>62</v>
      </c>
      <c r="H42">
        <f t="shared" si="3"/>
        <v>12.4</v>
      </c>
      <c r="I42" t="s">
        <v>25</v>
      </c>
      <c r="J42" t="s">
        <v>30</v>
      </c>
      <c r="K42" t="s">
        <v>34</v>
      </c>
    </row>
    <row r="43" spans="1:11" x14ac:dyDescent="0.3">
      <c r="A43" t="s">
        <v>12</v>
      </c>
      <c r="B43">
        <v>1042</v>
      </c>
      <c r="C43">
        <v>2553</v>
      </c>
      <c r="D43" t="s">
        <v>19</v>
      </c>
      <c r="E43">
        <v>45</v>
      </c>
      <c r="F43" s="1">
        <v>64</v>
      </c>
      <c r="G43" s="1">
        <f t="shared" si="2"/>
        <v>19</v>
      </c>
      <c r="H43">
        <f t="shared" si="3"/>
        <v>3.8000000000000003</v>
      </c>
      <c r="I43" t="s">
        <v>29</v>
      </c>
      <c r="J43" t="s">
        <v>32</v>
      </c>
      <c r="K43" t="s">
        <v>39</v>
      </c>
    </row>
    <row r="44" spans="1:11" x14ac:dyDescent="0.3">
      <c r="A44" t="s">
        <v>12</v>
      </c>
      <c r="B44">
        <v>1043</v>
      </c>
      <c r="C44">
        <v>2553</v>
      </c>
      <c r="D44" t="s">
        <v>19</v>
      </c>
      <c r="E44">
        <v>45</v>
      </c>
      <c r="F44" s="1">
        <v>123</v>
      </c>
      <c r="G44" s="1">
        <f t="shared" si="2"/>
        <v>78</v>
      </c>
      <c r="H44">
        <f t="shared" si="3"/>
        <v>15.600000000000001</v>
      </c>
      <c r="I44" t="s">
        <v>28</v>
      </c>
      <c r="J44" t="s">
        <v>33</v>
      </c>
      <c r="K44" t="s">
        <v>36</v>
      </c>
    </row>
    <row r="45" spans="1:11" x14ac:dyDescent="0.3">
      <c r="A45" t="s">
        <v>11</v>
      </c>
      <c r="B45">
        <v>1044</v>
      </c>
      <c r="C45">
        <v>6444</v>
      </c>
      <c r="D45" t="s">
        <v>23</v>
      </c>
      <c r="E45">
        <v>34</v>
      </c>
      <c r="F45" s="1">
        <v>33</v>
      </c>
      <c r="G45" s="1">
        <f t="shared" si="2"/>
        <v>-1</v>
      </c>
      <c r="H45">
        <f t="shared" si="3"/>
        <v>-0.1</v>
      </c>
      <c r="I45" t="s">
        <v>28</v>
      </c>
      <c r="J45" t="s">
        <v>33</v>
      </c>
      <c r="K45" t="s">
        <v>36</v>
      </c>
    </row>
    <row r="46" spans="1:11" x14ac:dyDescent="0.3">
      <c r="A46" t="s">
        <v>11</v>
      </c>
      <c r="B46">
        <v>1045</v>
      </c>
      <c r="C46">
        <v>1153</v>
      </c>
      <c r="D46" t="s">
        <v>17</v>
      </c>
      <c r="E46">
        <v>46</v>
      </c>
      <c r="F46" s="1">
        <v>53</v>
      </c>
      <c r="G46" s="1">
        <f t="shared" si="2"/>
        <v>7</v>
      </c>
      <c r="H46">
        <f t="shared" si="3"/>
        <v>1.4000000000000001</v>
      </c>
      <c r="I46" t="s">
        <v>25</v>
      </c>
      <c r="J46" t="s">
        <v>30</v>
      </c>
      <c r="K46" t="s">
        <v>34</v>
      </c>
    </row>
    <row r="47" spans="1:11" x14ac:dyDescent="0.3">
      <c r="A47" t="s">
        <v>11</v>
      </c>
      <c r="B47">
        <v>1046</v>
      </c>
      <c r="C47">
        <v>3453</v>
      </c>
      <c r="D47" t="s">
        <v>20</v>
      </c>
      <c r="E47">
        <v>75</v>
      </c>
      <c r="F47" s="1">
        <v>42</v>
      </c>
      <c r="G47" s="1">
        <f t="shared" si="2"/>
        <v>-33</v>
      </c>
      <c r="H47">
        <f t="shared" si="3"/>
        <v>-3.3000000000000003</v>
      </c>
      <c r="I47" t="s">
        <v>28</v>
      </c>
      <c r="J47" t="s">
        <v>33</v>
      </c>
      <c r="K47" t="s">
        <v>38</v>
      </c>
    </row>
    <row r="48" spans="1:11" x14ac:dyDescent="0.3">
      <c r="A48" t="s">
        <v>11</v>
      </c>
      <c r="B48">
        <v>1047</v>
      </c>
      <c r="C48">
        <v>6444</v>
      </c>
      <c r="D48" t="s">
        <v>23</v>
      </c>
      <c r="E48">
        <v>34</v>
      </c>
      <c r="F48" s="1">
        <v>43</v>
      </c>
      <c r="G48" s="1">
        <f t="shared" si="2"/>
        <v>9</v>
      </c>
      <c r="H48">
        <f t="shared" si="3"/>
        <v>0.9</v>
      </c>
      <c r="I48" t="s">
        <v>29</v>
      </c>
      <c r="J48" t="s">
        <v>32</v>
      </c>
      <c r="K48" t="s">
        <v>39</v>
      </c>
    </row>
    <row r="49" spans="1:11" x14ac:dyDescent="0.3">
      <c r="A49" t="s">
        <v>11</v>
      </c>
      <c r="B49">
        <v>1048</v>
      </c>
      <c r="C49">
        <v>6343</v>
      </c>
      <c r="D49" t="s">
        <v>24</v>
      </c>
      <c r="E49">
        <v>75</v>
      </c>
      <c r="F49" s="1">
        <v>85</v>
      </c>
      <c r="G49" s="1">
        <f t="shared" si="2"/>
        <v>10</v>
      </c>
      <c r="H49">
        <f t="shared" si="3"/>
        <v>2</v>
      </c>
      <c r="I49" t="s">
        <v>25</v>
      </c>
      <c r="J49" t="s">
        <v>30</v>
      </c>
      <c r="K49" t="s">
        <v>39</v>
      </c>
    </row>
    <row r="50" spans="1:11" x14ac:dyDescent="0.3">
      <c r="A50" t="s">
        <v>11</v>
      </c>
      <c r="B50">
        <v>1049</v>
      </c>
      <c r="C50">
        <v>3543</v>
      </c>
      <c r="D50" t="s">
        <v>18</v>
      </c>
      <c r="E50">
        <v>45</v>
      </c>
      <c r="F50" s="1">
        <v>75</v>
      </c>
      <c r="G50" s="1">
        <f t="shared" si="2"/>
        <v>30</v>
      </c>
      <c r="H50">
        <f t="shared" si="3"/>
        <v>6</v>
      </c>
      <c r="I50" t="s">
        <v>29</v>
      </c>
      <c r="J50" t="s">
        <v>32</v>
      </c>
      <c r="K50" t="s">
        <v>39</v>
      </c>
    </row>
    <row r="52" spans="1:11" x14ac:dyDescent="0.3">
      <c r="A52" s="5" t="s">
        <v>48</v>
      </c>
      <c r="B52" s="5"/>
      <c r="C52" s="5"/>
      <c r="D52" s="5"/>
      <c r="E52" s="1">
        <f>SUM(F2:F50)</f>
        <v>4147</v>
      </c>
    </row>
    <row r="53" spans="1:11" x14ac:dyDescent="0.3">
      <c r="A53" s="6" t="s">
        <v>49</v>
      </c>
      <c r="B53" s="6"/>
      <c r="C53" s="6"/>
      <c r="D53" s="6"/>
      <c r="E53">
        <f>SUMIF(F2:F50, "&gt;50")</f>
        <v>3868</v>
      </c>
    </row>
    <row r="54" spans="1:11" x14ac:dyDescent="0.3">
      <c r="A54" s="6" t="s">
        <v>50</v>
      </c>
      <c r="B54" s="6"/>
      <c r="C54" s="6"/>
      <c r="D54" s="6"/>
      <c r="E54">
        <f>SUMIF(F2:F50, "&lt;=50")</f>
        <v>279</v>
      </c>
    </row>
  </sheetData>
  <sortState xmlns:xlrd2="http://schemas.microsoft.com/office/spreadsheetml/2017/richdata2" ref="A2:K50">
    <sortCondition ref="B2:B50"/>
  </sortState>
  <mergeCells count="3">
    <mergeCell ref="A52:D52"/>
    <mergeCell ref="A53:D53"/>
    <mergeCell ref="A54:D5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Reza Rezaiee</dc:creator>
  <cp:lastModifiedBy>Ali Reza Rezaiee</cp:lastModifiedBy>
  <dcterms:created xsi:type="dcterms:W3CDTF">2026-08-15T14:22:33Z</dcterms:created>
  <dcterms:modified xsi:type="dcterms:W3CDTF">2026-08-16T10:16:01Z</dcterms:modified>
</cp:coreProperties>
</file>