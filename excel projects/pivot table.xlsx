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DELL\Desktop\"/>
    </mc:Choice>
  </mc:AlternateContent>
  <xr:revisionPtr revIDLastSave="0" documentId="13_ncr:1_{FAB45569-CC9A-477C-85BC-1E3C09C2E073}" xr6:coauthVersionLast="47" xr6:coauthVersionMax="47" xr10:uidLastSave="{00000000-0000-0000-0000-000000000000}"/>
  <bookViews>
    <workbookView xWindow="24" yWindow="24" windowWidth="23016" windowHeight="12216" activeTab="1" xr2:uid="{5CA11FA5-0F5D-4618-883A-B11B8B86257F}"/>
  </bookViews>
  <sheets>
    <sheet name="p_table" sheetId="2" r:id="rId1"/>
    <sheet name="data" sheetId="1" r:id="rId2"/>
  </sheets>
  <definedNames>
    <definedName name="NativeTimeline_date">#N/A</definedName>
    <definedName name="Slicer_product">#N/A</definedName>
  </definedNames>
  <calcPr calcId="191029"/>
  <pivotCaches>
    <pivotCache cacheId="41"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5"/>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<sst xmlns="http://schemas.openxmlformats.org/spreadsheetml/2006/main" count="41" uniqueCount="17">
  <si>
    <t>order id</t>
  </si>
  <si>
    <t>product</t>
  </si>
  <si>
    <t xml:space="preserve">units sold </t>
  </si>
  <si>
    <t xml:space="preserve">date </t>
  </si>
  <si>
    <t>revenue</t>
  </si>
  <si>
    <t>nut</t>
  </si>
  <si>
    <t>chocolate chip</t>
  </si>
  <si>
    <t>oatmeal</t>
  </si>
  <si>
    <t>customer id</t>
  </si>
  <si>
    <t>cost</t>
  </si>
  <si>
    <t>Sum of revenue</t>
  </si>
  <si>
    <t>Grand Total</t>
  </si>
  <si>
    <t>total revenue</t>
  </si>
  <si>
    <t>% of revenue</t>
  </si>
  <si>
    <t>Column Labels</t>
  </si>
  <si>
    <t>Row Labels</t>
  </si>
  <si>
    <t xml:space="preserve"> profitMargin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</si>
</sst>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
  </numFmts>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right/>
      <top/>
      <bottom style="thick">
        <color indexed="64"/>
      </bottom>
      <diagonal/>
    </border>
  </borders>
  <cellStyleXfs count="1">
    <xf numFmtId="0" fontId="0" fillId="0" borderId="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0" xfId="0" applyBorder="1" applyAlignment="1">
      <alignment horizontal="left"/>
    </xf>
    <xf numFmtId="164" fontId="0" fillId="0" borderId="0" xfId="0" applyNumberFormat="1" applyBorder="1"/>
    <xf numFmtId="10" fontId="0" fillId="0" borderId="0" xfId="0" applyNumberFormat="1" applyBorder="1"/>
    <xf numFmtId="0" fontId="0" fillId="0" borderId="0" xfId="0" applyBorder="1"/>
    <xf numFmtId="0" fontId="0" fillId="0" borderId="1" xfId="0" applyBorder="1"/>
    <xf numFmtId="0" fontId="0" fillId="0" borderId="0" xfId="0" applyNumberFormat="1"/>
  </cellXfs>
  <cellStyles count="1">
    <cellStyle name="Normal" xfId="0" builtinId="0"/>
  </cellStyles>
  <dxfs count="5">
    <dxf>
      <alignment wrapText="1"/>
    </dxf>
    <dxf>
      <numFmt numFmtId="19" formatCode="m/d/yyyy"/>
    </dxf>
    <dxf>
      <numFmt numFmtId="14" formatCode="0.00%"/>
    </dxf>
    <dxf>
      <numFmt numFmtId="164" formatCode="[$$-409]#,##0"/>
    </dxf>
    <dxf>
      <numFmt numFmtId="164" formatCode="[$$-409]#,##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11/relationships/timelineCache" Target="timelineCaches/timelineCach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table.xlsx]p_table!PivotTable2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pivot table</a:t>
            </a:r>
            <a:r>
              <a:rPr lang="en-US" baseline="0"/>
              <a:t> 2 chart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p_table!$B$15:$B$16</c:f>
              <c:strCache>
                <c:ptCount val="1"/>
                <c:pt idx="0">
                  <c:v>chocolate chip</c:v>
                </c:pt>
              </c:strCache>
            </c:strRef>
          </c:tx>
          <c:spPr>
            <a:solidFill>
              <a:schemeClr val="accent1"/>
            </a:solidFill>
            <a:ln>
              <a:noFill/>
            </a:ln>
            <a:effectLst/>
          </c:spPr>
          <c:invertIfNegative val="0"/>
          <c:cat>
            <c:strRef>
              <c:f>p_table!$A$17:$A$22</c:f>
              <c:strCache>
                <c:ptCount val="5"/>
                <c:pt idx="0">
                  <c:v>2</c:v>
                </c:pt>
                <c:pt idx="1">
                  <c:v>3</c:v>
                </c:pt>
                <c:pt idx="2">
                  <c:v>4</c:v>
                </c:pt>
                <c:pt idx="3">
                  <c:v>5</c:v>
                </c:pt>
                <c:pt idx="4">
                  <c:v>6</c:v>
                </c:pt>
              </c:strCache>
            </c:strRef>
          </c:cat>
          <c:val>
            <c:numRef>
              <c:f>p_table!$B$17:$B$22</c:f>
              <c:numCache>
                <c:formatCode>[$$-409]#,##0</c:formatCode>
                <c:ptCount val="5"/>
                <c:pt idx="0">
                  <c:v>54855</c:v>
                </c:pt>
                <c:pt idx="1">
                  <c:v>41385</c:v>
                </c:pt>
                <c:pt idx="2">
                  <c:v>37290</c:v>
                </c:pt>
                <c:pt idx="3">
                  <c:v>22463</c:v>
                </c:pt>
                <c:pt idx="4">
                  <c:v>34234</c:v>
                </c:pt>
              </c:numCache>
            </c:numRef>
          </c:val>
          <c:extLst>
            <c:ext xmlns:c16="http://schemas.microsoft.com/office/drawing/2014/chart" uri="{C3380CC4-5D6E-409C-BE32-E72D297353CC}">
              <c16:uniqueId val="{00000000-1A64-4822-9ECA-DFAD3229023C}"/>
            </c:ext>
          </c:extLst>
        </c:ser>
        <c:ser>
          <c:idx val="1"/>
          <c:order val="1"/>
          <c:tx>
            <c:strRef>
              <c:f>p_table!$C$15:$C$16</c:f>
              <c:strCache>
                <c:ptCount val="1"/>
                <c:pt idx="0">
                  <c:v>nut</c:v>
                </c:pt>
              </c:strCache>
            </c:strRef>
          </c:tx>
          <c:spPr>
            <a:solidFill>
              <a:schemeClr val="accent2"/>
            </a:solidFill>
            <a:ln>
              <a:noFill/>
            </a:ln>
            <a:effectLst/>
          </c:spPr>
          <c:invertIfNegative val="0"/>
          <c:cat>
            <c:strRef>
              <c:f>p_table!$A$17:$A$22</c:f>
              <c:strCache>
                <c:ptCount val="5"/>
                <c:pt idx="0">
                  <c:v>2</c:v>
                </c:pt>
                <c:pt idx="1">
                  <c:v>3</c:v>
                </c:pt>
                <c:pt idx="2">
                  <c:v>4</c:v>
                </c:pt>
                <c:pt idx="3">
                  <c:v>5</c:v>
                </c:pt>
                <c:pt idx="4">
                  <c:v>6</c:v>
                </c:pt>
              </c:strCache>
            </c:strRef>
          </c:cat>
          <c:val>
            <c:numRef>
              <c:f>p_table!$C$17:$C$22</c:f>
              <c:numCache>
                <c:formatCode>[$$-409]#,##0</c:formatCode>
                <c:ptCount val="5"/>
                <c:pt idx="1">
                  <c:v>47419</c:v>
                </c:pt>
                <c:pt idx="2">
                  <c:v>63660</c:v>
                </c:pt>
                <c:pt idx="3">
                  <c:v>23184</c:v>
                </c:pt>
              </c:numCache>
            </c:numRef>
          </c:val>
          <c:extLst>
            <c:ext xmlns:c16="http://schemas.microsoft.com/office/drawing/2014/chart" uri="{C3380CC4-5D6E-409C-BE32-E72D297353CC}">
              <c16:uniqueId val="{00000002-6B89-4C93-9DAD-154AC6E71366}"/>
            </c:ext>
          </c:extLst>
        </c:ser>
        <c:ser>
          <c:idx val="2"/>
          <c:order val="2"/>
          <c:tx>
            <c:strRef>
              <c:f>p_table!$D$15:$D$16</c:f>
              <c:strCache>
                <c:ptCount val="1"/>
                <c:pt idx="0">
                  <c:v>oatmeal</c:v>
                </c:pt>
              </c:strCache>
            </c:strRef>
          </c:tx>
          <c:spPr>
            <a:solidFill>
              <a:schemeClr val="accent3"/>
            </a:solidFill>
            <a:ln>
              <a:noFill/>
            </a:ln>
            <a:effectLst/>
          </c:spPr>
          <c:invertIfNegative val="0"/>
          <c:cat>
            <c:strRef>
              <c:f>p_table!$A$17:$A$22</c:f>
              <c:strCache>
                <c:ptCount val="5"/>
                <c:pt idx="0">
                  <c:v>2</c:v>
                </c:pt>
                <c:pt idx="1">
                  <c:v>3</c:v>
                </c:pt>
                <c:pt idx="2">
                  <c:v>4</c:v>
                </c:pt>
                <c:pt idx="3">
                  <c:v>5</c:v>
                </c:pt>
                <c:pt idx="4">
                  <c:v>6</c:v>
                </c:pt>
              </c:strCache>
            </c:strRef>
          </c:cat>
          <c:val>
            <c:numRef>
              <c:f>p_table!$D$17:$D$22</c:f>
              <c:numCache>
                <c:formatCode>[$$-409]#,##0</c:formatCode>
                <c:ptCount val="5"/>
                <c:pt idx="1">
                  <c:v>17603</c:v>
                </c:pt>
                <c:pt idx="2">
                  <c:v>21098</c:v>
                </c:pt>
              </c:numCache>
            </c:numRef>
          </c:val>
          <c:extLst>
            <c:ext xmlns:c16="http://schemas.microsoft.com/office/drawing/2014/chart" uri="{C3380CC4-5D6E-409C-BE32-E72D297353CC}">
              <c16:uniqueId val="{00000003-6B89-4C93-9DAD-154AC6E71366}"/>
            </c:ext>
          </c:extLst>
        </c:ser>
        <c:dLbls>
          <c:showLegendKey val="0"/>
          <c:showVal val="0"/>
          <c:showCatName val="0"/>
          <c:showSerName val="0"/>
          <c:showPercent val="0"/>
          <c:showBubbleSize val="0"/>
        </c:dLbls>
        <c:gapWidth val="219"/>
        <c:overlap val="-27"/>
        <c:axId val="2139473679"/>
        <c:axId val="2139497199"/>
      </c:barChart>
      <c:catAx>
        <c:axId val="213947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497199"/>
        <c:crosses val="autoZero"/>
        <c:auto val="1"/>
        <c:lblAlgn val="ctr"/>
        <c:lblOffset val="100"/>
        <c:noMultiLvlLbl val="0"/>
      </c:catAx>
      <c:valAx>
        <c:axId val="2139497199"/>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473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144780</xdr:colOff>
      <xdr:row>9</xdr:row>
      <xdr:rowOff>160020</xdr:rowOff>
    </xdr:from>
    <xdr:to>
      <xdr:col>11</xdr:col>
      <xdr:colOff>396240</xdr:colOff>
      <xdr:row>23</xdr:row>
      <xdr:rowOff>53340</xdr:rowOff>
    </xdr:to>
    <xdr:graphicFrame macro="">
      <xdr:nvGraphicFramePr>
        <xdr:cNvPr id="2" name="Chart 1">
          <a:extLst>
            <a:ext uri="{FF2B5EF4-FFF2-40B4-BE49-F238E27FC236}">
              <a16:creationId xmlns:a16="http://schemas.microsoft.com/office/drawing/2014/main" id="{B74F7CDB-4666-6FFF-80D0-AE5C8AB4A3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403860</xdr:colOff>
      <xdr:row>9</xdr:row>
      <xdr:rowOff>175261</xdr:rowOff>
    </xdr:from>
    <xdr:to>
      <xdr:col>16</xdr:col>
      <xdr:colOff>175260</xdr:colOff>
      <xdr:row>23</xdr:row>
      <xdr:rowOff>45721</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F2427DF4-4F02-CEA1-5B3B-BA8AA02C1ADC}"/>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865620" y="1821181"/>
              <a:ext cx="1828800" cy="2438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175260</xdr:colOff>
      <xdr:row>10</xdr:row>
      <xdr:rowOff>15240</xdr:rowOff>
    </xdr:from>
    <xdr:to>
      <xdr:col>21</xdr:col>
      <xdr:colOff>350520</xdr:colOff>
      <xdr:row>17</xdr:row>
      <xdr:rowOff>106680</xdr:rowOff>
    </xdr:to>
    <mc:AlternateContent xmlns:mc="http://schemas.openxmlformats.org/markup-compatibility/2006" xmlns:tsle="http://schemas.microsoft.com/office/drawing/2012/timeslicer">
      <mc:Choice Requires="tsle">
        <xdr:graphicFrame macro="">
          <xdr:nvGraphicFramePr>
            <xdr:cNvPr id="4" name="date ">
              <a:extLst>
                <a:ext uri="{FF2B5EF4-FFF2-40B4-BE49-F238E27FC236}">
                  <a16:creationId xmlns:a16="http://schemas.microsoft.com/office/drawing/2014/main" id="{D7394504-A07B-D080-CE52-CB5BB1FB7005}"/>
                </a:ext>
              </a:extLst>
            </xdr:cNvPr>
            <xdr:cNvGraphicFramePr/>
          </xdr:nvGraphicFramePr>
          <xdr:xfrm>
            <a:off x="0" y="0"/>
            <a:ext cx="0" cy="0"/>
          </xdr:xfrm>
          <a:graphic>
            <a:graphicData uri="http://schemas.microsoft.com/office/drawing/2012/timeslicer">
              <tsle:timeslicer name="date "/>
            </a:graphicData>
          </a:graphic>
        </xdr:graphicFrame>
      </mc:Choice>
      <mc:Fallback xmlns="">
        <xdr:sp macro="" textlink="">
          <xdr:nvSpPr>
            <xdr:cNvPr id="0" name=""/>
            <xdr:cNvSpPr>
              <a:spLocks noTextEdit="1"/>
            </xdr:cNvSpPr>
          </xdr:nvSpPr>
          <xdr:spPr>
            <a:xfrm>
              <a:off x="8694420" y="184404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61.934747453706" createdVersion="8" refreshedVersion="8" minRefreshableVersion="3" recordCount="17" xr:uid="{2CF9197D-548F-48C4-8BDA-6901FB60C4E8}">
  <cacheSource type="worksheet">
    <worksheetSource name="my_cookie_store"/>
  </cacheSource>
  <cacheFields count="9">
    <cacheField name="customer id" numFmtId="0">
      <sharedItems containsSemiMixedTypes="0" containsString="0" containsNumber="1" containsInteger="1" minValue="2" maxValue="6" count="5">
        <n v="3"/>
        <n v="5"/>
        <n v="4"/>
        <n v="2"/>
        <n v="6"/>
      </sharedItems>
    </cacheField>
    <cacheField name="order id" numFmtId="0">
      <sharedItems containsSemiMixedTypes="0" containsString="0" containsNumber="1" containsInteger="1" minValue="23" maxValue="86"/>
    </cacheField>
    <cacheField name="product" numFmtId="0">
      <sharedItems count="3">
        <s v="nut"/>
        <s v="chocolate chip"/>
        <s v="oatmeal"/>
      </sharedItems>
    </cacheField>
    <cacheField name="units sold " numFmtId="0">
      <sharedItems containsSemiMixedTypes="0" containsString="0" containsNumber="1" minValue="2343" maxValue="4492.5"/>
    </cacheField>
    <cacheField name="date " numFmtId="14">
      <sharedItems containsSemiMixedTypes="0" containsNonDate="0" containsDate="1" containsString="0" minDate="2020-01-01T00:00:00" maxDate="2020-10-02T00:00:00" count="6">
        <d v="2020-01-01T00:00:00"/>
        <d v="2020-04-01T00:00:00"/>
        <d v="2020-07-01T00:00:00"/>
        <d v="2020-10-01T00:00:00"/>
        <d v="2020-01-02T00:00:00"/>
        <d v="2020-01-03T00:00:00"/>
      </sharedItems>
    </cacheField>
    <cacheField name="revenue" numFmtId="0">
      <sharedItems containsSemiMixedTypes="0" containsString="0" containsNumber="1" containsInteger="1" minValue="17475" maxValue="34234"/>
    </cacheField>
    <cacheField name="cost" numFmtId="0">
      <sharedItems containsSemiMixedTypes="0" containsString="0" containsNumber="1" containsInteger="1" minValue="6990" maxValue="23432"/>
    </cacheField>
    <cacheField name="privateMargin" numFmtId="0" formula="revenue -cost" databaseField="0"/>
    <cacheField name="profitMargin" numFmtId="0" formula="revenue -cost" databaseField="0"/>
  </cacheFields>
  <extLst>
    <ext xmlns:x14="http://schemas.microsoft.com/office/spreadsheetml/2009/9/main" uri="{725AE2AE-9491-48be-B2B4-4EB974FC3084}">
      <x14:pivotCacheDefinition pivotCacheId="10393428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
  <r>
    <x v="0"/>
    <n v="39"/>
    <x v="0"/>
    <n v="3997.5"/>
    <x v="0"/>
    <n v="23985"/>
    <n v="10993"/>
  </r>
  <r>
    <x v="1"/>
    <n v="61"/>
    <x v="0"/>
    <n v="3864"/>
    <x v="1"/>
    <n v="23184"/>
    <n v="10626"/>
  </r>
  <r>
    <x v="2"/>
    <n v="76"/>
    <x v="0"/>
    <n v="3850.5"/>
    <x v="1"/>
    <n v="23103"/>
    <n v="10589"/>
  </r>
  <r>
    <x v="2"/>
    <n v="71"/>
    <x v="0"/>
    <n v="3793.5"/>
    <x v="2"/>
    <n v="22761"/>
    <n v="10432"/>
  </r>
  <r>
    <x v="1"/>
    <n v="28"/>
    <x v="1"/>
    <n v="4492.5"/>
    <x v="1"/>
    <n v="22463"/>
    <n v="8985"/>
  </r>
  <r>
    <x v="0"/>
    <n v="23"/>
    <x v="1"/>
    <n v="4251"/>
    <x v="0"/>
    <n v="21255"/>
    <n v="8502"/>
  </r>
  <r>
    <x v="2"/>
    <n v="73"/>
    <x v="2"/>
    <n v="4219.5"/>
    <x v="1"/>
    <n v="21098"/>
    <n v="9283"/>
  </r>
  <r>
    <x v="0"/>
    <n v="25"/>
    <x v="1"/>
    <n v="4026"/>
    <x v="2"/>
    <n v="20130"/>
    <n v="8052"/>
  </r>
  <r>
    <x v="2"/>
    <n v="36"/>
    <x v="1"/>
    <n v="3945"/>
    <x v="0"/>
    <n v="19725"/>
    <n v="7890"/>
  </r>
  <r>
    <x v="3"/>
    <n v="60"/>
    <x v="1"/>
    <n v="3801"/>
    <x v="1"/>
    <n v="19005"/>
    <n v="7602"/>
  </r>
  <r>
    <x v="3"/>
    <n v="64"/>
    <x v="1"/>
    <n v="3675"/>
    <x v="1"/>
    <n v="18375"/>
    <n v="7350"/>
  </r>
  <r>
    <x v="2"/>
    <n v="86"/>
    <x v="0"/>
    <n v="2966"/>
    <x v="3"/>
    <n v="17796"/>
    <n v="8157"/>
  </r>
  <r>
    <x v="0"/>
    <n v="27"/>
    <x v="2"/>
    <n v="3520.5"/>
    <x v="1"/>
    <n v="17603"/>
    <n v="7745"/>
  </r>
  <r>
    <x v="2"/>
    <n v="45"/>
    <x v="1"/>
    <n v="3513"/>
    <x v="2"/>
    <n v="17565"/>
    <n v="7026"/>
  </r>
  <r>
    <x v="3"/>
    <n v="62"/>
    <x v="1"/>
    <n v="3495"/>
    <x v="0"/>
    <n v="17475"/>
    <n v="6990"/>
  </r>
  <r>
    <x v="4"/>
    <n v="43"/>
    <x v="1"/>
    <n v="4234"/>
    <x v="4"/>
    <n v="34234"/>
    <n v="23432"/>
  </r>
  <r>
    <x v="0"/>
    <n v="25"/>
    <x v="0"/>
    <n v="2343"/>
    <x v="5"/>
    <n v="23434"/>
    <n v="132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B4965C-78B8-4BE8-B676-783B06E93F00}" name="PivotTable1"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id">
  <location ref="A3:C9" firstHeaderRow="0" firstDataRow="1" firstDataCol="1" rowPageCount="1" colPageCount="1"/>
  <pivotFields count="9">
    <pivotField axis="axisRow" showAll="0">
      <items count="6">
        <item x="3"/>
        <item x="0"/>
        <item x="2"/>
        <item x="1"/>
        <item x="4"/>
        <item t="default"/>
      </items>
    </pivotField>
    <pivotField showAll="0"/>
    <pivotField axis="axisPage" showAll="0">
      <items count="4">
        <item x="1"/>
        <item x="0"/>
        <item x="2"/>
        <item t="default"/>
      </items>
    </pivotField>
    <pivotField showAll="0"/>
    <pivotField numFmtId="14" showAll="0"/>
    <pivotField dataField="1" showAll="0"/>
    <pivotField showAll="0"/>
    <pivotField dragToRow="0" dragToCol="0" dragToPage="0" showAll="0" defaultSubtotal="0"/>
    <pivotField dragToRow="0" dragToCol="0" dragToPage="0" showAll="0" defaultSubtotal="0"/>
  </pivotFields>
  <rowFields count="1">
    <field x="0"/>
  </rowFields>
  <rowItems count="6">
    <i>
      <x/>
    </i>
    <i>
      <x v="1"/>
    </i>
    <i>
      <x v="2"/>
    </i>
    <i>
      <x v="3"/>
    </i>
    <i>
      <x v="4"/>
    </i>
    <i t="grand">
      <x/>
    </i>
  </rowItems>
  <colFields count="1">
    <field x="-2"/>
  </colFields>
  <colItems count="2">
    <i>
      <x/>
    </i>
    <i i="1">
      <x v="1"/>
    </i>
  </colItems>
  <pageFields count="1">
    <pageField fld="2" item="0" hier="-1"/>
  </pageFields>
  <dataFields count="2">
    <dataField name="total revenue" fld="5" baseField="0" baseItem="0" numFmtId="164"/>
    <dataField name="% of revenue" fld="5" showDataAs="percentOfCol" baseField="0" baseItem="0" numFmtId="10"/>
  </dataFields>
  <formats count="3">
    <format dxfId="4">
      <pivotArea dataOnly="0" labelOnly="1" outline="0" fieldPosition="0">
        <references count="1">
          <reference field="4294967294" count="1">
            <x v="0"/>
          </reference>
        </references>
      </pivotArea>
    </format>
    <format dxfId="3">
      <pivotArea outline="0" fieldPosition="0">
        <references count="1">
          <reference field="4294967294" count="1">
            <x v="0"/>
          </reference>
        </references>
      </pivotArea>
    </format>
    <format dxfId="2">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7DE1CB-B3B3-4B72-B233-74A9707B0C6C}" name="PivotTable3"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B33" firstHeaderRow="1" firstDataRow="1" firstDataCol="1"/>
  <pivotFields count="9">
    <pivotField axis="axisRow" showAll="0">
      <items count="6">
        <item x="3"/>
        <item x="0"/>
        <item x="2"/>
        <item x="1"/>
        <item x="4"/>
        <item t="default"/>
      </items>
    </pivotField>
    <pivotField showAll="0"/>
    <pivotField showAll="0"/>
    <pivotField showAll="0"/>
    <pivotField numFmtId="14" showAll="0"/>
    <pivotField showAll="0"/>
    <pivotField showAll="0"/>
    <pivotField dragToRow="0" dragToCol="0" dragToPage="0" showAll="0" defaultSubtotal="0"/>
    <pivotField dataField="1" dragToRow="0" dragToCol="0" dragToPage="0" showAll="0" defaultSubtotal="0"/>
  </pivotFields>
  <rowFields count="1">
    <field x="0"/>
  </rowFields>
  <rowItems count="6">
    <i>
      <x/>
    </i>
    <i>
      <x v="1"/>
    </i>
    <i>
      <x v="2"/>
    </i>
    <i>
      <x v="3"/>
    </i>
    <i>
      <x v="4"/>
    </i>
    <i t="grand">
      <x/>
    </i>
  </rowItems>
  <colItems count="1">
    <i/>
  </colItems>
  <dataFields count="1">
    <dataField name=" profitMargin" fld="8" baseField="0" baseItem="0"/>
  </dataFields>
  <formats count="1">
    <format dxfId="0">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E1F7B6-AB45-4AAD-991B-F269DADAE73B}" name="PivotTable2" cacheId="4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rowHeaderCaption="customer id">
  <location ref="A15:E22" firstHeaderRow="1" firstDataRow="2" firstDataCol="1"/>
  <pivotFields count="9">
    <pivotField axis="axisRow" showAll="0">
      <items count="6">
        <item x="3"/>
        <item x="0"/>
        <item x="2"/>
        <item x="1"/>
        <item x="4"/>
        <item t="default"/>
      </items>
    </pivotField>
    <pivotField showAll="0"/>
    <pivotField axis="axisCol" showAll="0">
      <items count="4">
        <item x="1"/>
        <item x="0"/>
        <item x="2"/>
        <item t="default"/>
      </items>
    </pivotField>
    <pivotField showAll="0"/>
    <pivotField numFmtId="14" showAll="0">
      <items count="7">
        <item x="0"/>
        <item x="4"/>
        <item x="5"/>
        <item x="1"/>
        <item x="2"/>
        <item x="3"/>
        <item t="default"/>
      </items>
    </pivotField>
    <pivotField dataField="1" showAll="0"/>
    <pivotField showAll="0"/>
    <pivotField dragToRow="0" dragToCol="0" dragToPage="0" showAll="0" defaultSubtotal="0"/>
    <pivotField dragToRow="0" dragToCol="0" dragToPage="0" showAll="0" defaultSubtotal="0"/>
  </pivotFields>
  <rowFields count="1">
    <field x="0"/>
  </rowFields>
  <rowItems count="6">
    <i>
      <x/>
    </i>
    <i>
      <x v="1"/>
    </i>
    <i>
      <x v="2"/>
    </i>
    <i>
      <x v="3"/>
    </i>
    <i>
      <x v="4"/>
    </i>
    <i t="grand">
      <x/>
    </i>
  </rowItems>
  <colFields count="1">
    <field x="2"/>
  </colFields>
  <colItems count="4">
    <i>
      <x/>
    </i>
    <i>
      <x v="1"/>
    </i>
    <i>
      <x v="2"/>
    </i>
    <i t="grand">
      <x/>
    </i>
  </colItems>
  <dataFields count="1">
    <dataField name="Sum of revenue" fld="5" baseField="0" baseItem="0" numFmtId="164"/>
  </dataFields>
  <chartFormats count="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dateBetween" evalOrder="-1" id="30" name="date ">
      <autoFilter ref="A1">
        <filterColumn colId="0">
          <customFilters and="1">
            <customFilter operator="greaterThanOrEqual" val="43831"/>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B1A3F26-D418-463E-844B-513C2797F8E9}" sourceName="product">
  <pivotTables>
    <pivotTable tabId="2" name="PivotTable2"/>
  </pivotTables>
  <data>
    <tabular pivotCacheId="1039342843">
      <items count="3">
        <i x="1" s="1"/>
        <i x="0"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6F8C7E3F-9F67-44B7-98B7-7EE6D8888C1A}" cache="Slicer_product" caption="produc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5CC030-7F7B-4C45-835D-539B2E1B8B13}" name="my_cookie_store" displayName="my_cookie_store" ref="A1:G18" totalsRowShown="0">
  <autoFilter ref="A1:G18" xr:uid="{B35CC030-7F7B-4C45-835D-539B2E1B8B13}"/>
  <tableColumns count="7">
    <tableColumn id="1" xr3:uid="{028F7547-7ADA-4376-BCBC-12AF484F70DA}" name="customer id"/>
    <tableColumn id="2" xr3:uid="{E1EC3664-91F3-4691-B842-8E0CDAFDBBCC}" name="order id"/>
    <tableColumn id="3" xr3:uid="{6F0A1076-65BD-4472-AB9E-CF42A79BE9EF}" name="product"/>
    <tableColumn id="4" xr3:uid="{81753CCA-7ECF-4758-A0CE-B0073926E741}" name="units sold "/>
    <tableColumn id="5" xr3:uid="{76B622B5-E573-4641-853A-0E265FCC9078}" name="date " dataDxfId="1"/>
    <tableColumn id="6" xr3:uid="{F332D23A-4C11-4365-B2BC-D4C6A2A57EB4}" name="revenue"/>
    <tableColumn id="7" xr3:uid="{D15556BB-8468-49CE-9C75-5DFBCC11AC78}" name="cos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26B6A0FB-0690-43C3-8F16-D207B6D5014F}" sourceName="date ">
  <pivotTables>
    <pivotTable tabId="2" name="PivotTable2"/>
  </pivotTables>
  <state minimalRefreshVersion="6" lastRefreshVersion="6" pivotCacheId="1039342843" filterType="dateBetween">
    <selection startDate="2020-01-01T00:00:00" endDate="2020-12-31T00:00:00"/>
    <bounds startDate="2020-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 xr10:uid="{77F00F5E-386B-4E60-9191-3D1C8AE73F6E}" cache="NativeTimeline_date" caption="date " level="2" selectionLevel="0" scrollPosition="2020-01-0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8A296-BF12-43BB-B07D-6C3E7BAB6F19}">
  <dimension ref="A1:W36"/>
  <sheetViews>
    <sheetView workbookViewId="0">
      <selection activeCell="P33" sqref="P33"/>
    </sheetView>
  </sheetViews>
  <sheetFormatPr defaultRowHeight="14.4" x14ac:dyDescent="0.3"/>
  <cols>
    <col min="1" max="1" width="13.6640625" bestFit="1" customWidth="1"/>
    <col min="2" max="2" width="15.5546875" bestFit="1" customWidth="1"/>
    <col min="3" max="3" width="8.5546875" bestFit="1" customWidth="1"/>
    <col min="4" max="4" width="7.88671875" bestFit="1" customWidth="1"/>
    <col min="5" max="5" width="10.5546875" bestFit="1" customWidth="1"/>
    <col min="6" max="16" width="6" bestFit="1" customWidth="1"/>
    <col min="17" max="17" width="10.5546875" bestFit="1" customWidth="1"/>
  </cols>
  <sheetData>
    <row r="1" spans="1:23" x14ac:dyDescent="0.3">
      <c r="A1" s="2" t="s">
        <v>1</v>
      </c>
      <c r="B1" t="s">
        <v>6</v>
      </c>
    </row>
    <row r="3" spans="1:23" x14ac:dyDescent="0.3">
      <c r="A3" s="2" t="s">
        <v>8</v>
      </c>
      <c r="B3" s="4" t="s">
        <v>12</v>
      </c>
      <c r="C3" t="s">
        <v>13</v>
      </c>
    </row>
    <row r="4" spans="1:23" x14ac:dyDescent="0.3">
      <c r="A4" s="3">
        <v>2</v>
      </c>
      <c r="B4" s="4">
        <v>54855</v>
      </c>
      <c r="C4" s="5">
        <v>0.28836600482581337</v>
      </c>
    </row>
    <row r="5" spans="1:23" x14ac:dyDescent="0.3">
      <c r="A5" s="3">
        <v>3</v>
      </c>
      <c r="B5" s="4">
        <v>41385</v>
      </c>
      <c r="C5" s="5">
        <v>0.21755586746360928</v>
      </c>
    </row>
    <row r="6" spans="1:23" x14ac:dyDescent="0.3">
      <c r="A6" s="3">
        <v>4</v>
      </c>
      <c r="B6" s="4">
        <v>37290</v>
      </c>
      <c r="C6" s="5">
        <v>0.19602895488022204</v>
      </c>
    </row>
    <row r="7" spans="1:23" x14ac:dyDescent="0.3">
      <c r="A7" s="3">
        <v>5</v>
      </c>
      <c r="B7" s="4">
        <v>22463</v>
      </c>
      <c r="C7" s="5">
        <v>0.11808523500870013</v>
      </c>
    </row>
    <row r="8" spans="1:23" x14ac:dyDescent="0.3">
      <c r="A8" s="3">
        <v>6</v>
      </c>
      <c r="B8" s="4">
        <v>34234</v>
      </c>
      <c r="C8" s="5">
        <v>0.17996393782165518</v>
      </c>
    </row>
    <row r="9" spans="1:23" ht="15" thickBot="1" x14ac:dyDescent="0.35">
      <c r="A9" s="3" t="s">
        <v>11</v>
      </c>
      <c r="B9" s="4">
        <v>190227</v>
      </c>
      <c r="C9" s="5">
        <v>1</v>
      </c>
      <c r="D9" s="10"/>
      <c r="E9" s="10"/>
      <c r="F9" s="10"/>
      <c r="G9" s="10"/>
      <c r="H9" s="10"/>
      <c r="I9" s="10"/>
      <c r="J9" s="10"/>
      <c r="K9" s="10"/>
      <c r="L9" s="10"/>
      <c r="M9" s="10"/>
      <c r="N9" s="10"/>
      <c r="O9" s="10"/>
      <c r="P9" s="10"/>
      <c r="Q9" s="10"/>
      <c r="R9" s="10"/>
      <c r="S9" s="10"/>
      <c r="T9" s="10"/>
      <c r="U9" s="10"/>
      <c r="V9" s="10"/>
      <c r="W9" s="9"/>
    </row>
    <row r="10" spans="1:23" ht="15" thickTop="1" x14ac:dyDescent="0.3">
      <c r="A10" s="6"/>
      <c r="B10" s="7"/>
      <c r="C10" s="8"/>
      <c r="D10" s="9"/>
      <c r="E10" s="9"/>
      <c r="F10" s="9"/>
      <c r="G10" s="9"/>
      <c r="H10" s="9"/>
      <c r="I10" s="9"/>
      <c r="J10" s="9"/>
      <c r="K10" s="9"/>
      <c r="L10" s="9"/>
      <c r="M10" s="9"/>
      <c r="N10" s="9"/>
      <c r="O10" s="9"/>
      <c r="P10" s="9"/>
      <c r="Q10" s="9"/>
      <c r="R10" s="9"/>
      <c r="S10" s="9"/>
      <c r="T10" s="9"/>
      <c r="U10" s="9"/>
      <c r="V10" s="9"/>
      <c r="W10" s="9"/>
    </row>
    <row r="11" spans="1:23" x14ac:dyDescent="0.3">
      <c r="A11" s="6"/>
      <c r="B11" s="7"/>
      <c r="C11" s="8"/>
      <c r="D11" s="9"/>
      <c r="E11" s="9"/>
      <c r="F11" s="9"/>
      <c r="G11" s="9"/>
      <c r="H11" s="9"/>
      <c r="I11" s="9"/>
      <c r="J11" s="9"/>
      <c r="K11" s="9"/>
      <c r="L11" s="9"/>
      <c r="M11" s="9"/>
      <c r="N11" s="9"/>
      <c r="O11" s="9"/>
      <c r="P11" s="9"/>
      <c r="Q11" s="9"/>
      <c r="R11" s="9"/>
      <c r="S11" s="9"/>
      <c r="T11" s="9"/>
      <c r="U11" s="9"/>
      <c r="V11" s="9"/>
    </row>
    <row r="12" spans="1:23" x14ac:dyDescent="0.3">
      <c r="A12" s="3"/>
      <c r="B12" s="4"/>
      <c r="C12" s="5"/>
    </row>
    <row r="15" spans="1:23" x14ac:dyDescent="0.3">
      <c r="A15" s="2" t="s">
        <v>10</v>
      </c>
      <c r="B15" s="2" t="s">
        <v>14</v>
      </c>
    </row>
    <row r="16" spans="1:23" x14ac:dyDescent="0.3">
      <c r="A16" s="2" t="s">
        <v>8</v>
      </c>
      <c r="B16" t="s">
        <v>6</v>
      </c>
      <c r="C16" t="s">
        <v>5</v>
      </c>
      <c r="D16" t="s">
        <v>7</v>
      </c>
      <c r="E16" t="s">
        <v>11</v>
      </c>
    </row>
    <row r="17" spans="1:22" x14ac:dyDescent="0.3">
      <c r="A17" s="3">
        <v>2</v>
      </c>
      <c r="B17" s="4">
        <v>54855</v>
      </c>
      <c r="C17" s="4"/>
      <c r="D17" s="4"/>
      <c r="E17" s="4">
        <v>54855</v>
      </c>
    </row>
    <row r="18" spans="1:22" x14ac:dyDescent="0.3">
      <c r="A18" s="3">
        <v>3</v>
      </c>
      <c r="B18" s="4">
        <v>41385</v>
      </c>
      <c r="C18" s="4">
        <v>47419</v>
      </c>
      <c r="D18" s="4">
        <v>17603</v>
      </c>
      <c r="E18" s="4">
        <v>106407</v>
      </c>
    </row>
    <row r="19" spans="1:22" x14ac:dyDescent="0.3">
      <c r="A19" s="3">
        <v>4</v>
      </c>
      <c r="B19" s="4">
        <v>37290</v>
      </c>
      <c r="C19" s="4">
        <v>63660</v>
      </c>
      <c r="D19" s="4">
        <v>21098</v>
      </c>
      <c r="E19" s="4">
        <v>122048</v>
      </c>
    </row>
    <row r="20" spans="1:22" x14ac:dyDescent="0.3">
      <c r="A20" s="3">
        <v>5</v>
      </c>
      <c r="B20" s="4">
        <v>22463</v>
      </c>
      <c r="C20" s="4">
        <v>23184</v>
      </c>
      <c r="D20" s="4"/>
      <c r="E20" s="4">
        <v>45647</v>
      </c>
    </row>
    <row r="21" spans="1:22" x14ac:dyDescent="0.3">
      <c r="A21" s="3">
        <v>6</v>
      </c>
      <c r="B21" s="4">
        <v>34234</v>
      </c>
      <c r="C21" s="4"/>
      <c r="D21" s="4"/>
      <c r="E21" s="4">
        <v>34234</v>
      </c>
    </row>
    <row r="22" spans="1:22" x14ac:dyDescent="0.3">
      <c r="A22" s="3" t="s">
        <v>11</v>
      </c>
      <c r="B22" s="4">
        <v>190227</v>
      </c>
      <c r="C22" s="4">
        <v>134263</v>
      </c>
      <c r="D22" s="4">
        <v>38701</v>
      </c>
      <c r="E22" s="4">
        <v>363191</v>
      </c>
    </row>
    <row r="25" spans="1:22" ht="15" thickBot="1" x14ac:dyDescent="0.35">
      <c r="A25" s="10"/>
      <c r="B25" s="10"/>
      <c r="C25" s="10"/>
      <c r="D25" s="10"/>
      <c r="E25" s="10"/>
      <c r="F25" s="10"/>
      <c r="G25" s="10"/>
      <c r="H25" s="10"/>
      <c r="I25" s="10"/>
      <c r="J25" s="10"/>
      <c r="K25" s="10"/>
      <c r="L25" s="10"/>
      <c r="M25" s="10"/>
      <c r="N25" s="10"/>
      <c r="O25" s="10"/>
      <c r="P25" s="10"/>
      <c r="Q25" s="10"/>
      <c r="R25" s="10"/>
      <c r="S25" s="10"/>
      <c r="T25" s="10"/>
      <c r="U25" s="10"/>
      <c r="V25" s="10"/>
    </row>
    <row r="26" spans="1:22" ht="15" thickTop="1" x14ac:dyDescent="0.3"/>
    <row r="27" spans="1:22" x14ac:dyDescent="0.3">
      <c r="A27" s="2" t="s">
        <v>15</v>
      </c>
      <c r="B27" t="s">
        <v>16</v>
      </c>
    </row>
    <row r="28" spans="1:22" x14ac:dyDescent="0.3">
      <c r="A28" s="3">
        <v>2</v>
      </c>
      <c r="B28" s="11">
        <v>32913</v>
      </c>
    </row>
    <row r="29" spans="1:22" x14ac:dyDescent="0.3">
      <c r="A29" s="3">
        <v>3</v>
      </c>
      <c r="B29" s="11">
        <v>57883</v>
      </c>
    </row>
    <row r="30" spans="1:22" x14ac:dyDescent="0.3">
      <c r="A30" s="3">
        <v>4</v>
      </c>
      <c r="B30" s="11">
        <v>68671</v>
      </c>
    </row>
    <row r="31" spans="1:22" x14ac:dyDescent="0.3">
      <c r="A31" s="3">
        <v>5</v>
      </c>
      <c r="B31" s="11">
        <v>26036</v>
      </c>
    </row>
    <row r="32" spans="1:22" x14ac:dyDescent="0.3">
      <c r="A32" s="3">
        <v>6</v>
      </c>
      <c r="B32" s="11">
        <v>10802</v>
      </c>
    </row>
    <row r="33" spans="1:22" x14ac:dyDescent="0.3">
      <c r="A33" s="3" t="s">
        <v>11</v>
      </c>
      <c r="B33" s="11">
        <v>196305</v>
      </c>
    </row>
    <row r="35" spans="1:22" ht="15" thickBot="1" x14ac:dyDescent="0.35">
      <c r="A35" s="10"/>
      <c r="B35" s="10"/>
      <c r="C35" s="10"/>
      <c r="D35" s="10"/>
      <c r="E35" s="10"/>
      <c r="F35" s="10"/>
      <c r="G35" s="10"/>
      <c r="H35" s="10"/>
      <c r="I35" s="10"/>
      <c r="J35" s="10"/>
      <c r="K35" s="10"/>
      <c r="L35" s="10"/>
      <c r="M35" s="10"/>
      <c r="N35" s="10"/>
      <c r="O35" s="10"/>
      <c r="P35" s="10"/>
      <c r="Q35" s="10"/>
      <c r="R35" s="10"/>
      <c r="S35" s="10"/>
      <c r="T35" s="10"/>
      <c r="U35" s="10"/>
      <c r="V35" s="10"/>
    </row>
    <row r="36" spans="1:22" ht="15" thickTop="1" x14ac:dyDescent="0.3">
      <c r="A36" s="9"/>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BC026-04B9-4FB3-BF09-11C4C1CD9A15}">
  <dimension ref="A1:G18"/>
  <sheetViews>
    <sheetView tabSelected="1" workbookViewId="0">
      <selection activeCell="E1" sqref="E1"/>
    </sheetView>
  </sheetViews>
  <sheetFormatPr defaultRowHeight="14.4" x14ac:dyDescent="0.3"/>
  <cols>
    <col min="1" max="1" width="13.5546875" customWidth="1"/>
    <col min="2" max="2" width="10.33203125" customWidth="1"/>
    <col min="3" max="3" width="14" customWidth="1"/>
    <col min="4" max="4" width="13.109375" customWidth="1"/>
    <col min="5" max="6" width="10.88671875" customWidth="1"/>
  </cols>
  <sheetData>
    <row r="1" spans="1:7" x14ac:dyDescent="0.3">
      <c r="A1" t="s">
        <v>8</v>
      </c>
      <c r="B1" t="s">
        <v>0</v>
      </c>
      <c r="C1" t="s">
        <v>1</v>
      </c>
      <c r="D1" t="s">
        <v>2</v>
      </c>
      <c r="E1" t="s">
        <v>3</v>
      </c>
      <c r="F1" t="s">
        <v>4</v>
      </c>
      <c r="G1" t="s">
        <v>9</v>
      </c>
    </row>
    <row r="2" spans="1:7" x14ac:dyDescent="0.3">
      <c r="A2">
        <v>3</v>
      </c>
      <c r="B2">
        <v>39</v>
      </c>
      <c r="C2" t="s">
        <v>5</v>
      </c>
      <c r="D2">
        <v>3997.5</v>
      </c>
      <c r="E2" s="1">
        <v>43831</v>
      </c>
      <c r="F2">
        <v>23985</v>
      </c>
      <c r="G2">
        <v>10993</v>
      </c>
    </row>
    <row r="3" spans="1:7" x14ac:dyDescent="0.3">
      <c r="A3">
        <v>5</v>
      </c>
      <c r="B3">
        <v>61</v>
      </c>
      <c r="C3" t="s">
        <v>5</v>
      </c>
      <c r="D3">
        <v>3864</v>
      </c>
      <c r="E3" s="1">
        <v>43922</v>
      </c>
      <c r="F3">
        <v>23184</v>
      </c>
      <c r="G3">
        <v>10626</v>
      </c>
    </row>
    <row r="4" spans="1:7" x14ac:dyDescent="0.3">
      <c r="A4">
        <v>4</v>
      </c>
      <c r="B4">
        <v>76</v>
      </c>
      <c r="C4" t="s">
        <v>5</v>
      </c>
      <c r="D4">
        <v>3850.5</v>
      </c>
      <c r="E4" s="1">
        <v>43922</v>
      </c>
      <c r="F4">
        <v>23103</v>
      </c>
      <c r="G4">
        <v>10589</v>
      </c>
    </row>
    <row r="5" spans="1:7" x14ac:dyDescent="0.3">
      <c r="A5">
        <v>4</v>
      </c>
      <c r="B5">
        <v>71</v>
      </c>
      <c r="C5" t="s">
        <v>5</v>
      </c>
      <c r="D5">
        <v>3793.5</v>
      </c>
      <c r="E5" s="1">
        <v>44013</v>
      </c>
      <c r="F5">
        <v>22761</v>
      </c>
      <c r="G5">
        <v>10432</v>
      </c>
    </row>
    <row r="6" spans="1:7" x14ac:dyDescent="0.3">
      <c r="A6">
        <v>5</v>
      </c>
      <c r="B6">
        <v>28</v>
      </c>
      <c r="C6" t="s">
        <v>6</v>
      </c>
      <c r="D6">
        <v>4492.5</v>
      </c>
      <c r="E6" s="1">
        <v>43922</v>
      </c>
      <c r="F6">
        <v>22463</v>
      </c>
      <c r="G6">
        <v>8985</v>
      </c>
    </row>
    <row r="7" spans="1:7" x14ac:dyDescent="0.3">
      <c r="A7">
        <v>3</v>
      </c>
      <c r="B7">
        <v>23</v>
      </c>
      <c r="C7" t="s">
        <v>6</v>
      </c>
      <c r="D7">
        <v>4251</v>
      </c>
      <c r="E7" s="1">
        <v>43831</v>
      </c>
      <c r="F7">
        <v>21255</v>
      </c>
      <c r="G7">
        <v>8502</v>
      </c>
    </row>
    <row r="8" spans="1:7" x14ac:dyDescent="0.3">
      <c r="A8">
        <v>4</v>
      </c>
      <c r="B8">
        <v>73</v>
      </c>
      <c r="C8" t="s">
        <v>7</v>
      </c>
      <c r="D8">
        <v>4219.5</v>
      </c>
      <c r="E8" s="1">
        <v>43922</v>
      </c>
      <c r="F8">
        <v>21098</v>
      </c>
      <c r="G8">
        <v>9283</v>
      </c>
    </row>
    <row r="9" spans="1:7" x14ac:dyDescent="0.3">
      <c r="A9">
        <v>3</v>
      </c>
      <c r="B9">
        <v>25</v>
      </c>
      <c r="C9" t="s">
        <v>6</v>
      </c>
      <c r="D9">
        <v>4026</v>
      </c>
      <c r="E9" s="1">
        <v>44013</v>
      </c>
      <c r="F9">
        <v>20130</v>
      </c>
      <c r="G9">
        <v>8052</v>
      </c>
    </row>
    <row r="10" spans="1:7" x14ac:dyDescent="0.3">
      <c r="A10">
        <v>4</v>
      </c>
      <c r="B10">
        <v>36</v>
      </c>
      <c r="C10" t="s">
        <v>6</v>
      </c>
      <c r="D10">
        <v>3945</v>
      </c>
      <c r="E10" s="1">
        <v>43831</v>
      </c>
      <c r="F10">
        <v>19725</v>
      </c>
      <c r="G10">
        <v>7890</v>
      </c>
    </row>
    <row r="11" spans="1:7" x14ac:dyDescent="0.3">
      <c r="A11">
        <v>2</v>
      </c>
      <c r="B11">
        <v>60</v>
      </c>
      <c r="C11" t="s">
        <v>6</v>
      </c>
      <c r="D11">
        <v>3801</v>
      </c>
      <c r="E11" s="1">
        <v>43922</v>
      </c>
      <c r="F11">
        <v>19005</v>
      </c>
      <c r="G11">
        <v>7602</v>
      </c>
    </row>
    <row r="12" spans="1:7" x14ac:dyDescent="0.3">
      <c r="A12">
        <v>2</v>
      </c>
      <c r="B12">
        <v>64</v>
      </c>
      <c r="C12" t="s">
        <v>6</v>
      </c>
      <c r="D12">
        <v>3675</v>
      </c>
      <c r="E12" s="1">
        <v>43922</v>
      </c>
      <c r="F12">
        <v>18375</v>
      </c>
      <c r="G12">
        <v>7350</v>
      </c>
    </row>
    <row r="13" spans="1:7" x14ac:dyDescent="0.3">
      <c r="A13">
        <v>4</v>
      </c>
      <c r="B13">
        <v>86</v>
      </c>
      <c r="C13" t="s">
        <v>5</v>
      </c>
      <c r="D13">
        <v>2966</v>
      </c>
      <c r="E13" s="1">
        <v>44105</v>
      </c>
      <c r="F13">
        <v>17796</v>
      </c>
      <c r="G13">
        <v>8157</v>
      </c>
    </row>
    <row r="14" spans="1:7" x14ac:dyDescent="0.3">
      <c r="A14">
        <v>3</v>
      </c>
      <c r="B14">
        <v>27</v>
      </c>
      <c r="C14" t="s">
        <v>7</v>
      </c>
      <c r="D14">
        <v>3520.5</v>
      </c>
      <c r="E14" s="1">
        <v>43922</v>
      </c>
      <c r="F14">
        <v>17603</v>
      </c>
      <c r="G14">
        <v>7745</v>
      </c>
    </row>
    <row r="15" spans="1:7" x14ac:dyDescent="0.3">
      <c r="A15">
        <v>4</v>
      </c>
      <c r="B15">
        <v>45</v>
      </c>
      <c r="C15" t="s">
        <v>6</v>
      </c>
      <c r="D15">
        <v>3513</v>
      </c>
      <c r="E15" s="1">
        <v>44013</v>
      </c>
      <c r="F15">
        <v>17565</v>
      </c>
      <c r="G15">
        <v>7026</v>
      </c>
    </row>
    <row r="16" spans="1:7" x14ac:dyDescent="0.3">
      <c r="A16">
        <v>2</v>
      </c>
      <c r="B16">
        <v>62</v>
      </c>
      <c r="C16" t="s">
        <v>6</v>
      </c>
      <c r="D16">
        <v>3495</v>
      </c>
      <c r="E16" s="1">
        <v>43831</v>
      </c>
      <c r="F16">
        <v>17475</v>
      </c>
      <c r="G16">
        <v>6990</v>
      </c>
    </row>
    <row r="17" spans="1:7" x14ac:dyDescent="0.3">
      <c r="A17">
        <v>6</v>
      </c>
      <c r="B17">
        <v>43</v>
      </c>
      <c r="C17" t="s">
        <v>6</v>
      </c>
      <c r="D17">
        <v>4234</v>
      </c>
      <c r="E17" s="1">
        <v>43832</v>
      </c>
      <c r="F17">
        <v>34234</v>
      </c>
      <c r="G17">
        <v>23432</v>
      </c>
    </row>
    <row r="18" spans="1:7" x14ac:dyDescent="0.3">
      <c r="A18">
        <v>3</v>
      </c>
      <c r="B18">
        <v>25</v>
      </c>
      <c r="C18" t="s">
        <v>5</v>
      </c>
      <c r="D18">
        <v>2343</v>
      </c>
      <c r="E18" s="1">
        <v>43833</v>
      </c>
      <c r="F18">
        <v>23434</v>
      </c>
      <c r="G18">
        <v>13232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p_table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Reza Rezaiee</dc:creator>
  <cp:lastModifiedBy>Ali Reza Rezaiee</cp:lastModifiedBy>
  <dcterms:created xsi:type="dcterms:W3CDTF">2026-08-24T05:04:44Z</dcterms:created>
  <dcterms:modified xsi:type="dcterms:W3CDTF">2026-08-27T18:08:56Z</dcterms:modified>
</cp:coreProperties>
</file>