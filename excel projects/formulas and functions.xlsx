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00DB176-7F0A-43B8-A0E4-5F2ADB7C2C53}" xr6:coauthVersionLast="47" xr6:coauthVersionMax="47" xr10:uidLastSave="{00000000-0000-0000-0000-000000000000}"/>
  <bookViews>
    <workbookView xWindow="12" yWindow="24" windowWidth="23016" windowHeight="12216" firstSheet="1" activeTab="6" xr2:uid="{AA4149D7-FA44-4799-9647-BF2AE3AA4566}"/>
  </bookViews>
  <sheets>
    <sheet name="basic functions" sheetId="1" r:id="rId1"/>
    <sheet name="conditional functions" sheetId="2" r:id="rId2"/>
    <sheet name="text functions" sheetId="3" r:id="rId3"/>
    <sheet name="logical functions" sheetId="4" r:id="rId4"/>
    <sheet name="lookup functions" sheetId="5" r:id="rId5"/>
    <sheet name="date functions" sheetId="6" r:id="rId6"/>
    <sheet name="bonu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A3" i="7"/>
  <c r="B4" i="7" s="1"/>
  <c r="A2" i="7"/>
  <c r="A1" i="7"/>
  <c r="C2" i="6"/>
  <c r="C1" i="6"/>
  <c r="F2" i="5"/>
  <c r="F1" i="5"/>
  <c r="G13" i="4" a="1"/>
  <c r="G13" i="4" s="1"/>
  <c r="G12" i="4"/>
  <c r="G9" i="4"/>
  <c r="G8" i="4"/>
  <c r="G7" i="4"/>
  <c r="G5" i="4"/>
  <c r="G4" i="4"/>
  <c r="G3" i="4"/>
  <c r="G2" i="4"/>
  <c r="G1" i="4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" i="3"/>
  <c r="F12" i="2"/>
  <c r="F11" i="2"/>
  <c r="F9" i="2"/>
  <c r="F8" i="2"/>
  <c r="F1" i="2"/>
  <c r="F3" i="2" a="1"/>
  <c r="F3" i="2" s="1"/>
  <c r="F4" i="2" a="1"/>
  <c r="F4" i="2" s="1"/>
  <c r="F5" i="2" a="1"/>
  <c r="F5" i="2" s="1"/>
  <c r="F6" i="2" a="1"/>
  <c r="F6" i="2" s="1"/>
  <c r="F2" i="2"/>
  <c r="F11" i="1"/>
  <c r="F10" i="1"/>
  <c r="F9" i="1"/>
  <c r="F8" i="1"/>
  <c r="F7" i="1"/>
  <c r="F6" i="1"/>
  <c r="F5" i="1"/>
  <c r="F4" i="1"/>
  <c r="F3" i="1"/>
  <c r="F2" i="1"/>
  <c r="F1" i="1"/>
  <c r="D2" i="6"/>
  <c r="D1" i="6"/>
  <c r="H12" i="4"/>
  <c r="H7" i="4"/>
  <c r="H2" i="4"/>
  <c r="H9" i="4"/>
  <c r="H3" i="4"/>
  <c r="H13" i="4"/>
  <c r="H4" i="4"/>
  <c r="H8" i="4"/>
  <c r="H5" i="4"/>
  <c r="H1" i="4"/>
  <c r="G16" i="3"/>
  <c r="G15" i="3"/>
  <c r="G2" i="3"/>
  <c r="G6" i="3"/>
  <c r="G10" i="3"/>
  <c r="G14" i="3"/>
  <c r="G11" i="3"/>
  <c r="G3" i="3"/>
  <c r="G7" i="3"/>
  <c r="G4" i="3"/>
  <c r="G8" i="3"/>
  <c r="G12" i="3"/>
  <c r="G5" i="3"/>
  <c r="G9" i="3"/>
  <c r="G13" i="3"/>
  <c r="G1" i="3"/>
  <c r="G11" i="1"/>
  <c r="G7" i="1"/>
  <c r="G6" i="1"/>
  <c r="G12" i="2"/>
  <c r="G9" i="2"/>
  <c r="G4" i="2"/>
  <c r="G10" i="1"/>
  <c r="G6" i="2"/>
  <c r="G2" i="1"/>
  <c r="G5" i="1"/>
  <c r="G3" i="1"/>
  <c r="G9" i="1"/>
  <c r="G4" i="1"/>
  <c r="G1" i="1"/>
  <c r="G5" i="2"/>
  <c r="G11" i="2"/>
  <c r="G3" i="2"/>
  <c r="G2" i="2"/>
  <c r="G8" i="1"/>
  <c r="G8" i="2"/>
  <c r="G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<sst xmlns="http://schemas.openxmlformats.org/spreadsheetml/2006/main" count="112" uniqueCount="67">
  <si>
    <t>country</t>
  </si>
  <si>
    <t>sold</t>
  </si>
  <si>
    <t>china</t>
  </si>
  <si>
    <t>afghanistan</t>
  </si>
  <si>
    <t>japan</t>
  </si>
  <si>
    <t>car name</t>
  </si>
  <si>
    <t>benz</t>
  </si>
  <si>
    <t>lamborghini</t>
  </si>
  <si>
    <t>toyota</t>
  </si>
  <si>
    <t>lexus</t>
  </si>
  <si>
    <t>bogati</t>
  </si>
  <si>
    <t>how many cars sold?</t>
  </si>
  <si>
    <t>most # of cars sold</t>
  </si>
  <si>
    <t>least # of cars sold</t>
  </si>
  <si>
    <t>2nd  most sold</t>
  </si>
  <si>
    <t>2nd  least sold</t>
  </si>
  <si>
    <t>corolla</t>
  </si>
  <si>
    <t>bmw</t>
  </si>
  <si>
    <t># of cars with sales</t>
  </si>
  <si>
    <t>average sold</t>
  </si>
  <si>
    <t># in middle</t>
  </si>
  <si>
    <t># most frequent</t>
  </si>
  <si>
    <t># of blank cells</t>
  </si>
  <si>
    <t>total cars sold in china</t>
  </si>
  <si>
    <t># of benz sold in china</t>
  </si>
  <si>
    <t># of benz and lexus in china</t>
  </si>
  <si>
    <t># of benz and bogati in china</t>
  </si>
  <si>
    <t># of benz in china and afghanistan</t>
  </si>
  <si>
    <t># of benz and lexus in china and afghanistan</t>
  </si>
  <si>
    <t>count of cars sold ( greater than 50)</t>
  </si>
  <si>
    <t>count of car models sold in china</t>
  </si>
  <si>
    <t>max cars sold in japan</t>
  </si>
  <si>
    <t>least cars sold in japan</t>
  </si>
  <si>
    <t>ali car company</t>
  </si>
  <si>
    <t>capitalize each word</t>
  </si>
  <si>
    <t xml:space="preserve">        ali car company</t>
  </si>
  <si>
    <t>ali</t>
  </si>
  <si>
    <t>car</t>
  </si>
  <si>
    <t>company</t>
  </si>
  <si>
    <t>delete space characters</t>
  </si>
  <si>
    <t>ali123ahmad456</t>
  </si>
  <si>
    <t>extract "ahmad"</t>
  </si>
  <si>
    <t>extract "456"</t>
  </si>
  <si>
    <t>extract "ali"</t>
  </si>
  <si>
    <t>how many characters</t>
  </si>
  <si>
    <t>find (case sensitive)</t>
  </si>
  <si>
    <t>search (not case sensitive)</t>
  </si>
  <si>
    <t>name@company.com</t>
  </si>
  <si>
    <t>extract any name</t>
  </si>
  <si>
    <t>ahmad</t>
  </si>
  <si>
    <t>bali</t>
  </si>
  <si>
    <t>true/false</t>
  </si>
  <si>
    <t>10</t>
  </si>
  <si>
    <t>11</t>
  </si>
  <si>
    <t>12</t>
  </si>
  <si>
    <t>car  name</t>
  </si>
  <si>
    <t>ford</t>
  </si>
  <si>
    <t>sold more benz or lexus</t>
  </si>
  <si>
    <t>sold more benz than lexus and ford</t>
  </si>
  <si>
    <t>sold more benz than lexus or ford</t>
  </si>
  <si>
    <t>price</t>
  </si>
  <si>
    <t>what is the price of :</t>
  </si>
  <si>
    <t>today</t>
  </si>
  <si>
    <t>now</t>
  </si>
  <si>
    <t>press    ctrl + ~     to view your formulas</t>
  </si>
  <si>
    <t>go to "formulas" tab then "trace precedents" to view which cells is the current cell dependent to</t>
  </si>
  <si>
    <t>go to "home" then "find and select" then "formulas" to select the cells containing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</si>
</sst>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6" xfId="0" applyFont="1" applyFill="1" applyBorder="1" applyAlignment="1">
      <alignment horizontal="left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67" fontId="0" fillId="3" borderId="4" xfId="1" applyNumberFormat="1" applyFont="1" applyFill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72B8CB-CBE6-4E1B-B522-0E64979B3C1C}" name="Table13" displayName="Table13" ref="A1:B8" totalsRowShown="0">
  <autoFilter ref="A1:B8" xr:uid="{1772B8CB-CBE6-4E1B-B522-0E64979B3C1C}"/>
  <tableColumns count="2">
    <tableColumn id="1" xr3:uid="{CA283141-82AA-4BBF-A66D-F224540DA94E}" name="car name" dataDxfId="7"/>
    <tableColumn id="3" xr3:uid="{E9EE8B62-89CC-4B48-9D0E-5FDB96B2FD97}" name="sold" dataDxfId="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794CF-D134-43DB-91F6-A3ACB4F3861A}" name="Table1" displayName="Table1" ref="A1:C14">
  <autoFilter ref="A1:C14" xr:uid="{70F794CF-D134-43DB-91F6-A3ACB4F3861A}"/>
  <tableColumns count="3">
    <tableColumn id="1" xr3:uid="{578CE909-A130-4F65-AE2C-AFE77BA63B3E}" name="car name" totalsRowLabel="Total" dataDxfId="5" totalsRowDxfId="4"/>
    <tableColumn id="2" xr3:uid="{584D9C44-F845-4000-9178-BFFEE7A34840}" name="country" dataDxfId="3" totalsRowDxfId="2"/>
    <tableColumn id="3" xr3:uid="{00CC0C27-080D-490B-9C53-9F14DBEB5209}" name="sold" totalsRowFunction="sum" dataDxfId="1" totalsRow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C931-9E0E-4527-BD49-8CD217DB4296}">
  <dimension ref="A1:G12"/>
  <sheetViews>
    <sheetView workbookViewId="0">
      <selection activeCell="A15" sqref="A15"/>
    </sheetView>
  </sheetViews>
  <sheetFormatPr defaultRowHeight="14.4" x14ac:dyDescent="0.3"/>
  <cols>
    <col min="1" max="1" width="12.88671875" customWidth="1"/>
    <col min="2" max="2" width="12.5546875" customWidth="1"/>
    <col min="4" max="4" width="8.77734375" customWidth="1"/>
    <col min="5" max="5" width="35.44140625" customWidth="1"/>
    <col min="6" max="6" width="8.6640625" customWidth="1"/>
    <col min="7" max="7" width="88.21875" customWidth="1"/>
  </cols>
  <sheetData>
    <row r="1" spans="1:7" x14ac:dyDescent="0.3">
      <c r="A1" t="s">
        <v>5</v>
      </c>
      <c r="B1" t="s">
        <v>1</v>
      </c>
      <c r="E1" t="s">
        <v>11</v>
      </c>
      <c r="F1" s="1">
        <f>SUM(B2:B8)</f>
        <v>315</v>
      </c>
      <c r="G1" t="str">
        <f t="shared" ref="G1:G11" ca="1" si="0">_xlfn.FORMULATEXT(F1)</f>
        <v>=SUM(B2:B8)</v>
      </c>
    </row>
    <row r="2" spans="1:7" ht="15.6" customHeight="1" x14ac:dyDescent="0.3">
      <c r="A2" s="2" t="s">
        <v>6</v>
      </c>
      <c r="B2" s="1">
        <v>23</v>
      </c>
      <c r="E2" t="s">
        <v>12</v>
      </c>
      <c r="F2" s="1">
        <f>MAX(B2:B8)</f>
        <v>77</v>
      </c>
      <c r="G2" t="str">
        <f t="shared" ca="1" si="0"/>
        <v>=MAX(B2:B8)</v>
      </c>
    </row>
    <row r="3" spans="1:7" ht="15.6" customHeight="1" x14ac:dyDescent="0.3">
      <c r="A3" s="2" t="s">
        <v>7</v>
      </c>
      <c r="B3" s="1">
        <v>43</v>
      </c>
      <c r="E3" t="s">
        <v>13</v>
      </c>
      <c r="F3" s="1">
        <f>MIN(B2:B8)</f>
        <v>23</v>
      </c>
      <c r="G3" t="str">
        <f t="shared" ca="1" si="0"/>
        <v>=MIN(B2:B8)</v>
      </c>
    </row>
    <row r="4" spans="1:7" ht="15.6" customHeight="1" x14ac:dyDescent="0.3">
      <c r="A4" s="2" t="s">
        <v>8</v>
      </c>
      <c r="B4" s="1">
        <v>32</v>
      </c>
      <c r="E4" t="s">
        <v>14</v>
      </c>
      <c r="F4" s="1">
        <f>LARGE(Table13[sold], 2)</f>
        <v>54</v>
      </c>
      <c r="G4" t="str">
        <f t="shared" ca="1" si="0"/>
        <v>=LARGE(Table13[sold], 2)</v>
      </c>
    </row>
    <row r="5" spans="1:7" ht="15.6" customHeight="1" x14ac:dyDescent="0.3">
      <c r="A5" s="2" t="s">
        <v>9</v>
      </c>
      <c r="B5" s="1">
        <v>54</v>
      </c>
      <c r="E5" t="s">
        <v>15</v>
      </c>
      <c r="F5" s="1">
        <f>SMALL(Table13[sold], 2)</f>
        <v>32</v>
      </c>
      <c r="G5" t="str">
        <f t="shared" ca="1" si="0"/>
        <v>=SMALL(Table13[sold], 2)</v>
      </c>
    </row>
    <row r="6" spans="1:7" ht="15.6" customHeight="1" x14ac:dyDescent="0.3">
      <c r="A6" s="2" t="s">
        <v>10</v>
      </c>
      <c r="B6" s="1">
        <v>43</v>
      </c>
      <c r="E6" t="s">
        <v>18</v>
      </c>
      <c r="F6" s="1">
        <f>COUNT(Table13[sold])</f>
        <v>7</v>
      </c>
      <c r="G6" t="str">
        <f t="shared" ca="1" si="0"/>
        <v>=COUNT(Table13[sold])</v>
      </c>
    </row>
    <row r="7" spans="1:7" ht="15.6" customHeight="1" x14ac:dyDescent="0.3">
      <c r="A7" s="2" t="s">
        <v>16</v>
      </c>
      <c r="B7" s="1">
        <v>43</v>
      </c>
      <c r="E7" t="s">
        <v>18</v>
      </c>
      <c r="F7" s="1">
        <f>COUNTA(Table13[car name])</f>
        <v>7</v>
      </c>
      <c r="G7" t="str">
        <f t="shared" ca="1" si="0"/>
        <v>=COUNTA(Table13[car name])</v>
      </c>
    </row>
    <row r="8" spans="1:7" ht="15.6" customHeight="1" x14ac:dyDescent="0.3">
      <c r="A8" s="2" t="s">
        <v>17</v>
      </c>
      <c r="B8" s="1">
        <v>77</v>
      </c>
      <c r="E8" t="s">
        <v>22</v>
      </c>
      <c r="F8" s="1">
        <f>COUNTBLANK(A2:A9)</f>
        <v>1</v>
      </c>
      <c r="G8" t="str">
        <f t="shared" ca="1" si="0"/>
        <v>=COUNTBLANK(A2:A9)</v>
      </c>
    </row>
    <row r="9" spans="1:7" ht="15.6" customHeight="1" x14ac:dyDescent="0.3">
      <c r="A9" s="2"/>
      <c r="B9" s="1"/>
      <c r="E9" t="s">
        <v>19</v>
      </c>
      <c r="F9" s="1">
        <f>AVERAGE(Table13[sold])</f>
        <v>45</v>
      </c>
      <c r="G9" t="str">
        <f t="shared" ca="1" si="0"/>
        <v>=AVERAGE(Table13[sold])</v>
      </c>
    </row>
    <row r="10" spans="1:7" ht="15.6" customHeight="1" x14ac:dyDescent="0.3">
      <c r="A10" s="2"/>
      <c r="B10" s="1"/>
      <c r="E10" t="s">
        <v>20</v>
      </c>
      <c r="F10" s="1">
        <f>MEDIAN(Table13[sold])</f>
        <v>43</v>
      </c>
      <c r="G10" t="str">
        <f t="shared" ca="1" si="0"/>
        <v>=MEDIAN(Table13[sold])</v>
      </c>
    </row>
    <row r="11" spans="1:7" ht="15.6" customHeight="1" x14ac:dyDescent="0.3">
      <c r="A11" s="2"/>
      <c r="B11" s="1"/>
      <c r="E11" t="s">
        <v>21</v>
      </c>
      <c r="F11" s="1">
        <f>MODE(Table13[sold])</f>
        <v>43</v>
      </c>
      <c r="G11" t="str">
        <f t="shared" ca="1" si="0"/>
        <v>=MODE(Table13[sold])</v>
      </c>
    </row>
    <row r="12" spans="1:7" ht="15.6" customHeight="1" x14ac:dyDescent="0.3">
      <c r="A12" s="2"/>
      <c r="B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D35A-004C-41FF-8E38-E6987F2EC8CF}">
  <dimension ref="A1:G14"/>
  <sheetViews>
    <sheetView workbookViewId="0">
      <selection activeCell="E7" sqref="E7"/>
    </sheetView>
  </sheetViews>
  <sheetFormatPr defaultRowHeight="14.4" x14ac:dyDescent="0.3"/>
  <cols>
    <col min="1" max="1" width="11.88671875" customWidth="1"/>
    <col min="2" max="2" width="12.5546875" customWidth="1"/>
    <col min="5" max="5" width="38.33203125" customWidth="1"/>
    <col min="7" max="7" width="81.5546875" customWidth="1"/>
  </cols>
  <sheetData>
    <row r="1" spans="1:7" ht="18.600000000000001" customHeight="1" x14ac:dyDescent="0.3">
      <c r="A1" t="s">
        <v>5</v>
      </c>
      <c r="B1" t="s">
        <v>0</v>
      </c>
      <c r="C1" t="s">
        <v>1</v>
      </c>
      <c r="E1" s="2" t="s">
        <v>23</v>
      </c>
      <c r="F1" s="1">
        <f>SUMIF(B2:B14,"china",C2:C14)</f>
        <v>239</v>
      </c>
      <c r="G1" s="2" t="str">
        <f t="shared" ref="G1:G6" ca="1" si="0">_xlfn.FORMULATEXT(F1)</f>
        <v>=SUMIF(B2:B14,"china",C2:C14)</v>
      </c>
    </row>
    <row r="2" spans="1:7" ht="18.600000000000001" customHeight="1" x14ac:dyDescent="0.3">
      <c r="A2" s="2" t="s">
        <v>6</v>
      </c>
      <c r="B2" s="2" t="s">
        <v>2</v>
      </c>
      <c r="C2" s="1">
        <v>23</v>
      </c>
      <c r="E2" s="2" t="s">
        <v>24</v>
      </c>
      <c r="F2" s="1">
        <f>SUMIFS(Table1[sold],Table1[country],"china",Table1[car name],"benz")</f>
        <v>23</v>
      </c>
      <c r="G2" s="2" t="str">
        <f t="shared" ca="1" si="0"/>
        <v>=SUMIFS(Table1[sold],Table1[country],"china",Table1[car name],"benz")</v>
      </c>
    </row>
    <row r="3" spans="1:7" ht="18.600000000000001" customHeight="1" x14ac:dyDescent="0.3">
      <c r="A3" s="2" t="s">
        <v>9</v>
      </c>
      <c r="B3" s="2" t="s">
        <v>2</v>
      </c>
      <c r="C3" s="1">
        <v>54</v>
      </c>
      <c r="E3" s="2" t="s">
        <v>25</v>
      </c>
      <c r="F3" s="1" cm="1">
        <f t="array" ref="F3">SUM(SUMIFS(Table1[sold], Table1[country], "china", Table1[car name], A2:A3))</f>
        <v>77</v>
      </c>
      <c r="G3" s="2" t="str">
        <f t="shared" ca="1" si="0"/>
        <v>=SUM(SUMIFS(Table1[sold], Table1[country], "china", Table1[car name], A2:A3))</v>
      </c>
    </row>
    <row r="4" spans="1:7" ht="18.600000000000001" customHeight="1" x14ac:dyDescent="0.3">
      <c r="A4" s="2" t="s">
        <v>7</v>
      </c>
      <c r="B4" s="2" t="s">
        <v>2</v>
      </c>
      <c r="C4" s="1">
        <v>43</v>
      </c>
      <c r="E4" s="2" t="s">
        <v>26</v>
      </c>
      <c r="F4" s="1" cm="1">
        <f t="array" ref="F4">SUM(SUMIFS(Table1[sold], Table1[country], "china", Table1[car name], {"benz","bogati"}))</f>
        <v>110</v>
      </c>
      <c r="G4" s="2" t="str">
        <f t="shared" ca="1" si="0"/>
        <v>=SUM(SUMIFS(Table1[sold], Table1[country], "china", Table1[car name], {"benz","bogati"}))</v>
      </c>
    </row>
    <row r="5" spans="1:7" ht="18.600000000000001" customHeight="1" x14ac:dyDescent="0.3">
      <c r="A5" s="2" t="s">
        <v>8</v>
      </c>
      <c r="B5" s="2" t="s">
        <v>2</v>
      </c>
      <c r="C5" s="1">
        <v>32</v>
      </c>
      <c r="E5" s="2" t="s">
        <v>27</v>
      </c>
      <c r="F5" s="1" cm="1">
        <f t="array" ref="F5">SUM(SUMIFS(Table1[sold], Table1[country], {"china","afghanistan"}, Table1[car name], "benz"))</f>
        <v>100</v>
      </c>
      <c r="G5" s="2" t="str">
        <f t="shared" ca="1" si="0"/>
        <v>=SUM(SUMIFS(Table1[sold], Table1[country], {"china","afghanistan"}, Table1[car name], "benz"))</v>
      </c>
    </row>
    <row r="6" spans="1:7" ht="18.600000000000001" customHeight="1" x14ac:dyDescent="0.3">
      <c r="A6" s="2" t="s">
        <v>10</v>
      </c>
      <c r="B6" s="2" t="s">
        <v>2</v>
      </c>
      <c r="C6" s="1">
        <v>87</v>
      </c>
      <c r="E6" s="2" t="s">
        <v>28</v>
      </c>
      <c r="F6" s="1" cm="1">
        <f t="array" ref="F6">SUM(SUMIFS(Table1[sold], Table1[country], B6:B7, Table1[car name], {"benz","lexus"}))</f>
        <v>188</v>
      </c>
      <c r="G6" s="2" t="str">
        <f t="shared" ca="1" si="0"/>
        <v>=SUM(SUMIFS(Table1[sold], Table1[country], B6:B7, Table1[car name], {"benz","lexus"}))</v>
      </c>
    </row>
    <row r="7" spans="1:7" ht="18.600000000000001" customHeight="1" x14ac:dyDescent="0.3">
      <c r="A7" s="2" t="s">
        <v>10</v>
      </c>
      <c r="B7" s="2" t="s">
        <v>3</v>
      </c>
      <c r="C7" s="1">
        <v>23</v>
      </c>
    </row>
    <row r="8" spans="1:7" ht="18.600000000000001" customHeight="1" x14ac:dyDescent="0.3">
      <c r="A8" s="2" t="s">
        <v>6</v>
      </c>
      <c r="B8" s="2" t="s">
        <v>3</v>
      </c>
      <c r="C8" s="1">
        <v>77</v>
      </c>
      <c r="E8" s="2" t="s">
        <v>29</v>
      </c>
      <c r="F8" s="1">
        <f>COUNTIF(Table1[sold], "&gt;50")</f>
        <v>6</v>
      </c>
      <c r="G8" s="2" t="str">
        <f t="shared" ref="G8:G12" ca="1" si="1">_xlfn.FORMULATEXT(F8)</f>
        <v>=COUNTIF(Table1[sold], "&gt;50")</v>
      </c>
    </row>
    <row r="9" spans="1:7" ht="18.600000000000001" customHeight="1" x14ac:dyDescent="0.3">
      <c r="A9" s="2" t="s">
        <v>9</v>
      </c>
      <c r="B9" s="2" t="s">
        <v>3</v>
      </c>
      <c r="C9" s="1">
        <v>34</v>
      </c>
      <c r="E9" s="2" t="s">
        <v>30</v>
      </c>
      <c r="F9" s="1">
        <f>COUNTIF(Table1[country], "china")</f>
        <v>5</v>
      </c>
      <c r="G9" s="2" t="str">
        <f t="shared" ca="1" si="1"/>
        <v>=COUNTIF(Table1[country], "china")</v>
      </c>
    </row>
    <row r="10" spans="1:7" ht="18.600000000000001" customHeight="1" x14ac:dyDescent="0.3">
      <c r="A10" s="2" t="s">
        <v>9</v>
      </c>
      <c r="B10" s="2" t="s">
        <v>4</v>
      </c>
      <c r="C10" s="1">
        <v>51</v>
      </c>
      <c r="E10" s="2"/>
      <c r="F10" s="1"/>
      <c r="G10" s="2"/>
    </row>
    <row r="11" spans="1:7" ht="18.600000000000001" customHeight="1" x14ac:dyDescent="0.3">
      <c r="A11" s="2" t="s">
        <v>8</v>
      </c>
      <c r="B11" s="2" t="s">
        <v>4</v>
      </c>
      <c r="C11" s="1">
        <v>32</v>
      </c>
      <c r="E11" s="2" t="s">
        <v>32</v>
      </c>
      <c r="F11" s="1">
        <f>_xlfn.MINIFS(Table1[sold], Table1[country], "japan")</f>
        <v>32</v>
      </c>
      <c r="G11" s="2" t="str">
        <f t="shared" ca="1" si="1"/>
        <v>=MINIFS(Table1[sold], Table1[country], "japan")</v>
      </c>
    </row>
    <row r="12" spans="1:7" ht="18.600000000000001" customHeight="1" x14ac:dyDescent="0.3">
      <c r="A12" s="2" t="s">
        <v>7</v>
      </c>
      <c r="B12" s="2" t="s">
        <v>4</v>
      </c>
      <c r="C12" s="1">
        <v>43</v>
      </c>
      <c r="E12" s="2" t="s">
        <v>31</v>
      </c>
      <c r="F12" s="1">
        <f>_xlfn.MAXIFS(Table1[sold], Table1[country], "japan")</f>
        <v>77</v>
      </c>
      <c r="G12" s="2" t="str">
        <f t="shared" ca="1" si="1"/>
        <v>=MAXIFS(Table1[sold], Table1[country], "japan")</v>
      </c>
    </row>
    <row r="13" spans="1:7" ht="18.600000000000001" customHeight="1" x14ac:dyDescent="0.3">
      <c r="A13" s="2" t="s">
        <v>10</v>
      </c>
      <c r="B13" s="2" t="s">
        <v>4</v>
      </c>
      <c r="C13" s="1">
        <v>54</v>
      </c>
      <c r="E13" s="2"/>
      <c r="F13" s="1"/>
      <c r="G13" s="2"/>
    </row>
    <row r="14" spans="1:7" ht="18.600000000000001" customHeight="1" x14ac:dyDescent="0.3">
      <c r="A14" s="2" t="s">
        <v>6</v>
      </c>
      <c r="B14" s="2" t="s">
        <v>4</v>
      </c>
      <c r="C14" s="1">
        <v>77</v>
      </c>
      <c r="E14" s="2"/>
      <c r="F14" s="2"/>
      <c r="G1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2D3D-091D-4CE5-B066-BD67CD5ABA95}">
  <dimension ref="A1:G16"/>
  <sheetViews>
    <sheetView workbookViewId="0">
      <selection activeCell="F12" sqref="F12"/>
    </sheetView>
  </sheetViews>
  <sheetFormatPr defaultRowHeight="14.4" x14ac:dyDescent="0.3"/>
  <cols>
    <col min="1" max="1" width="15.44140625" customWidth="1"/>
    <col min="2" max="3" width="10.109375" customWidth="1"/>
    <col min="5" max="5" width="23.33203125" customWidth="1"/>
    <col min="6" max="6" width="19.21875" customWidth="1"/>
    <col min="7" max="7" width="24" customWidth="1"/>
  </cols>
  <sheetData>
    <row r="1" spans="1:7" ht="16.8" customHeight="1" thickBot="1" x14ac:dyDescent="0.35">
      <c r="A1" s="5" t="s">
        <v>33</v>
      </c>
      <c r="B1" s="6"/>
      <c r="C1" s="6"/>
      <c r="D1" s="7"/>
      <c r="E1" s="7" t="s">
        <v>34</v>
      </c>
      <c r="F1" s="7" t="str">
        <f>PROPER(A1)</f>
        <v>Ali Car Company</v>
      </c>
      <c r="G1" s="7" t="str">
        <f ca="1">_xlfn.FORMULATEXT(F1)</f>
        <v>=PROPER(A1)</v>
      </c>
    </row>
    <row r="2" spans="1:7" ht="16.8" customHeight="1" thickTop="1" x14ac:dyDescent="0.3">
      <c r="A2" s="8" t="s">
        <v>35</v>
      </c>
      <c r="B2" s="8"/>
      <c r="C2" s="8"/>
      <c r="D2" s="7"/>
      <c r="E2" s="7" t="s">
        <v>39</v>
      </c>
      <c r="F2" s="7" t="str">
        <f>TRIM(A2)</f>
        <v>ali car company</v>
      </c>
      <c r="G2" s="7" t="str">
        <f t="shared" ref="G2:G16" ca="1" si="0">_xlfn.FORMULATEXT(F2)</f>
        <v>=TRIM(A2)</v>
      </c>
    </row>
    <row r="3" spans="1:7" ht="16.8" customHeight="1" x14ac:dyDescent="0.3">
      <c r="A3" s="9" t="s">
        <v>36</v>
      </c>
      <c r="B3" s="10" t="s">
        <v>37</v>
      </c>
      <c r="C3" s="10" t="s">
        <v>38</v>
      </c>
      <c r="D3" s="7"/>
      <c r="E3" s="7"/>
      <c r="F3" s="7" t="str">
        <f>_xlfn.CONCAT(A3:C3)</f>
        <v>alicarcompany</v>
      </c>
      <c r="G3" s="7" t="str">
        <f t="shared" ca="1" si="0"/>
        <v>=CONCAT(A3:C3)</v>
      </c>
    </row>
    <row r="4" spans="1:7" ht="16.8" customHeight="1" x14ac:dyDescent="0.3">
      <c r="A4" s="11"/>
      <c r="B4" s="12"/>
      <c r="C4" s="12"/>
      <c r="D4" s="7"/>
      <c r="E4" s="7"/>
      <c r="F4" s="7" t="str">
        <f>_xlfn.CONCAT(A3, " ", B3, " ", C3)</f>
        <v>ali car company</v>
      </c>
      <c r="G4" s="7" t="str">
        <f t="shared" ca="1" si="0"/>
        <v>=CONCAT(A3, " ", B3, " ", C3)</v>
      </c>
    </row>
    <row r="5" spans="1:7" ht="16.8" customHeight="1" x14ac:dyDescent="0.3">
      <c r="A5" s="13"/>
      <c r="B5" s="14"/>
      <c r="C5" s="14"/>
      <c r="D5" s="7"/>
      <c r="E5" s="7"/>
      <c r="F5" s="7" t="str">
        <f>A3&amp;B3&amp;C3</f>
        <v>alicarcompany</v>
      </c>
      <c r="G5" s="7" t="str">
        <f t="shared" ca="1" si="0"/>
        <v>=A3&amp;B3&amp;C3</v>
      </c>
    </row>
    <row r="6" spans="1:7" ht="16.8" customHeight="1" x14ac:dyDescent="0.3">
      <c r="A6" s="11"/>
      <c r="B6" s="12"/>
      <c r="C6" s="12"/>
      <c r="D6" s="7"/>
      <c r="E6" s="7"/>
      <c r="F6" s="7" t="str">
        <f>A3&amp;" "&amp;B3&amp;" "&amp;C3</f>
        <v>ali car company</v>
      </c>
      <c r="G6" s="7" t="str">
        <f t="shared" ca="1" si="0"/>
        <v>=A3&amp;" "&amp;B3&amp;" "&amp;C3</v>
      </c>
    </row>
    <row r="7" spans="1:7" ht="16.8" customHeight="1" x14ac:dyDescent="0.3">
      <c r="A7" s="13"/>
      <c r="B7" s="14"/>
      <c r="C7" s="14"/>
      <c r="D7" s="7"/>
      <c r="E7" s="7"/>
      <c r="F7" s="7" t="str">
        <f>_xlfn.TEXTJOIN(" ", TRUE, A3:C3)</f>
        <v>ali car company</v>
      </c>
      <c r="G7" s="7" t="str">
        <f t="shared" ca="1" si="0"/>
        <v>=TEXTJOIN(" ", TRUE, A3:C3)</v>
      </c>
    </row>
    <row r="8" spans="1:7" ht="16.8" customHeight="1" x14ac:dyDescent="0.3">
      <c r="A8" s="15" t="s">
        <v>40</v>
      </c>
      <c r="B8" s="15"/>
      <c r="C8" s="15"/>
      <c r="D8" s="7"/>
      <c r="E8" s="7" t="s">
        <v>42</v>
      </c>
      <c r="F8" s="21" t="str">
        <f>RIGHT(A8, 3)</f>
        <v>456</v>
      </c>
      <c r="G8" s="7" t="str">
        <f t="shared" ca="1" si="0"/>
        <v>=RIGHT(A8, 3)</v>
      </c>
    </row>
    <row r="9" spans="1:7" ht="16.8" customHeight="1" x14ac:dyDescent="0.3">
      <c r="A9" s="13"/>
      <c r="B9" s="14"/>
      <c r="C9" s="14"/>
      <c r="D9" s="7"/>
      <c r="E9" s="7" t="s">
        <v>41</v>
      </c>
      <c r="F9" s="7" t="str">
        <f>MID(A8, 7, 5)</f>
        <v>ahmad</v>
      </c>
      <c r="G9" s="7" t="str">
        <f t="shared" ca="1" si="0"/>
        <v>=MID(A8, 7, 5)</v>
      </c>
    </row>
    <row r="10" spans="1:7" ht="16.8" customHeight="1" x14ac:dyDescent="0.3">
      <c r="A10" s="11"/>
      <c r="B10" s="12"/>
      <c r="C10" s="12"/>
      <c r="D10" s="7"/>
      <c r="E10" s="7" t="s">
        <v>43</v>
      </c>
      <c r="F10" s="7" t="str">
        <f>LEFT(A8, 3)</f>
        <v>ali</v>
      </c>
      <c r="G10" s="7" t="str">
        <f t="shared" ca="1" si="0"/>
        <v>=LEFT(A8, 3)</v>
      </c>
    </row>
    <row r="11" spans="1:7" ht="16.8" customHeight="1" x14ac:dyDescent="0.3">
      <c r="A11" s="13"/>
      <c r="B11" s="14"/>
      <c r="C11" s="14"/>
      <c r="D11" s="7"/>
      <c r="E11" s="7" t="s">
        <v>44</v>
      </c>
      <c r="F11" s="7">
        <f>LEN(A8)</f>
        <v>14</v>
      </c>
      <c r="G11" s="7" t="str">
        <f t="shared" ca="1" si="0"/>
        <v>=LEN(A8)</v>
      </c>
    </row>
    <row r="12" spans="1:7" ht="16.8" customHeight="1" x14ac:dyDescent="0.3">
      <c r="A12" s="11"/>
      <c r="B12" s="12"/>
      <c r="C12" s="12"/>
      <c r="D12" s="7"/>
      <c r="E12" s="7" t="s">
        <v>45</v>
      </c>
      <c r="F12" s="7">
        <f>FIND("ah", A8)</f>
        <v>7</v>
      </c>
      <c r="G12" s="7" t="str">
        <f t="shared" ca="1" si="0"/>
        <v>=FIND("ah", A8)</v>
      </c>
    </row>
    <row r="13" spans="1:7" ht="16.8" customHeight="1" x14ac:dyDescent="0.3">
      <c r="A13" s="13"/>
      <c r="B13" s="14"/>
      <c r="C13" s="14"/>
      <c r="D13" s="7"/>
      <c r="E13" s="7"/>
      <c r="F13" s="7" t="e">
        <f>FIND("AH", A8)</f>
        <v>#VALUE!</v>
      </c>
      <c r="G13" s="7" t="str">
        <f t="shared" ca="1" si="0"/>
        <v>=FIND("AH", A8)</v>
      </c>
    </row>
    <row r="14" spans="1:7" ht="16.8" customHeight="1" x14ac:dyDescent="0.3">
      <c r="A14" s="11"/>
      <c r="B14" s="12"/>
      <c r="C14" s="12"/>
      <c r="D14" s="7"/>
      <c r="E14" s="7" t="s">
        <v>46</v>
      </c>
      <c r="F14" s="7">
        <f>SEARCH("ah", A8)</f>
        <v>7</v>
      </c>
      <c r="G14" s="7" t="str">
        <f t="shared" ca="1" si="0"/>
        <v>=SEARCH("ah", A8)</v>
      </c>
    </row>
    <row r="15" spans="1:7" x14ac:dyDescent="0.3">
      <c r="A15" s="16"/>
      <c r="B15" s="17"/>
      <c r="C15" s="17"/>
      <c r="D15" s="2"/>
      <c r="E15" s="2"/>
      <c r="F15" s="21">
        <f>SEARCH("AH", A8)</f>
        <v>7</v>
      </c>
      <c r="G15" s="2" t="str">
        <f t="shared" ca="1" si="0"/>
        <v>=SEARCH("AH", A8)</v>
      </c>
    </row>
    <row r="16" spans="1:7" x14ac:dyDescent="0.3">
      <c r="A16" s="19" t="s">
        <v>47</v>
      </c>
      <c r="B16" s="20"/>
      <c r="C16" s="20"/>
      <c r="E16" s="7" t="s">
        <v>48</v>
      </c>
      <c r="F16" t="str">
        <f>LEFT(A16,FIND("@",A16)-1)</f>
        <v>name</v>
      </c>
      <c r="G16" s="2" t="str">
        <f t="shared" ca="1" si="0"/>
        <v>=LEFT(A16,FIND("@",A16)-1)</v>
      </c>
    </row>
  </sheetData>
  <mergeCells count="5">
    <mergeCell ref="A15:C15"/>
    <mergeCell ref="A16:C16"/>
    <mergeCell ref="A1:C1"/>
    <mergeCell ref="A2:C2"/>
    <mergeCell ref="A8:C8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641C-3EEC-4856-BC0D-A36BD141C284}">
  <dimension ref="A1:H15"/>
  <sheetViews>
    <sheetView workbookViewId="0">
      <selection activeCell="E12" sqref="E12:F12"/>
    </sheetView>
  </sheetViews>
  <sheetFormatPr defaultRowHeight="14.4" x14ac:dyDescent="0.3"/>
  <cols>
    <col min="1" max="3" width="10.109375" customWidth="1"/>
    <col min="5" max="5" width="21.44140625" customWidth="1"/>
    <col min="6" max="6" width="10.77734375" customWidth="1"/>
    <col min="8" max="8" width="61.109375" customWidth="1"/>
  </cols>
  <sheetData>
    <row r="1" spans="1:8" ht="16.8" customHeight="1" thickBot="1" x14ac:dyDescent="0.35">
      <c r="A1" s="9" t="s">
        <v>52</v>
      </c>
      <c r="B1" s="9" t="s">
        <v>53</v>
      </c>
      <c r="C1" s="9" t="s">
        <v>54</v>
      </c>
      <c r="E1" s="4" t="s">
        <v>51</v>
      </c>
      <c r="F1" s="4"/>
      <c r="G1" t="b">
        <f>A1=B1</f>
        <v>0</v>
      </c>
      <c r="H1" t="str">
        <f ca="1">_xlfn.FORMULATEXT(G1)</f>
        <v>=A1=B1</v>
      </c>
    </row>
    <row r="2" spans="1:8" ht="16.8" customHeight="1" thickTop="1" x14ac:dyDescent="0.3">
      <c r="A2" s="24"/>
      <c r="B2" s="25"/>
      <c r="C2" s="25"/>
      <c r="E2" s="4" t="s">
        <v>51</v>
      </c>
      <c r="F2" s="4"/>
      <c r="G2" t="b">
        <f>A1&gt;B1</f>
        <v>0</v>
      </c>
      <c r="H2" t="str">
        <f t="shared" ref="H2:H17" ca="1" si="0">_xlfn.FORMULATEXT(G2)</f>
        <v>=A1&gt;B1</v>
      </c>
    </row>
    <row r="3" spans="1:8" ht="16.8" customHeight="1" x14ac:dyDescent="0.3">
      <c r="A3" s="9"/>
      <c r="B3" s="10"/>
      <c r="C3" s="10"/>
      <c r="E3" s="4" t="s">
        <v>51</v>
      </c>
      <c r="F3" s="4"/>
      <c r="G3" t="b">
        <f>AND(A1&lt;B1, A1&gt;C1)</f>
        <v>0</v>
      </c>
      <c r="H3" t="str">
        <f t="shared" ca="1" si="0"/>
        <v>=AND(A1&lt;B1, A1&gt;C1)</v>
      </c>
    </row>
    <row r="4" spans="1:8" ht="16.8" customHeight="1" x14ac:dyDescent="0.3">
      <c r="A4" s="26"/>
      <c r="B4" s="18"/>
      <c r="C4" s="18"/>
      <c r="E4" s="4" t="s">
        <v>51</v>
      </c>
      <c r="F4" s="4"/>
      <c r="G4" t="b">
        <f>OR(A1&lt;B1, A1&gt;C1)</f>
        <v>1</v>
      </c>
      <c r="H4" t="str">
        <f t="shared" ca="1" si="0"/>
        <v>=OR(A1&lt;B1, A1&gt;C1)</v>
      </c>
    </row>
    <row r="5" spans="1:8" ht="16.8" customHeight="1" x14ac:dyDescent="0.3">
      <c r="A5" s="9" t="s">
        <v>50</v>
      </c>
      <c r="B5" s="10" t="s">
        <v>49</v>
      </c>
      <c r="C5" s="10"/>
      <c r="E5" s="4" t="s">
        <v>51</v>
      </c>
      <c r="F5" s="4"/>
      <c r="G5" t="b">
        <f>A5=B5</f>
        <v>0</v>
      </c>
      <c r="H5" t="str">
        <f t="shared" ca="1" si="0"/>
        <v>=A5=B5</v>
      </c>
    </row>
    <row r="6" spans="1:8" ht="16.8" customHeight="1" x14ac:dyDescent="0.3">
      <c r="A6" s="1"/>
      <c r="B6" s="1"/>
      <c r="C6" s="1"/>
      <c r="E6" s="3"/>
      <c r="F6" s="3"/>
    </row>
    <row r="7" spans="1:8" ht="16.8" customHeight="1" thickBot="1" x14ac:dyDescent="0.35">
      <c r="A7" s="22" t="s">
        <v>55</v>
      </c>
      <c r="B7" s="23" t="s">
        <v>1</v>
      </c>
      <c r="C7" s="1"/>
      <c r="E7" s="4" t="s">
        <v>57</v>
      </c>
      <c r="F7" s="4"/>
      <c r="G7" t="str">
        <f>IF(B8&gt;B9, "benz", "lexus")</f>
        <v>lexus</v>
      </c>
      <c r="H7" t="str">
        <f ca="1">_xlfn.FORMULATEXT(G7)</f>
        <v>=IF(B8&gt;B9, "benz", "lexus")</v>
      </c>
    </row>
    <row r="8" spans="1:8" ht="16.8" customHeight="1" thickTop="1" x14ac:dyDescent="0.3">
      <c r="A8" s="24" t="s">
        <v>6</v>
      </c>
      <c r="B8" s="25">
        <v>16</v>
      </c>
      <c r="C8" s="1"/>
      <c r="E8" s="4" t="s">
        <v>58</v>
      </c>
      <c r="F8" s="4"/>
      <c r="G8" t="str">
        <f>IF(AND(B8&gt;B9, B8&gt;B10), "yes", "no")</f>
        <v>no</v>
      </c>
      <c r="H8" t="str">
        <f t="shared" ca="1" si="0"/>
        <v>=IF(AND(B8&gt;B9, B8&gt;B10), "yes", "no")</v>
      </c>
    </row>
    <row r="9" spans="1:8" ht="16.8" customHeight="1" x14ac:dyDescent="0.3">
      <c r="A9" s="9" t="s">
        <v>9</v>
      </c>
      <c r="B9" s="10">
        <v>34</v>
      </c>
      <c r="C9" s="1"/>
      <c r="E9" s="4" t="s">
        <v>59</v>
      </c>
      <c r="F9" s="4"/>
      <c r="G9" t="str">
        <f>IF(OR(B8&gt;B9, B8&gt;B10), "yes", "no")</f>
        <v>yes</v>
      </c>
      <c r="H9" t="str">
        <f t="shared" ca="1" si="0"/>
        <v>=IF(OR(B8&gt;B9, B8&gt;B10), "yes", "no")</v>
      </c>
    </row>
    <row r="10" spans="1:8" ht="16.8" customHeight="1" x14ac:dyDescent="0.3">
      <c r="A10" s="26" t="s">
        <v>56</v>
      </c>
      <c r="B10" s="18">
        <v>12</v>
      </c>
      <c r="C10" s="1"/>
      <c r="E10" s="3"/>
      <c r="F10" s="3"/>
    </row>
    <row r="11" spans="1:8" ht="16.8" customHeight="1" x14ac:dyDescent="0.3">
      <c r="A11" s="1"/>
      <c r="B11" s="1"/>
      <c r="C11" s="1"/>
      <c r="E11" s="3"/>
      <c r="F11" s="3"/>
    </row>
    <row r="12" spans="1:8" ht="16.8" customHeight="1" thickBot="1" x14ac:dyDescent="0.35">
      <c r="A12" s="22" t="s">
        <v>5</v>
      </c>
      <c r="B12" s="23" t="s">
        <v>60</v>
      </c>
      <c r="C12" s="1"/>
      <c r="E12" t="s">
        <v>61</v>
      </c>
      <c r="F12" t="s">
        <v>9</v>
      </c>
      <c r="G12">
        <f>IF(F12=A13, B13, IF(F12=A14, B14, IF(F12=A15, B15, "unknown car")))</f>
        <v>30000</v>
      </c>
      <c r="H12" t="str">
        <f ca="1">_xlfn.FORMULATEXT(G12)</f>
        <v>=IF(F12=A13, B13, IF(F12=A14, B14, IF(F12=A15, B15, "unknown car")))</v>
      </c>
    </row>
    <row r="13" spans="1:8" ht="16.8" customHeight="1" thickTop="1" x14ac:dyDescent="0.3">
      <c r="A13" s="24" t="s">
        <v>6</v>
      </c>
      <c r="B13" s="27">
        <v>20000</v>
      </c>
      <c r="C13" s="1"/>
      <c r="G13" cm="1">
        <f t="array" ref="G13">_xlfn.IFS(F12=A13, B13, F12=A14, B14, F12=A15, B15)</f>
        <v>30000</v>
      </c>
      <c r="H13" t="str">
        <f t="shared" ca="1" si="0"/>
        <v>=IFS(F12=A13, B13, F12=A14, B14, F12=A15, B15)</v>
      </c>
    </row>
    <row r="14" spans="1:8" ht="16.8" customHeight="1" x14ac:dyDescent="0.3">
      <c r="A14" s="9" t="s">
        <v>9</v>
      </c>
      <c r="B14" s="28">
        <v>30000</v>
      </c>
      <c r="C14" s="1"/>
    </row>
    <row r="15" spans="1:8" ht="16.8" customHeight="1" x14ac:dyDescent="0.3">
      <c r="A15" s="26" t="s">
        <v>56</v>
      </c>
      <c r="B15" s="29">
        <v>10000</v>
      </c>
      <c r="C15" s="1"/>
    </row>
  </sheetData>
  <mergeCells count="11">
    <mergeCell ref="E8:F8"/>
    <mergeCell ref="E9:F9"/>
    <mergeCell ref="E6:F6"/>
    <mergeCell ref="E10:F10"/>
    <mergeCell ref="E11:F11"/>
    <mergeCell ref="E1:F1"/>
    <mergeCell ref="E2:F2"/>
    <mergeCell ref="E3:F3"/>
    <mergeCell ref="E4:F4"/>
    <mergeCell ref="E5:F5"/>
    <mergeCell ref="E7:F7"/>
  </mergeCells>
  <dataValidations count="1">
    <dataValidation type="list" allowBlank="1" showInputMessage="1" showErrorMessage="1" sqref="F12" xr:uid="{09D75660-F421-4536-89ED-F1A07E1FE67B}">
      <formula1>$A$13:$A$15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96C4-7CD1-48FC-84D8-0B4DA17CF313}">
  <dimension ref="A1:F4"/>
  <sheetViews>
    <sheetView workbookViewId="0">
      <selection activeCell="D7" sqref="D7"/>
    </sheetView>
  </sheetViews>
  <sheetFormatPr defaultRowHeight="14.4" x14ac:dyDescent="0.3"/>
  <cols>
    <col min="4" max="4" width="20.21875" customWidth="1"/>
  </cols>
  <sheetData>
    <row r="1" spans="1:6" ht="15" thickBot="1" x14ac:dyDescent="0.35">
      <c r="A1" s="22" t="s">
        <v>5</v>
      </c>
      <c r="B1" s="23" t="s">
        <v>60</v>
      </c>
      <c r="D1" t="s">
        <v>61</v>
      </c>
      <c r="E1" t="s">
        <v>56</v>
      </c>
      <c r="F1">
        <f>VLOOKUP(E1, A2:B4, 2)</f>
        <v>900</v>
      </c>
    </row>
    <row r="2" spans="1:6" ht="15" thickTop="1" x14ac:dyDescent="0.3">
      <c r="A2" s="24" t="s">
        <v>6</v>
      </c>
      <c r="B2" s="27">
        <v>900</v>
      </c>
      <c r="F2">
        <f>_xlfn.XLOOKUP(E1, A2:A4, B2:B4)</f>
        <v>4000</v>
      </c>
    </row>
    <row r="3" spans="1:6" x14ac:dyDescent="0.3">
      <c r="A3" s="9" t="s">
        <v>9</v>
      </c>
      <c r="B3" s="28">
        <v>30000</v>
      </c>
    </row>
    <row r="4" spans="1:6" x14ac:dyDescent="0.3">
      <c r="A4" s="26" t="s">
        <v>56</v>
      </c>
      <c r="B4" s="29">
        <v>4000</v>
      </c>
    </row>
  </sheetData>
  <dataValidations count="1">
    <dataValidation type="list" allowBlank="1" showInputMessage="1" showErrorMessage="1" sqref="E1" xr:uid="{6C4319D4-F635-4365-BB85-800A8F52B09A}">
      <formula1>$A$2:$A$4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37D3-D60B-469D-80A8-C2AED22AB2A2}">
  <dimension ref="A1:D2"/>
  <sheetViews>
    <sheetView workbookViewId="0">
      <selection activeCell="C12" sqref="C12"/>
    </sheetView>
  </sheetViews>
  <sheetFormatPr defaultRowHeight="14.4" x14ac:dyDescent="0.3"/>
  <cols>
    <col min="3" max="3" width="18.21875" customWidth="1"/>
    <col min="4" max="4" width="13" customWidth="1"/>
  </cols>
  <sheetData>
    <row r="1" spans="1:4" x14ac:dyDescent="0.3">
      <c r="A1" s="33" t="s">
        <v>62</v>
      </c>
      <c r="B1" s="1"/>
      <c r="C1" s="30">
        <f ca="1">TODAY()</f>
        <v>46264</v>
      </c>
      <c r="D1" t="str">
        <f ca="1">_xlfn.FORMULATEXT(C1)</f>
        <v>=TODAY()</v>
      </c>
    </row>
    <row r="2" spans="1:4" x14ac:dyDescent="0.3">
      <c r="A2" s="32" t="s">
        <v>63</v>
      </c>
      <c r="B2" s="1"/>
      <c r="C2" s="31">
        <f ca="1">NOW()</f>
        <v>46264.516435069447</v>
      </c>
      <c r="D2" t="str">
        <f ca="1">_xlfn.FORMULATEXT(C2)</f>
        <v>=NOW()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73C0-3514-4AC4-9911-0711AF04D541}">
  <dimension ref="A1:D4"/>
  <sheetViews>
    <sheetView tabSelected="1" workbookViewId="0">
      <selection activeCell="D6" sqref="D6"/>
    </sheetView>
  </sheetViews>
  <sheetFormatPr defaultRowHeight="14.4" x14ac:dyDescent="0.3"/>
  <cols>
    <col min="4" max="4" width="85.109375" customWidth="1"/>
  </cols>
  <sheetData>
    <row r="1" spans="1:4" x14ac:dyDescent="0.3">
      <c r="A1">
        <f>5+4</f>
        <v>9</v>
      </c>
      <c r="B1">
        <v>1</v>
      </c>
      <c r="D1" t="s">
        <v>64</v>
      </c>
    </row>
    <row r="2" spans="1:4" x14ac:dyDescent="0.3">
      <c r="A2">
        <f>8-2</f>
        <v>6</v>
      </c>
      <c r="B2">
        <v>3</v>
      </c>
      <c r="D2" t="s">
        <v>65</v>
      </c>
    </row>
    <row r="3" spans="1:4" x14ac:dyDescent="0.3">
      <c r="A3">
        <f>A2+B2</f>
        <v>9</v>
      </c>
      <c r="B3">
        <f>4+2</f>
        <v>6</v>
      </c>
      <c r="D3" t="s">
        <v>66</v>
      </c>
    </row>
    <row r="4" spans="1:4" x14ac:dyDescent="0.3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functions</vt:lpstr>
      <vt:lpstr>conditional functions</vt:lpstr>
      <vt:lpstr>text functions</vt:lpstr>
      <vt:lpstr>logical functions</vt:lpstr>
      <vt:lpstr>lookup functions</vt:lpstr>
      <vt:lpstr>date functions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dcterms:created xsi:type="dcterms:W3CDTF">2026-08-28T12:49:29Z</dcterms:created>
  <dcterms:modified xsi:type="dcterms:W3CDTF">2026-08-30T07:53:44Z</dcterms:modified>
</cp:coreProperties>
</file>